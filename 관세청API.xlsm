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OM\Documents\git_project\ycy2000.github.io\"/>
    </mc:Choice>
  </mc:AlternateContent>
  <bookViews>
    <workbookView xWindow="-120" yWindow="-120" windowWidth="29040" windowHeight="15720" activeTab="4"/>
  </bookViews>
  <sheets>
    <sheet name="리스트" sheetId="11" r:id="rId1"/>
    <sheet name="XML컨1개" sheetId="6" r:id="rId2"/>
    <sheet name="연습" sheetId="10" r:id="rId3"/>
    <sheet name="연습2" sheetId="13" r:id="rId4"/>
    <sheet name="보관" sheetId="1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0" l="1"/>
  <c r="AK1" i="11" l="1"/>
  <c r="O1" i="11" l="1"/>
</calcChain>
</file>

<file path=xl/sharedStrings.xml><?xml version="1.0" encoding="utf-8"?>
<sst xmlns="http://schemas.openxmlformats.org/spreadsheetml/2006/main" count="1019" uniqueCount="517">
  <si>
    <t>화물관리번호</t>
  </si>
  <si>
    <t>&lt;?xml version="1.0" encoding="UTF-8" standalone="yes"?&gt;&lt;cargCsclPrgsInfoQryRtnVo&gt;&lt;ntceInfo&gt;&lt;/ntceInfo&gt;&lt;cargCsclPrgsInfoQryVo&gt;&lt;csclPrgsStts&gt;수입신고전&lt;/csclPrgsStts&gt;&lt;vydf&gt;2521N&lt;/vydf&gt;&lt;rlseDtyPridPassTpcd&gt;N&lt;/rlseDtyPridPassTpcd&gt;&lt;prnm&gt;FROZEN NOBASHI VANNAMEI SHRIMP&lt;/prnm&gt;&lt;ldprCd&gt;VNSGN&lt;/ldprCd&gt;&lt;shipNat&gt;KR&lt;/shipNat&gt;&lt;blPt&gt;S&lt;/blPt&gt;&lt;dsprNm&gt;부산항&lt;/dsprNm&gt;&lt;etprDt&gt;20251221&lt;/etprDt&gt;&lt;prgsStCd&gt;CAGG02&lt;/prgsStCd&gt;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일반화물&lt;/cargTp&gt;&lt;shcoFlcoSgn&gt;SNKO&lt;/shcoFlcoSgn&gt;&lt;pckGcnt&gt;2100&lt;/pckGcnt&gt;&lt;etprCstm&gt;부산세관&lt;/etprCstm&gt;&lt;shipNm&gt;SAWASDEE PACIFIC&lt;/shipNm&gt;&lt;hblNo&gt;&lt;/hblNo&gt;&lt;prcsDttm&gt;20251223094258&lt;/prcsDttm&gt;&lt;frwrSgn&gt;&lt;/frwrSgn&gt;&lt;spcnCargCd&gt;&lt;/spcnCargCd&gt;&lt;ttwg&gt;15120&lt;/ttwg&gt;&lt;ldprNm&gt;Ho Chi Minh City&lt;/ldprNm&gt;&lt;dclrDelyAdtxYn&gt;N&lt;/dclrDelyAdtxYn&gt;&lt;mtTrgtCargYnNm&gt;N&lt;/mtTrgtCargYnNm&gt;&lt;cargMtNo&gt;25SNKO4814I1012&lt;/cargMtNo&gt;&lt;cntrNo&gt;SEGU9786733&lt;/cntrNo&gt;&lt;mblNo&gt;HASLS21251200826&lt;/mblNo&gt;&lt;blPtNm&gt;Simple&lt;/blPtNm&gt;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&lt;/cargCsclPrgsInfoQryVo&gt;&lt;tCnt&gt;8&lt;/tCnt&gt;&lt;cargCsclPrgsInfoDtlQryVo&gt;&lt;shedNm&gt;신선대감만터미널(주) 신선대CY&lt;/shedNm&gt;&lt;prcsDttm&gt;20251223094258&lt;/prcsDttm&gt;&lt;dclrNo&gt;030D8039307025U00654&lt;/dclrNo&gt;&lt;rlbrDttm&gt;(도)03011597동일냉장(주&lt;/rlbrDttm&gt;&lt;wght&gt;15120&lt;/wght&gt;&lt;rlbrBssNo&gt;(주)부산특수물류&lt;/rlbrBssNo&gt;&lt;bfhnGdncCn&gt;&lt;/bfhnGdncCn&gt;&lt;wghtUt&gt;KG&lt;/wghtUt&gt;&lt;pckGcnt&gt;2100&lt;/pckGcnt&gt;&lt;cargTrcnRelaBsopTpcd&gt;보세운송 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20251223094055&lt;/prcsDttm&gt;&lt;dclrNo&gt;030D8039307025U00654&lt;/dclrNo&gt;&lt;rlbrDttm&gt;&lt;/rlbrDttm&gt;&lt;wght&gt;15120&lt;/wght&gt;&lt;rlbrBssNo&gt;&lt;/rlbrBssNo&gt;&lt;bfhnGdncCn&gt;&lt;/bfhnGdncCn&gt;&lt;wghtUt&gt;KG&lt;/wghtUt&gt;&lt;pckGcnt&gt;2100&lt;/pckGcnt&gt;&lt;cargTrcnRelaBsopTpcd&gt;보세운송 신고 접수&lt;/cargTrcnRelaBsopTpcd&gt;&lt;pckUt&gt;CT&lt;/pckUt&gt;&lt;rlbrCn&gt;&lt;/rlbrCn&gt;&lt;shedSgn&gt;03077016&lt;/shedSgn&gt;&lt;/cargCsclPrgsInfoDtlQryVo&gt;&lt;cargCsclPrgsInfoDtlQryVo&gt;&lt;shedNm&gt;신선대감만터미널(주) 신선대CY&lt;/shedNm&gt;&lt;prcsDttm&gt;20251222001047&lt;/prcsDttm&gt;&lt;dclrNo&gt;03077016250515274A&lt;/dclrNo&gt;&lt;rlbrDttm&gt;2025-12-22 00:01:11&lt;/rlbrDttm&gt;&lt;wght&gt;15120&lt;/wght&gt;&lt;rlbrBssNo&gt;&lt;/rlbrBssNo&gt;&lt;bfhnGdncCn&gt;[부가사항] 신선대감만터미널(주) 신선대CY의 장치기간은 최대 3 개월 입니다.&lt;/bfhnGdncCn&gt;&lt;wghtUt&gt;KG&lt;/wghtUt&gt;&lt;pckGcnt&gt;2100&lt;/pckGcnt&gt;&lt;cargTrcnRelaBsopTpcd&gt;반입신고&lt;/cargTrcnRelaBsopTpcd&gt;&lt;pckUt&gt;CT&lt;/pckUt&gt;&lt;rlbrCn&gt;입항 반입&lt;/rlbrCn&gt;&lt;shedSgn&gt;03077016&lt;/shedSgn&gt;&lt;/cargCsclPrgsInfoDtlQryVo&gt;&lt;cargCsclPrgsInfoDtlQryVo&gt;&lt;shedNm&gt;&lt;/shedNm&gt;&lt;prcsDttm&gt;20251221141849&lt;/prcsDttm&gt;&lt;dclrNo&gt;25SNKO4814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20251221141848&lt;/prcsDttm&gt;&lt;dclrNo&gt;25SNKO4814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&lt;bfhnGdncCn&gt;&lt;/bfhnGdncCn&gt;&lt;wghtUt&gt;KG&lt;/wghtUt&gt;&lt;pckGcnt&gt;2100&lt;/pckGcnt&gt;&lt;cargTrcnRelaBsopTpcd&gt;하선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20251219155040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제출&lt;/cargTrcnRelaBsopTpcd&gt;&lt;pckUt&gt;CT&lt;/pckUt&gt;&lt;rlbrCn&gt;&lt;/rlbrCn&gt;&lt;shedSgn&gt;03077016&lt;/shedSgn&gt;&lt;/cargCsclPrgsInfoDtlQryVo&gt;&lt;/cargCsclPrgsInfoQryRtnVo&gt;</t>
    <phoneticPr fontId="1" type="noConversion"/>
  </si>
  <si>
    <t>&lt;cargCsclPrgsInfoQryRtnVo&gt;</t>
    <phoneticPr fontId="1" type="noConversion"/>
  </si>
  <si>
    <t>&lt;?xml version="1.0" encoding="UTF-8" standalone="yes"?&gt;</t>
    <phoneticPr fontId="1" type="noConversion"/>
  </si>
  <si>
    <t>&lt;prnm&gt;FROZEN NOBASHI VANNAMEI SHRIMP&lt;/prnm&gt;&lt;ldprCd&gt;VNSGN&lt;/ldprCd&gt;&lt;shipNat&gt;KR&lt;/shipNat&gt;&lt;blPt&gt;S&lt;/blPt&gt;&lt;dsprNm&gt;부산항&lt;/dsprNm&gt;&lt;etprDt&gt;20251221&lt;/etprDt&gt;&lt;prgsStCd&gt;CAGG02&lt;/prgsStCd&gt;</t>
    <phoneticPr fontId="1" type="noConversion"/>
  </si>
  <si>
    <t>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</t>
    <phoneticPr fontId="1" type="noConversion"/>
  </si>
  <si>
    <t>&lt;shipNm&gt;SAWASDEE PACIFIC&lt;/shipNm&gt;&lt;hblNo&gt;&lt;/hblNo&gt;&lt;prcsDttm&gt;20251223094258&lt;/prcsDttm&gt;&lt;frwrSgn&gt;&lt;/frwrSgn&gt;&lt;spcnCargCd&gt;&lt;/spcnCargCd&gt;&lt;ttwg&gt;15120&lt;/ttwg&gt;&lt;ldprNm&gt;Ho Chi Minh City&lt;/ldprNm&gt;</t>
    <phoneticPr fontId="1" type="noConversion"/>
  </si>
  <si>
    <t>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</t>
    <phoneticPr fontId="1" type="noConversion"/>
  </si>
  <si>
    <t>&lt;/cargCsclPrgsInfoQryVo&gt;</t>
    <phoneticPr fontId="1" type="noConversion"/>
  </si>
  <si>
    <t>&lt;tCnt&gt;8&lt;/tCnt&gt;</t>
    <phoneticPr fontId="1" type="noConversion"/>
  </si>
  <si>
    <t>&lt;cargCsclPrgsInfoDtlQryVo&gt;</t>
    <phoneticPr fontId="1" type="noConversion"/>
  </si>
  <si>
    <t>&lt;shedNm&gt;신선대감만터미널(주) 신선대CY&lt;/shedNm&gt;&lt;prcsDttm&gt;20251223094258&lt;/prcsDttm&gt;&lt;dclrNo&gt;030D8039307025U00654&lt;/dclrNo&gt;&lt;rlbrDttm&gt;(도)03011597동일냉장(주&lt;/rlbrDttm&gt;&lt;wght&gt;15120&lt;/wght&gt;</t>
    <phoneticPr fontId="1" type="noConversion"/>
  </si>
  <si>
    <t>&lt;rlbrBssNo&gt;(주)부산특수물류&lt;/rlbrBssNo&gt;&lt;bfhnGdncCn&gt;&lt;/bfhnGdncCn&gt;&lt;wghtUt&gt;KG&lt;/wghtUt&gt;&lt;pckGcnt&gt;2100&lt;/pckGcnt&gt;&lt;cargTrcnRelaBsopTpcd&gt;보세운송 신고 수리&lt;/cargTrcnRelaBsopTpcd&gt;</t>
    <phoneticPr fontId="1" type="noConversion"/>
  </si>
  <si>
    <t>&lt;dclrNo&gt;030D8039307025U00654&lt;/dclrNo&gt;&lt;rlbrDttm&gt;&lt;/rlbrDttm&gt;&lt;wght&gt;15120&lt;/wght&gt;&lt;rlbrBssNo&gt;&lt;/rlbrBssNo&gt;&lt;bfhnGdncCn&gt;&lt;/bfhnGdncCn&gt;&lt;wghtUt&gt;KG&lt;/wghtUt&gt;&lt;pckGcnt&gt;2100&lt;/pckGcnt&gt;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</si>
  <si>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&lt;shedNm&gt;신선대감만터미널(주) 신선대CY&lt;/shedNm&gt;&lt;prcsDttm&gt;20251222001047&lt;/prcsDttm&gt;&lt;dclrNo&gt;03077016250515274A&lt;/dclrNo&gt;&lt;rlbrDttm&gt;2025-12-22 00:01:11&lt;/rlbrDttm&gt;&lt;wght&gt;15120&lt;/wght&gt;</t>
    <phoneticPr fontId="1" type="noConversion"/>
  </si>
  <si>
    <t>&lt;rlbrBssNo&gt;&lt;/rlbrBssNo&gt;&lt;bfhnGdncCn&gt;[부가사항] 신선대감만터미널(주) 신선대CY의 장치기간은 최대 3 개월 입니다.&lt;/bfhnGdncCn&gt;</t>
    <phoneticPr fontId="1" type="noConversion"/>
  </si>
  <si>
    <t>&lt;wghtUt&gt;KG&lt;/wghtUt&gt;&lt;pckGcnt&gt;2100&lt;/pckGcnt&gt;&lt;cargTrcnRelaBsopTpcd&gt;반입신고&lt;/cargTrcnRelaBsopTpcd&gt;&lt;pckUt&gt;CT&lt;/pckUt&gt;&lt;rlbrCn&gt;입항 반입&lt;/rlbrCn&gt;</t>
    <phoneticPr fontId="1" type="noConversion"/>
  </si>
  <si>
    <t>&lt;wght&gt;&lt;/wght&gt;&lt;rlbrBssNo&gt;&lt;/rlbrBssNo&gt;&lt;bfhnGdncCn&gt;&lt;/bfhnGdncCn&gt;&lt;wghtUt&gt;KG&lt;/wghtUt&gt;&lt;pckGcnt&gt;0&lt;/pckGcnt&gt;&lt;cargTrcnRelaBsopTpcd&gt;입항적재화물목록 운항정보 정정&lt;/cargTrcnRelaBsopTpcd&gt;</t>
    <phoneticPr fontId="1" type="noConversion"/>
  </si>
  <si>
    <t>&lt;rlbrDttm&gt;&lt;/rlbrDttm&gt;&lt;wght&gt;&lt;/wght&gt;&lt;rlbrBssNo&gt;&lt;/rlbrBssNo&gt;&lt;bfhnGdncCn&gt;&lt;/bfhnGdncCn&gt;&lt;wghtUt&gt;KG&lt;/wghtUt&gt;&lt;pckGcnt&gt;0&lt;/pckGcnt&gt;&lt;cargTrcnRelaBsopTpcd&gt;입항보고 수리&lt;/cargTrcnRelaBsopTpcd&gt;</t>
    <phoneticPr fontId="1" type="noConversion"/>
  </si>
  <si>
    <t>&lt;bfhnGdncCn&gt;&lt;/bfhnGdncCn&gt;&lt;wghtUt&gt;KG&lt;/wghtUt&gt;&lt;pckGcnt&gt;2100&lt;/pckGcnt&gt;&lt;cargTrcnRelaBsopTpcd&gt;하선신고 수리&lt;/cargTrcnRelaBsopTpcd&gt;</t>
    <phoneticPr fontId="1" type="noConversion"/>
  </si>
  <si>
    <t>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</t>
    <phoneticPr fontId="1" type="noConversion"/>
  </si>
  <si>
    <t>&lt;/cargCsclPrgsInfoQryRtnVo&gt;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</si>
  <si>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</si>
  <si>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</si>
  <si>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신선대CY&lt;/shedNm&gt;&lt;prcsDttm&gt;20251223094055&lt;/prcsDttm&gt;</t>
    <phoneticPr fontId="1" type="noConversion"/>
  </si>
  <si>
    <t>&lt;cargTrcnRelaBsopTpcd&gt;보세운송 신고 접수&lt;/cargTrcnRelaBsopTpcd&gt;&lt;pckUt&gt;CT&lt;/pckUt&gt;&lt;rlbrCn&gt;&lt;/rlbrCn&gt;&lt;shedSgn&gt;03077016&lt;/shedSgn&gt;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</si>
  <si>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</si>
  <si>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</si>
  <si>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&lt;pckUt&gt;&lt;/pckUt&gt;&lt;rlbrCn&gt;&lt;/rlbrCn&gt;&lt;shedSgn&gt;&lt;/shedSgn&gt;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</si>
  <si>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</si>
  <si>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</si>
  <si>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&lt;shedNm&gt;&lt;/shedNm&gt;&lt;prcsDttm&gt;20251221141848&lt;/prcsDttm&gt;&lt;dclrNo&gt;25SNKO4814I&lt;/dclrNo&gt;</t>
    <phoneticPr fontId="1" type="noConversion"/>
  </si>
  <si>
    <t>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</si>
  <si>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</si>
  <si>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</si>
  <si>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신선대CY&lt;/shedNm&gt;&lt;prcsDttm&gt;20251219155040&lt;/prcsDttm&gt;</t>
    <phoneticPr fontId="1" type="noConversion"/>
  </si>
  <si>
    <t>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</si>
  <si>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&lt;cargTrcnRelaBsopTpcd&gt;입항적재화물목록 제출&lt;/cargTrcnRelaBsopTpcd&gt;&lt;pckUt&gt;CT&lt;/pckUt&gt;&lt;rlbrCn&gt;&lt;/rlbrCn&gt;&lt;shedSgn&gt;03077016&lt;/shedSgn&gt;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</si>
  <si>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</si>
  <si>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&lt;ntceInfo&gt;&lt;/ntceInfo&gt;</t>
    <phoneticPr fontId="1" type="noConversion"/>
  </si>
  <si>
    <t>&lt;cargCsclPrgsInfoQryVo&gt;</t>
    <phoneticPr fontId="1" type="noConversion"/>
  </si>
  <si>
    <t>&lt;csclPrgsStts&gt;수입신고전&lt;/csclPrgsStts&gt;&lt;vydf&gt;2521N&lt;/vydf&gt;&lt;rlseDtyPridPassTpcd&gt;N&lt;/rlseDtyPridPassTpcd&gt;</t>
    <phoneticPr fontId="1" type="noConversion"/>
  </si>
  <si>
    <t>&lt;shedSgn&gt;03077016&lt;/shedSgn&gt;&lt;/cargCsclPrgsInfoDtlQryVo&gt;&lt;cargCsclPrgsInfoDtlQryVo&gt;&lt;shedNm&gt;&lt;/shedNm&gt;&lt;prcsDttm&gt;20251221141849&lt;/prcsDttm&gt;&lt;rlbrDttm&gt;&lt;/rlbrDttm&gt;</t>
    <phoneticPr fontId="1" type="noConversion"/>
  </si>
  <si>
    <t>&lt;dclrNo&gt;25SNKO4814I00000001&lt;/dclrNo&gt;</t>
    <phoneticPr fontId="1" type="noConversion"/>
  </si>
  <si>
    <t>&lt;cntrNo&gt;SEGU9786733&lt;/cntrNo&gt;&lt;mblNo&gt;HASLS21251200826&lt;/mblNo&gt;</t>
    <phoneticPr fontId="1" type="noConversion"/>
  </si>
  <si>
    <t>조회결과가 있을때 화물진행정보를 XML정보로 받을수 있다</t>
    <phoneticPr fontId="1" type="noConversion"/>
  </si>
  <si>
    <t>풀어보면 아래와 같다</t>
    <phoneticPr fontId="1" type="noConversion"/>
  </si>
  <si>
    <t>엑셀 VBA 요청</t>
    <phoneticPr fontId="1" type="noConversion"/>
  </si>
  <si>
    <r>
      <t>&lt;dclrDelyAdtxYn&gt;N&lt;/dclrDelyAdtxYn&gt;&lt;mtTrgtCargYnNm&gt;N&lt;/mtTrgtCargYnNm&gt;</t>
    </r>
    <r>
      <rPr>
        <b/>
        <sz val="11"/>
        <color theme="1"/>
        <rFont val="맑은 고딕"/>
        <family val="3"/>
        <charset val="129"/>
        <scheme val="minor"/>
      </rPr>
      <t>&lt;cargMtNo&gt;25SNKO4814I1012&lt;/cargMtNo&gt;</t>
    </r>
    <r>
      <rPr>
        <sz val="11"/>
        <color theme="1"/>
        <rFont val="맑은 고딕"/>
        <family val="2"/>
        <charset val="129"/>
        <scheme val="minor"/>
      </rPr>
      <t>&lt;blPtNm&gt;Simple&lt;/blPtNm&gt;</t>
    </r>
    <phoneticPr fontId="1" type="noConversion"/>
  </si>
  <si>
    <t>작성</t>
    <phoneticPr fontId="1" type="noConversion"/>
  </si>
  <si>
    <t>면허</t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</si>
  <si>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</si>
  <si>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</si>
  <si>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</si>
  <si>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</si>
  <si>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</si>
  <si>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</si>
  <si>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</si>
  <si>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</si>
  <si>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</si>
  <si>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</si>
  <si>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운.도VBA</t>
    <phoneticPr fontId="1" type="noConversion"/>
  </si>
  <si>
    <t>화찰BL</t>
    <phoneticPr fontId="1" type="noConversion"/>
  </si>
  <si>
    <t>화찰 선명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</si>
  <si>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</si>
  <si>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</si>
  <si>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</si>
  <si>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○</t>
  </si>
  <si>
    <t>BPT신선대</t>
    <phoneticPr fontId="1" type="noConversion"/>
  </si>
  <si>
    <t>우원홀딩스</t>
  </si>
  <si>
    <t/>
  </si>
  <si>
    <t>2025.12.21</t>
    <phoneticPr fontId="1" type="noConversion"/>
  </si>
  <si>
    <t>수월한</t>
  </si>
  <si>
    <t>2025.12.18</t>
    <phoneticPr fontId="1" type="noConversion"/>
  </si>
  <si>
    <t>이마트</t>
  </si>
  <si>
    <t>참트레이딩</t>
    <phoneticPr fontId="1" type="noConversion"/>
  </si>
  <si>
    <t>동원홈푸드</t>
  </si>
  <si>
    <t>ACE.PNC</t>
    <phoneticPr fontId="1" type="noConversion"/>
  </si>
  <si>
    <t>CORCOVADO</t>
    <phoneticPr fontId="1" type="noConversion"/>
  </si>
  <si>
    <t>2025.12.22</t>
    <phoneticPr fontId="1" type="noConversion"/>
  </si>
  <si>
    <t>HLCUPN4250972865</t>
    <phoneticPr fontId="1" type="noConversion"/>
  </si>
  <si>
    <t>25HLCU9011I-7007-</t>
    <phoneticPr fontId="1" type="noConversion"/>
  </si>
  <si>
    <t>대상 주식회사</t>
    <phoneticPr fontId="1" type="noConversion"/>
  </si>
  <si>
    <t>SS신항.DGT</t>
    <phoneticPr fontId="1" type="noConversion"/>
  </si>
  <si>
    <t>SAO500903600</t>
    <phoneticPr fontId="1" type="noConversion"/>
  </si>
  <si>
    <t>KOTA CANTIK</t>
    <phoneticPr fontId="1" type="noConversion"/>
  </si>
  <si>
    <t>25PILK0101I-0003-</t>
    <phoneticPr fontId="1" type="noConversion"/>
  </si>
  <si>
    <t>ZEPHYR LUMOS</t>
  </si>
  <si>
    <t>2025.12.24</t>
  </si>
  <si>
    <t>HLCUPN4250972905</t>
    <phoneticPr fontId="1" type="noConversion"/>
  </si>
  <si>
    <t>25HLCU9011I-7009-</t>
    <phoneticPr fontId="1" type="noConversion"/>
  </si>
  <si>
    <t>한국축지</t>
  </si>
  <si>
    <t>SEGU9684290</t>
    <phoneticPr fontId="1" type="noConversion"/>
  </si>
  <si>
    <t>KMTCXMN0839499</t>
    <phoneticPr fontId="1" type="noConversion"/>
  </si>
  <si>
    <t>뉴아시아</t>
    <phoneticPr fontId="1" type="noConversion"/>
  </si>
  <si>
    <t>뉴아시아</t>
  </si>
  <si>
    <t>ONEYSAOF55284400</t>
  </si>
  <si>
    <t>EGLV360500161333</t>
  </si>
  <si>
    <t>HDMUSAOA19640104</t>
  </si>
  <si>
    <t>HDMUSAOA19640111</t>
  </si>
  <si>
    <t>SNKO190251102713</t>
  </si>
  <si>
    <t>HDMUSAOA49544004</t>
  </si>
  <si>
    <t>MEDUFX853510</t>
  </si>
  <si>
    <t>ONEYBKKFCD979700</t>
  </si>
  <si>
    <t>EGLV360500127976</t>
  </si>
  <si>
    <t>대상 주식회사</t>
  </si>
  <si>
    <t>HDMUSAOA31150001</t>
  </si>
  <si>
    <t>HASLC05251203795</t>
  </si>
  <si>
    <t>SAO500856200</t>
  </si>
  <si>
    <t>아스트로스</t>
  </si>
  <si>
    <t>ONEYSAOF50727800</t>
  </si>
  <si>
    <t>현대그린</t>
  </si>
  <si>
    <t>PCSLLCBSC2500048</t>
  </si>
  <si>
    <t>PCSLLCBSC2500049</t>
  </si>
  <si>
    <t>KMTCNBO9268010</t>
  </si>
  <si>
    <t>세현</t>
  </si>
  <si>
    <t>KMTCLCH5446822</t>
  </si>
  <si>
    <t>참트레이딩</t>
  </si>
  <si>
    <t>MEDUJJ143505</t>
  </si>
  <si>
    <t>HDMUSGNA09855200</t>
  </si>
  <si>
    <t>MEDUHI500545</t>
  </si>
  <si>
    <t>EGLV360500167935</t>
  </si>
  <si>
    <t>MAEU721119161</t>
  </si>
  <si>
    <t>SSZ1708682</t>
  </si>
  <si>
    <t>LMM0561277</t>
  </si>
  <si>
    <t>삼영수산</t>
  </si>
  <si>
    <t>LMM0562123</t>
  </si>
  <si>
    <t>EGLV360500171274</t>
  </si>
  <si>
    <t>EGLV360500178431</t>
  </si>
  <si>
    <t>SAO500855900</t>
  </si>
  <si>
    <t>SAO500886100</t>
  </si>
  <si>
    <t>SSZ1720111</t>
  </si>
  <si>
    <t>ONEYSAOF64576806</t>
  </si>
  <si>
    <t>SSZ1711920</t>
  </si>
  <si>
    <t>HLCUPN4251067265</t>
  </si>
  <si>
    <t>HASLS22251200378</t>
  </si>
  <si>
    <t>SNKO190251201016</t>
  </si>
  <si>
    <t>MEDUHI500552</t>
  </si>
  <si>
    <t>MEDUJJ113896</t>
  </si>
  <si>
    <t>HDMUSAOA29140500</t>
  </si>
  <si>
    <t>HYUNDAI HONGKONG</t>
  </si>
  <si>
    <t>25ONEY1581I-7186-</t>
  </si>
  <si>
    <t>HPNT</t>
    <phoneticPr fontId="1" type="noConversion"/>
  </si>
  <si>
    <t>15:17</t>
    <phoneticPr fontId="1" type="noConversion"/>
  </si>
  <si>
    <t>HDMUSGNA13851900</t>
    <phoneticPr fontId="1" type="noConversion"/>
  </si>
  <si>
    <t>HMM MIRACLE</t>
    <phoneticPr fontId="1" type="noConversion"/>
  </si>
  <si>
    <t>25HDMUA653I-0204-</t>
    <phoneticPr fontId="1" type="noConversion"/>
  </si>
  <si>
    <t>HDMUSGNA23031603</t>
    <phoneticPr fontId="1" type="noConversion"/>
  </si>
  <si>
    <t>25HDMUA653I-0212-</t>
    <phoneticPr fontId="1" type="noConversion"/>
  </si>
  <si>
    <t>16:10</t>
    <phoneticPr fontId="1" type="noConversion"/>
  </si>
  <si>
    <t>HDMUSGNA56434801</t>
    <phoneticPr fontId="1" type="noConversion"/>
  </si>
  <si>
    <t>25HDMUA653I-0213-</t>
    <phoneticPr fontId="1" type="noConversion"/>
  </si>
  <si>
    <t>SAWASDEE SUNRISE</t>
    <phoneticPr fontId="1" type="noConversion"/>
  </si>
  <si>
    <t>25SNKO4855I-0135-0001</t>
    <phoneticPr fontId="1" type="noConversion"/>
  </si>
  <si>
    <t>2025.12.24</t>
    <phoneticPr fontId="1" type="noConversion"/>
  </si>
  <si>
    <t>KMTCBKK3786030</t>
    <phoneticPr fontId="1" type="noConversion"/>
  </si>
  <si>
    <t>25SNKO4855I-0019-</t>
    <phoneticPr fontId="1" type="noConversion"/>
  </si>
  <si>
    <t>허치슨감만</t>
    <phoneticPr fontId="1" type="noConversion"/>
  </si>
  <si>
    <t>ONEYBKKFBH352900</t>
    <phoneticPr fontId="1" type="noConversion"/>
  </si>
  <si>
    <t>ZHONG GU SHAN DONG</t>
    <phoneticPr fontId="1" type="noConversion"/>
  </si>
  <si>
    <t>25ONEY1517I-5027-</t>
    <phoneticPr fontId="1" type="noConversion"/>
  </si>
  <si>
    <t>2025.12.17</t>
    <phoneticPr fontId="1" type="noConversion"/>
  </si>
  <si>
    <t>ONEYSAOF55456501</t>
    <phoneticPr fontId="1" type="noConversion"/>
  </si>
  <si>
    <t>ZEPHYR LUMOS</t>
    <phoneticPr fontId="1" type="noConversion"/>
  </si>
  <si>
    <t>25ONEY1581I-7192-</t>
    <phoneticPr fontId="1" type="noConversion"/>
  </si>
  <si>
    <t>ONEYBKKFCB669800</t>
    <phoneticPr fontId="1" type="noConversion"/>
  </si>
  <si>
    <t>YM COOPERATION</t>
    <phoneticPr fontId="1" type="noConversion"/>
  </si>
  <si>
    <t>25YMJA0222I-5028-</t>
    <phoneticPr fontId="1" type="noConversion"/>
  </si>
  <si>
    <t>HJNC</t>
    <phoneticPr fontId="1" type="noConversion"/>
  </si>
  <si>
    <t>DGT</t>
    <phoneticPr fontId="1" type="noConversion"/>
  </si>
  <si>
    <t>EVER VIVE(NSB)</t>
    <phoneticPr fontId="1" type="noConversion"/>
  </si>
  <si>
    <t>HYUNDAI HONGKONG</t>
    <phoneticPr fontId="1" type="noConversion"/>
  </si>
  <si>
    <t>POS HOCHIMINH</t>
    <phoneticPr fontId="1" type="noConversion"/>
  </si>
  <si>
    <t>MOL EARNEST(SX2)</t>
    <phoneticPr fontId="1" type="noConversion"/>
  </si>
  <si>
    <t>PNC</t>
  </si>
  <si>
    <t>MSC MARIE</t>
    <phoneticPr fontId="1" type="noConversion"/>
  </si>
  <si>
    <t>EVER VERT(NSB)</t>
    <phoneticPr fontId="1" type="noConversion"/>
  </si>
  <si>
    <t>HYUNDAI SHANGHAI</t>
    <phoneticPr fontId="1" type="noConversion"/>
  </si>
  <si>
    <t>PANCON BRIDGE</t>
    <phoneticPr fontId="1" type="noConversion"/>
  </si>
  <si>
    <t>SKY MOON</t>
    <phoneticPr fontId="1" type="noConversion"/>
  </si>
  <si>
    <t>BPT신선대</t>
  </si>
  <si>
    <t>HMM HARVEST</t>
    <phoneticPr fontId="1" type="noConversion"/>
  </si>
  <si>
    <t>MSC ELISA XIII </t>
    <phoneticPr fontId="1" type="noConversion"/>
  </si>
  <si>
    <t>KMTC DALIAN</t>
    <phoneticPr fontId="1" type="noConversion"/>
  </si>
  <si>
    <t>CMA CGM LEGACY</t>
    <phoneticPr fontId="1" type="noConversion"/>
  </si>
  <si>
    <t>CMA CGM INTEGRITY</t>
  </si>
  <si>
    <t>LOTUS A</t>
  </si>
  <si>
    <t>DELPHINUS C</t>
    <phoneticPr fontId="1" type="noConversion"/>
  </si>
  <si>
    <t>CMA CGM BYBLOS</t>
  </si>
  <si>
    <t>SAWASDEE ATLANTIC</t>
    <phoneticPr fontId="1" type="noConversion"/>
  </si>
  <si>
    <t>미정</t>
    <phoneticPr fontId="1" type="noConversion"/>
  </si>
  <si>
    <t>TEXU9034762</t>
    <phoneticPr fontId="1" type="noConversion"/>
  </si>
  <si>
    <t>TEXU9030290</t>
    <phoneticPr fontId="1" type="noConversion"/>
  </si>
  <si>
    <t>SEKU9386650</t>
    <phoneticPr fontId="1" type="noConversion"/>
  </si>
  <si>
    <t>OTPU6394005</t>
    <phoneticPr fontId="1" type="noConversion"/>
  </si>
  <si>
    <t>PCIU6153162</t>
    <phoneticPr fontId="1" type="noConversion"/>
  </si>
  <si>
    <t>ONEU9034179</t>
    <phoneticPr fontId="1" type="noConversion"/>
  </si>
  <si>
    <t>2025.12.25</t>
    <phoneticPr fontId="1" type="noConversion"/>
  </si>
  <si>
    <t>HLBU9329579</t>
    <phoneticPr fontId="1" type="noConversion"/>
  </si>
  <si>
    <t>18:47</t>
    <phoneticPr fontId="1" type="noConversion"/>
  </si>
  <si>
    <t>HLBU6053698</t>
    <phoneticPr fontId="1" type="noConversion"/>
  </si>
  <si>
    <t>16:27</t>
    <phoneticPr fontId="1" type="noConversion"/>
  </si>
  <si>
    <t>OTPU6388152</t>
    <phoneticPr fontId="1" type="noConversion"/>
  </si>
  <si>
    <t>TCLU1392959</t>
    <phoneticPr fontId="1" type="noConversion"/>
  </si>
  <si>
    <t>ONEYSAOF55284400</t>
    <phoneticPr fontId="1" type="noConversion"/>
  </si>
  <si>
    <t>EVER VIVE</t>
    <phoneticPr fontId="1" type="noConversion"/>
  </si>
  <si>
    <t>2025.12.11</t>
    <phoneticPr fontId="1" type="noConversion"/>
  </si>
  <si>
    <t>EMCU5649216</t>
    <phoneticPr fontId="1" type="noConversion"/>
  </si>
  <si>
    <t>EGLV360500161333</t>
    <phoneticPr fontId="1" type="noConversion"/>
  </si>
  <si>
    <t>HMMU5417980</t>
    <phoneticPr fontId="1" type="noConversion"/>
  </si>
  <si>
    <t>HDMUSAOA19640104</t>
    <phoneticPr fontId="1" type="noConversion"/>
  </si>
  <si>
    <t>2025.12.15</t>
    <phoneticPr fontId="1" type="noConversion"/>
  </si>
  <si>
    <t>HDMU5563652</t>
    <phoneticPr fontId="1" type="noConversion"/>
  </si>
  <si>
    <t>HDMUSAOA19640111</t>
    <phoneticPr fontId="1" type="noConversion"/>
  </si>
  <si>
    <t>SKRU6507906</t>
    <phoneticPr fontId="1" type="noConversion"/>
  </si>
  <si>
    <t>HMMU5448770</t>
    <phoneticPr fontId="1" type="noConversion"/>
  </si>
  <si>
    <t>HDMUSAOA49544004</t>
    <phoneticPr fontId="1" type="noConversion"/>
  </si>
  <si>
    <t>MOL EARNEST</t>
    <phoneticPr fontId="1" type="noConversion"/>
  </si>
  <si>
    <t>MSDU9807673</t>
    <phoneticPr fontId="1" type="noConversion"/>
  </si>
  <si>
    <t>12:40</t>
    <phoneticPr fontId="1" type="noConversion"/>
  </si>
  <si>
    <t>FSCU5865351</t>
    <phoneticPr fontId="1" type="noConversion"/>
  </si>
  <si>
    <t>EGSU5070265</t>
    <phoneticPr fontId="1" type="noConversion"/>
  </si>
  <si>
    <t>EGLV360500127976</t>
    <phoneticPr fontId="1" type="noConversion"/>
  </si>
  <si>
    <t>EVER VERT</t>
    <phoneticPr fontId="1" type="noConversion"/>
  </si>
  <si>
    <t>TLLU1082843</t>
    <phoneticPr fontId="1" type="noConversion"/>
  </si>
  <si>
    <t>HDMUSAOA31150001</t>
    <phoneticPr fontId="1" type="noConversion"/>
  </si>
  <si>
    <t>SKRU1600050</t>
    <phoneticPr fontId="1" type="noConversion"/>
  </si>
  <si>
    <t>FSCU5945056</t>
    <phoneticPr fontId="1" type="noConversion"/>
  </si>
  <si>
    <t>ONEYSAOF50727800</t>
    <phoneticPr fontId="1" type="noConversion"/>
  </si>
  <si>
    <t>BMOU9738548</t>
    <phoneticPr fontId="1" type="noConversion"/>
  </si>
  <si>
    <t>2025.12.26</t>
    <phoneticPr fontId="1" type="noConversion"/>
  </si>
  <si>
    <t>SZLU9929545</t>
    <phoneticPr fontId="1" type="noConversion"/>
  </si>
  <si>
    <t>FBIU5565796</t>
    <phoneticPr fontId="1" type="noConversion"/>
  </si>
  <si>
    <t>KMTCLCH5446822</t>
    <phoneticPr fontId="1" type="noConversion"/>
  </si>
  <si>
    <t>HMMU5542133</t>
    <phoneticPr fontId="1" type="noConversion"/>
  </si>
  <si>
    <t>HDMUSAOA29140500</t>
    <phoneticPr fontId="1" type="noConversion"/>
  </si>
  <si>
    <t>25HDMUA641I-0085-</t>
    <phoneticPr fontId="1" type="noConversion"/>
  </si>
  <si>
    <t>13:28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</si>
  <si>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standalone="yes"?&gt;&lt;cargCsclPrgsInfoQryRtnVo&gt;&lt;ntceInfo&gt;&lt;/ntceInfo&gt;&lt;cargCsclPrgsInfoQryVo&gt;&lt;csclPrgsStts&gt;수입신고전&lt;/csclPrgsStts&gt;&lt;vydf&gt;0012E&lt;/vydf&gt;&lt;rlseDtyPridPassTpcd&gt;N&lt;/rlseDtyPridPassTpcd&gt;&lt;prnm&gt;FROZEN ARGENTINE RED SHRIMP EASY PEEL  ETC&lt;/prnm&gt;&lt;ldprCd&gt;VNSGN&lt;/ldprCd&gt;&lt;shipNat&gt;PA&lt;/shipNat&gt;&lt;blPt&gt;S&lt;/blPt&gt;&lt;dsprNm&gt;부산신항&lt;/dsprNm&gt;&lt;etprDt&gt;20251221&lt;/etprDt&gt;&lt;prgsStCd&gt;CAGE12&lt;/prgsStCd&gt;&lt;msrm&gt;25&lt;/msrm&gt;&lt;wghtUt&gt;KG&lt;/wghtUt&gt;&lt;dsprCd&gt;KRBNP&lt;/dsprCd&gt;&lt;cntrGcnt&gt;1&lt;/cntrGcnt&gt;&lt;cargTp&gt;수입 일반화물&lt;/cargTp&gt;&lt;shcoFlcoSgn&gt;HDMU&lt;/shcoFlcoSgn&gt;&lt;pckGcnt&gt;834&lt;/pckGcnt&gt;&lt;etprCstm&gt;부산세관&lt;/etprCstm&gt;&lt;shipNm&gt;HMM MIRACLE&lt;/shipNm&gt;&lt;hblNo&gt;&lt;/hblNo&gt;&lt;prcsDttm&gt;20251224141740&lt;/prcsDttm&gt;&lt;frwrSgn&gt;&lt;/frwrSgn&gt;&lt;spcnCargCd&gt;RF&lt;/spcnCargCd&gt;&lt;ttwg&gt;9174&lt;/ttwg&gt;&lt;ldprNm&gt;Ho Chi Minh City&lt;/ldprNm&gt;&lt;dclrDelyAdtxYn&gt;N&lt;/dclrDelyAdtxYn&gt;&lt;mtTrgtCargYnNm&gt;N&lt;/mtTrgtCargYnNm&gt;&lt;cargMtNo&gt;25HDMUA653I0204&lt;/cargMtNo&gt;&lt;cntrNo&gt;TEXU9034762&lt;/cntrNo&gt;&lt;mblNo&gt;HDMUSGNA13851900&lt;/mblNo&gt;&lt;blPtNm&gt;Simple&lt;/blPtNm&gt;&lt;lodCntyCd&gt;VN&lt;/lodCntyCd&gt;&lt;prgsStts&gt;반출완료&lt;/prgsStts&gt;&lt;shcoFlco&gt;에이치엠엠(주)&lt;/shcoFlco&gt;&lt;pckUt&gt;CT&lt;/pckUt&gt;&lt;shipNatNm&gt;파나마&lt;/shipNatNm&gt;&lt;agnc&gt;에이치엠엠&lt;/agnc&gt;&lt;frwrEntsConm&gt;&lt;/frwrEntsConm&gt;&lt;/cargCsclPrgsInfoQryVo&gt;&lt;tCnt&gt;9&lt;/tCnt&gt;&lt;cargCsclPrgsInfoDtlQryVo&gt;&lt;shedNm&gt;에이치엠엠피에스에이신항만(주)&lt;/shedNm&gt;&lt;prcsDttm&gt;20251224141740&lt;/prcsDttm&gt;&lt;dclrNo&gt;03077011250412985A&lt;/dclrNo&gt;&lt;rlbrDttm&gt;2025-12-24 14:16:58&lt;/rlbrDttm&gt;&lt;wght&gt;9174&lt;/wght&gt;&lt;rlbrBssNo&gt;030D1030F66025406914&lt;/rlbrBssNo&gt;&lt;bfhnGdncCn&gt;&lt;/bfhnGdncCn&gt;&lt;wghtUt&gt;KG&lt;/wghtUt&gt;&lt;pckGcnt&gt;834&lt;/pckGcnt&gt;&lt;cargTrcnRelaBsopTpcd&gt;반출신고&lt;/cargTrcnRelaBsopTpcd&gt;&lt;pckUt&gt;CT&lt;/pckUt&gt;&lt;rlbrCn&gt;보세운송 반출&lt;/rlbrCn&gt;&lt;shedSgn&gt;03077011&lt;/shedSgn&gt;&lt;/cargCsclPrgsInfoDtlQryVo&gt;&lt;cargCsclPrgsInfoDtlQryVo&gt;&lt;shedNm&gt;에이치엠엠피에스에이신항만(주)&lt;/shedNm&gt;&lt;prcsDttm&gt;20251224115657&lt;/prcsDttm&gt;&lt;dclrNo&gt;030D1030F66025406914&lt;/dclrNo&gt;&lt;rlbrDttm&gt;(도)03011597동일냉장(주&lt;/rlbrDttm&gt;&lt;wght&gt;9174&lt;/wght&gt;&lt;rlbrBssNo&gt;(주)에스에스물류&lt;/rlbrBssNo&gt;&lt;bfhnGdncCn&gt;&lt;/bfhnGdncCn&gt;&lt;wghtUt&gt;KG&lt;/wghtUt&gt;&lt;pckGcnt&gt;834&lt;/pckGcnt&gt;&lt;cargTrcnRelaBsopTpcd&gt;보세운송 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20251224115424&lt;/prcsDttm&gt;&lt;dclrNo&gt;030D1030F66025406914&lt;/dclrNo&gt;&lt;rlbrDttm&gt;&lt;/rlbrDttm&gt;&lt;wght&gt;9174&lt;/wght&gt;&lt;rlbrBssNo&gt;&lt;/rlbrBssNo&gt;&lt;bfhnGdncCn&gt;&lt;/bfhnGdncCn&gt;&lt;wghtUt&gt;KG&lt;/wghtUt&gt;&lt;pckGcnt&gt;834&lt;/pckGcnt&gt;&lt;cargTrcnRelaBsopTpcd&gt;보세운송 신고 접수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20251221040940&lt;/prcsDttm&gt;&lt;dclrNo&gt;03077011250404653A&lt;/dclrNo&gt;&lt;rlbrDttm&gt;2025-12-21 04:08:20&lt;/rlbrDttm&gt;&lt;wght&gt;9174&lt;/wght&gt;&lt;rlbrBssNo&gt;&lt;/rlbrBssNo&gt;&lt;bfhnGdncCn&gt;[부가사항] 에이치엠엠피에스에이신항만(주)의 장치기간은 최대 3 개월 입니다.&lt;/bfhnGdncCn&gt;&lt;wghtUt&gt;KG&lt;/wghtUt&gt;&lt;pckGcnt&gt;834&lt;/pckGcnt&gt;&lt;cargTrcnRelaBsopTpcd&gt;반입신고&lt;/cargTrcnRelaBsopTpcd&gt;&lt;pckUt&gt;CT&lt;/pckUt&gt;&lt;rlbrCn&gt;입항 반입&lt;/rlbrCn&gt;&lt;shedSgn&gt;03077011&lt;/shedSgn&gt;&lt;/cargCsclPrgsInfoDtlQryVo&gt;&lt;cargCsclPrgsInfoDtlQryVo&gt;&lt;shedNm&gt;&lt;/shedNm&gt;&lt;prcsDttm&gt;20251221024408&lt;/prcsDttm&gt;&lt;dclrNo&gt;25HDMUA653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20251221024408&lt;/prcsDttm&gt;&lt;dclrNo&gt;25HDMUA653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20251219144031&lt;/prcsDttm&gt;&lt;dclrNo&gt;25030149767&lt;/dclrNo&gt;&lt;rlbrDttm&gt;&lt;/rlbrDttm&gt;&lt;wght&gt;9174&lt;/wght&gt;&lt;rlbrBssNo&gt;하선반입기한:2025-12-26&lt;/rlbrBssNo&gt;&lt;bfhnGdncCn&gt;&lt;/bfhnGdncCn&gt;&lt;wghtUt&gt;KG&lt;/wghtUt&gt;&lt;pckGcnt&gt;834&lt;/pckGcnt&gt;&lt;cargTrcnRelaBsopTpcd&gt;하선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20251218173739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심사완료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20251218163407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제출&lt;/cargTrcnRelaBsopTpcd&gt;&lt;pckUt&gt;CT&lt;/pckUt&gt;&lt;rlbrCn&gt;&lt;/rlbrCn&gt;&lt;shedSgn&gt;03077011&lt;/shedSgn&gt;&lt;/cargCsclPrgsInfoDtlQryVo&gt;&lt;/cargCsclPrgsInfoQryRtnVo&gt;</t>
    <phoneticPr fontId="1" type="noConversion"/>
  </si>
  <si>
    <t xml:space="preserve">에이스로지스틱(주), CY : 에이치엠엠피에스에이신항만(주), 진행상황 : 검사/검역 식품의약품(합격), 선사 : 에이치엠엠(주), 포딩 : </t>
    <phoneticPr fontId="1" type="noConversion"/>
  </si>
  <si>
    <t xml:space="preserve">면허?, CY : 신감만 한국허치슨(주) 컨테이너 보세창고, 진행상황 : 반입완료, 선사 : 장금상선(주), 포딩 : </t>
    <phoneticPr fontId="1" type="noConversion"/>
  </si>
  <si>
    <t>_</t>
    <phoneticPr fontId="1" type="noConversion"/>
  </si>
  <si>
    <t>HMMU5201857</t>
    <phoneticPr fontId="1" type="noConversion"/>
  </si>
  <si>
    <t>HDMUSGNA17207600</t>
    <phoneticPr fontId="1" type="noConversion"/>
  </si>
  <si>
    <t>ONEYBKKFCD979700</t>
    <phoneticPr fontId="1" type="noConversion"/>
  </si>
  <si>
    <t>KMTCNBO9268010</t>
    <phoneticPr fontId="1" type="noConversion"/>
  </si>
  <si>
    <t>HDMUSGNA09855200</t>
    <phoneticPr fontId="1" type="noConversion"/>
  </si>
  <si>
    <t>에이스로지스틱(주)</t>
  </si>
  <si>
    <t>SNKO190251102713</t>
    <phoneticPr fontId="1" type="noConversion"/>
  </si>
  <si>
    <t>MEDUFX853510</t>
    <phoneticPr fontId="1" type="noConversion"/>
  </si>
  <si>
    <t>HASLC05251203795</t>
    <phoneticPr fontId="1" type="noConversion"/>
  </si>
  <si>
    <t>25SNKO4855I-6506-</t>
    <phoneticPr fontId="1" type="noConversion"/>
  </si>
  <si>
    <t>PCSLLCBSC2500048</t>
    <phoneticPr fontId="1" type="noConversion"/>
  </si>
  <si>
    <t>PCSLLCBSC2500049</t>
    <phoneticPr fontId="1" type="noConversion"/>
  </si>
  <si>
    <t xml:space="preserve">    'HASLS21251102033 - NSGS82512016</t>
  </si>
  <si>
    <t xml:space="preserve">    'bl분할 :ONEYRICFHA975600 분할되면 ONEYRICFHA975600 - ONEYRICFHA975600 + 관리번호 추가</t>
    <phoneticPr fontId="1" type="noConversion"/>
  </si>
  <si>
    <t>ONEYRICFHA975600</t>
    <phoneticPr fontId="1" type="noConversion"/>
  </si>
  <si>
    <t>HASLS21251102033</t>
    <phoneticPr fontId="1" type="noConversion"/>
  </si>
  <si>
    <t xml:space="preserve">    'HASLS21251102033 - NSGS82512016</t>
    <phoneticPr fontId="1" type="noConversion"/>
  </si>
  <si>
    <t>NSGS82512016</t>
    <phoneticPr fontId="1" type="noConversion"/>
  </si>
  <si>
    <t>A66FX05797</t>
    <phoneticPr fontId="1" type="noConversion"/>
  </si>
  <si>
    <t xml:space="preserve">    'A66FX05797 - A66FX05797 house bl, master bl 같음</t>
    <phoneticPr fontId="1" type="noConversion"/>
  </si>
  <si>
    <t xml:space="preserve">    'ONEYTPEF83544700 - KHHBUS2511004 : house bl, 바다사랑 7대, 이것의 mbl은ONEYTPEF83544700(house bl 1건)</t>
    <phoneticPr fontId="1" type="noConversion"/>
  </si>
  <si>
    <t>ONEYTPEF83544700</t>
    <phoneticPr fontId="1" type="noConversion"/>
  </si>
  <si>
    <t xml:space="preserve">    'ONEYTPEF83544700 - KHHBUS2511004 : house bl, 바다사랑 7대, 이것의 mbl은ONEYTPEF83544700(house bl 1건)</t>
    <phoneticPr fontId="1" type="noConversion"/>
  </si>
  <si>
    <t>KHHBUS2511004</t>
    <phoneticPr fontId="1" type="noConversion"/>
  </si>
  <si>
    <t xml:space="preserve">    'HDMUSGNA17207600 : master bl, 1대</t>
    <phoneticPr fontId="1" type="noConversion"/>
  </si>
  <si>
    <t>HDMUSGNA17207600</t>
    <phoneticPr fontId="1" type="noConversion"/>
  </si>
  <si>
    <t>년도</t>
    <phoneticPr fontId="1" type="noConversion"/>
  </si>
  <si>
    <t>MASTER BL</t>
    <phoneticPr fontId="1" type="noConversion"/>
  </si>
  <si>
    <t>HOUSE BL</t>
    <phoneticPr fontId="1" type="noConversion"/>
  </si>
  <si>
    <t>전달 BL</t>
    <phoneticPr fontId="1" type="noConversion"/>
  </si>
  <si>
    <t>http.responseText</t>
  </si>
  <si>
    <t>ntceInfo</t>
  </si>
  <si>
    <t>cargCsclPrgsInfoQryVo</t>
  </si>
  <si>
    <t>tCnt</t>
  </si>
  <si>
    <t>HASLS21251102033</t>
  </si>
  <si>
    <t>&lt;?xml version="1.0" encoding="UTF-8" standalone="yes"?&gt;&lt;cargCsclPrgsInfoQryRtnVo&gt;&lt;ntceInfo&gt;&lt;/ntceInfo&gt;&lt;cargCsclPrgsInfoQryVo&gt;&lt;csclPrgsStts&gt;수입신고수리&lt;/csclPrgsStts&gt;&lt;vydf&gt;2508N&lt;/vydf&gt;&lt;rlseDtyPridPassTpcd&gt;N&lt;/rlseDtyPridPassTpcd&gt;&lt;prnm&gt;FROZEN RAW PEELED DEVEINED TAIL ON VANNAMEI SHRIMP&lt;/prnm&gt;&lt;ldprCd&gt;VNSGN&lt;/ldprCd&gt;&lt;shipNat&gt;PA&lt;/shipNat&gt;&lt;blPt&gt;C&lt;/blPt&gt;&lt;dsprNm&gt;부산항&lt;/dsprNm&gt;&lt;etprDt&gt;20251218&lt;/etprDt&gt;&lt;prgsStCd&gt;CAGE12&lt;/prgsStCd&gt;&lt;msrm&gt;23&lt;/msrm&gt;&lt;wghtUt&gt;KG&lt;/wghtUt&gt;&lt;dsprCd&gt;KRPUS&lt;/dsprCd&gt;&lt;cntrGcnt&gt;1&lt;/cntrGcnt&gt;&lt;cargTp&gt;수입 일반화물&lt;/cargTp&gt;&lt;shcoFlcoSgn&gt;SNKO&lt;/shcoFlcoSgn&gt;&lt;pckGcnt&gt;900&lt;/pckGcnt&gt;&lt;etprCstm&gt;부산세관&lt;/etprCstm&gt;&lt;shipNm&gt;INCHEON VOYAGER&lt;/shipNm&gt;&lt;hblNo&gt;NSGS82512016&lt;/hblNo&gt;&lt;prcsDttm&gt;20251222143548&lt;/prcsDttm&gt;&lt;frwrSgn&gt;GLHH&lt;/frwrSgn&gt;&lt;spcnCargCd&gt;&lt;/spcnCargCd&gt;&lt;ttwg&gt;10800&lt;/ttwg&gt;&lt;ldprNm&gt;Ho Chi Minh City&lt;/ldprNm&gt;&lt;dclrDelyAdtxYn&gt;N&lt;/dclrDelyAdtxYn&gt;&lt;mtTrgtCargYnNm&gt;N&lt;/mtTrgtCargYnNm&gt;&lt;cargMtNo&gt;25SNKO4736I20120001&lt;/cargMtNo&gt;&lt;cntrNo&gt;SKRU1300602&lt;/cntrNo&gt;&lt;mblNo&gt;HASLS21251102033&lt;/mblNo&gt;&lt;blPtNm&gt;Consol&lt;/blPtNm&gt;&lt;lodCntyCd&gt;VN&lt;/lodCntyCd&gt;&lt;prgsStts&gt;반출완료&lt;/prgsStts&gt;&lt;shcoFlco&gt;장금상선(주)&lt;/shcoFlco&gt;&lt;pckUt&gt;CT&lt;/pckUt&gt;&lt;shipNatNm&gt;파나마&lt;/shipNatNm&gt;&lt;agnc&gt;장금상선(주)&lt;/agnc&gt;&lt;frwrEntsConm&gt;주식회사 글로벌해현&lt;/frwrEntsConm&gt;&lt;/cargCsclPrgsInfoQryVo&gt;&lt;tCnt&gt;15&lt;/tCnt&gt;&lt;cargCsclPrgsInfoDtlQryVo&gt;&lt;shedNm&gt;동일냉장(주)&lt;/shedNm&gt;&lt;prcsDttm&gt;20251222143548&lt;/prcsDttm&gt;&lt;dclrNo&gt;030115972500001730&lt;/dclrNo&gt;&lt;rlbrDttm&gt;2025-12-22 14:36:00&lt;/rlbrDttm&gt;&lt;wght&gt;10800&lt;/wght&gt;&lt;rlbrBssNo&gt;2356325120630M&lt;/rlbrBssNo&gt;&lt;bfhnGdncCn&gt;&lt;/bfhnGdncCn&gt;&lt;wghtUt&gt;KG&lt;/wghtUt&gt;&lt;pckGcnt&gt;900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20251222142558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20251222141612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20251222134558&lt;/prcsDttm&gt;&lt;dclrNo&gt;2356325120630M&lt;/dclrNo&gt;&lt;rlbrDttm&gt;&lt;/rlbrDttm&gt;&lt;wght&gt;10800&lt;/wght&gt;&lt;rlbrBssNo&gt;선민합동관세사무소&lt;/rlbrBssNo&gt;&lt;bfhnGdncCn&gt;&lt;/bfhnGdncCn&gt;&lt;wghtUt&gt;KG&lt;/wghtUt&gt;&lt;pckGcnt&gt;900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20251219164340&lt;/prcsDttm&gt;&lt;dclrNo&gt;11-2BA2025300878353-01&lt;/dclrNo&gt;&lt;rlbrDttm&gt;2025-12-19 00:00:00&lt;/rlbrDttm&gt;&lt;wght&gt;8100&lt;/wght&gt;&lt;rlbrBssNo&gt;신청일자:25.12.19&lt;/rlbrBssNo&gt;&lt;bfhnGdncCn&gt;[부가사항] 최근 검사/검역 신청부터 결과 과정까지의 평균 소요시간은 3일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20251219085157&lt;/prcsDttm&gt;&lt;dclrNo&gt;030115972500001486&lt;/dclrNo&gt;&lt;rlbrDttm&gt;2025-12-19 08:51:54&lt;/rlbrDttm&gt;&lt;wght&gt;10800&lt;/wght&gt;&lt;rlbrBssNo&gt;030D8039569025U04319&lt;/rlbrBssNo&gt;&lt;bfhnGdncCn&gt;[부가사항] 동일냉장(주)의 장치기간은 최대 6 개월 입니다.&lt;/bfhnGdncCn&gt;&lt;wghtUt&gt;KG&lt;/wghtUt&gt;&lt;pckGcnt&gt;900&lt;/pckGcnt&gt;&lt;cargTrcnRelaBsopTpcd&gt;반입신고&lt;/cargTrcnRelaBsopTpcd&gt;&lt;pckUt&gt;CT&lt;/pckUt&gt;&lt;rlbrCn&gt;보세운송 반입&lt;/rlbrCn&gt;&lt;shedSgn&gt;03011597/001&lt;/shedSgn&gt;&lt;/cargCsclPrgsInfoDtlQryVo&gt;&lt;cargCsclPrgsInfoDtlQryVo&gt;&lt;shedNm&gt;신감만 한국허치슨(주) 컨테이너 보세창고&lt;/shedNm&gt;&lt;prcsDttm&gt;20251219053004&lt;/prcsDttm&gt;&lt;dclrNo&gt;03012010250328872A&lt;/dclrNo&gt;&lt;rlbrDttm&gt;2025-12-19 05:19:00&lt;/rlbrDttm&gt;&lt;wght&gt;10800&lt;/wght&gt;&lt;rlbrBssNo&gt;030D8039569025U04319&lt;/rlbrBssNo&gt;&lt;bfhnGdncCn&gt;&lt;/bfhnGdncCn&gt;&lt;wghtUt&gt;KG&lt;/wghtUt&gt;&lt;pckGcnt&gt;900&lt;/pckGcnt&gt;&lt;cargTrcnRelaBsopTpcd&gt;반출신고&lt;/cargTrcnRelaBsopTpcd&gt;&lt;pckUt&gt;CT&lt;/pckUt&gt;&lt;rlbrCn&gt;보세운송 반출&lt;/rlbrCn&gt;&lt;shedSgn&gt;03012010&lt;/shedSgn&gt;&lt;/cargCsclPrgsInfoDtlQryVo&gt;&lt;cargCsclPrgsInfoDtlQryVo&gt;&lt;shedNm&gt;신감만 한국허치슨(주) 컨테이너 보세창고&lt;/shedNm&gt;&lt;prcsDttm&gt;20251219014819&lt;/prcsDttm&gt;&lt;dclrNo&gt;03012010250324484A&lt;/dclrNo&gt;&lt;rlbrDttm&gt;2025-12-19 01:46:00&lt;/rlbrDttm&gt;&lt;wght&gt;10800&lt;/wght&gt;&lt;rlbrBssNo&gt;&lt;/rlbrBssNo&gt;&lt;bfhnGdncCn&gt;[부가사항] 신감만 한국허치슨(주) 컨테이너 보세창고의 장치기간은 최대 2 개월 입니다.&lt;/bfhnGdncCn&gt;&lt;wghtUt&gt;KG&lt;/wghtUt&gt;&lt;pckGcnt&gt;900&lt;/pckGcnt&gt;&lt;cargTrcnRelaBsopTpcd&gt;반입신고&lt;/cargTrcnRelaBsopTpcd&gt;&lt;pckUt&gt;CT&lt;/pckUt&gt;&lt;rlbrCn&gt;입항 반입&lt;/rlbrCn&gt;&lt;shedSgn&gt;03012010&lt;/shedSgn&gt;&lt;/cargCsclPrgsInfoDtlQryVo&gt;&lt;cargCsclPrgsInfoDtlQryVo&gt;&lt;shedNm&gt;&lt;/shedNm&gt;&lt;prcsDttm&gt;20251218095728&lt;/prcsDttm&gt;&lt;dclrNo&gt;25SNKO4736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20251218095728&lt;/prcsDttm&gt;&lt;dclrNo&gt;25SNKO4736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수리&lt;/cargTrcnRelaBsopTpcd&gt;&lt;pckUt&gt;&lt;/pckUt&gt;&lt;rlbrCn&gt;&lt;/rlbrCn&gt;&lt;shedSgn&gt;&lt;/shedSgn&gt;&lt;/cargCsclPrgsInfoDtlQryVo&gt;&lt;cargCsclPrgsInfoDtlQryVo&gt;&lt;shedNm&gt;신감만 한국허치슨(주) 컨테이너 보세창고&lt;/shedNm&gt;&lt;prcsDttm&gt;20251216173554&lt;/prcsDttm&gt;&lt;dclrNo&gt;25030149381&lt;/dclrNo&gt;&lt;rlbrDttm&gt;&lt;/rlbrDttm&gt;&lt;wght&gt;10800&lt;/wght&gt;&lt;rlbrBssNo&gt;하선반입기한:2025-12-23&lt;/rlbrBssNo&gt;&lt;bfhnGdncCn&gt;&lt;/bfhnGdncCn&gt;&lt;wghtUt&gt;KG&lt;/wghtUt&gt;&lt;pckGcnt&gt;900&lt;/pckGcnt&gt;&lt;cargTrcnRelaBsopTpcd&gt;하선신고 수리&lt;/cargTrcnRelaBsopTpcd&gt;&lt;pckUt&gt;CT&lt;/pckUt&gt;&lt;rlbrCn&gt;&lt;/rlbrCn&gt;&lt;shedSgn&gt;03012010&lt;/shedSgn&gt;&lt;/cargCsclPrgsInfoDtlQryVo&gt;&lt;cargCsclPrgsInfoDtlQryVo&gt;&lt;shedNm&gt;신감만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20251216153012&lt;/prcsDttm&gt;&lt;dclrNo&gt;030D8039569025U04319&lt;/dclrNo&gt;&lt;rlbrDttm&gt;(도)03011597동일냉장(주&lt;/rlbrDttm&gt;&lt;wght&gt;10800&lt;/wght&gt;&lt;rlbrBssNo&gt;(주)이지트랜스&lt;/rlbrBssNo&gt;&lt;bfhnGdncCn&gt;&lt;/bfhnGdncCn&gt;&lt;wghtUt&gt;KG&lt;/wghtUt&gt;&lt;pckGcnt&gt;900&lt;/pckGcnt&gt;&lt;cargTrcnRelaBsopTpcd&gt;보세운송 신고 수리&lt;/cargTrcnRelaBsopTpcd&gt;&lt;pckUt&gt;CT&lt;/pckUt&gt;&lt;rlbrCn&gt;&lt;/rlbrCn&gt;&lt;shedSgn&gt;03012010/입항전운송&lt;/shedSgn&gt;&lt;/cargCsclPrgsInfoDtlQryVo&gt;&lt;cargCsclPrgsInfoDtlQryVo&gt;&lt;shedNm&gt;신감만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20251216152943&lt;/prcsDttm&gt;&lt;dclrNo&gt;030D8039569025U04319&lt;/dclrNo&gt;&lt;rlbrDttm&gt;&lt;/rlbrDttm&gt;&lt;wght&gt;10800&lt;/wght&gt;&lt;rlbrBssNo&gt;&lt;/rlbrBssNo&gt;&lt;bfhnGdncCn&gt;&lt;/bfhnGdncCn&gt;&lt;wghtUt&gt;KG&lt;/wghtUt&gt;&lt;pckGcnt&gt;900&lt;/pckGcnt&gt;&lt;cargTrcnRelaBsopTpcd&gt;보세운송 신고 접수&lt;/cargTrcnRelaBsopTpcd&gt;&lt;pckUt&gt;CT&lt;/pckUt&gt;&lt;rlbrCn&gt;&lt;/rlbrCn&gt;&lt;shedSgn&gt;03012010/입항전운송&lt;/shedSgn&gt;&lt;/cargCsclPrgsInfoDtlQryVo&gt;&lt;cargCsclPrgsInfoDtlQryVo&gt;&lt;shedNm&gt;신감만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보세창고&lt;/shedNm&gt;&lt;prcsDttm&gt;20251216140627&lt;/prcsDttm&gt;&lt;dclrNo&gt;&lt;/dclrNo&gt;&lt;rlbrDttm&gt;&lt;/rlbrDttm&gt;&lt;wght&gt;10800&lt;/wght&gt;&lt;rlbrBssNo&gt;주식회사 글로벌해현&lt;/rlbrBssNo&gt;&lt;bfhnGdncCn&gt;&lt;/bfhnGdncCn&gt;&lt;wghtUt&gt;KG&lt;/wghtUt&gt;&lt;pckGcnt&gt;900&lt;/pckGcnt&gt;&lt;cargTrcnRelaBsopTpcd&gt;입항적재화물목록 심사완료&lt;/cargTrcnRelaBsopTpcd&gt;&lt;pckUt&gt;CT&lt;/pckUt&gt;&lt;rlbrCn&gt;&lt;/rlbrCn&gt;&lt;shedSgn&gt;03012010&lt;/shedSgn&gt;&lt;/cargCsclPrgsInfoDtlQryVo&gt;&lt;cargCsclPrgsInfoDtlQryVo&gt;&lt;shedNm&gt;신감만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20251216110258&lt;/prcsDttm&gt;&lt;dclrNo&gt;&lt;/dclrNo&gt;&lt;rlbrDttm&gt;&lt;/rlbrDttm&gt;&lt;wght&gt;10800&lt;/wght&gt;&lt;rlbrBssNo&gt;&lt;/rlbrBssNo&gt;&lt;bfhnGdncCn&gt;&lt;/bfhnGdncCn&gt;&lt;wghtUt&gt;KG&lt;/wghtUt&gt;&lt;pckGcnt&gt;900&lt;/pckGcnt&gt;&lt;cargTrcnRelaBsopTpcd&gt;입항적재화물목록 제출&lt;/cargTrcnRelaBsopTpcd&gt;&lt;pckUt&gt;CT&lt;/pckUt&gt;&lt;rlbrCn&gt;&lt;/rlbrCn&gt;&lt;shedSgn&gt;03012010&lt;/shedSgn&gt;&lt;/cargCsclPrgsInfoDtlQryVo&gt;&lt;/cargCsclPrgsInfoQryRtnVo&gt;</t>
  </si>
  <si>
    <t>cargCsclPrgsInfoDtlQryVo</t>
  </si>
  <si>
    <t>spcnCargCd:</t>
  </si>
  <si>
    <t>pckUt:</t>
  </si>
  <si>
    <t>xmlDoc.ChildNodes.Length</t>
  </si>
  <si>
    <t>&lt;tCnt&gt;3&lt;/tCnt&gt;</t>
  </si>
  <si>
    <t>&lt;tCnt&gt;15&lt;/tCnt&gt;</t>
  </si>
  <si>
    <t>csclPrgsStts:수입신고수리</t>
  </si>
  <si>
    <t>vydf:2508N</t>
  </si>
  <si>
    <t>rlseDtyPridPassTpcd:N</t>
  </si>
  <si>
    <t>prnm:FROZEN RAW PEELED DEVEINED TAIL ON VANNAMEI SHRIMP</t>
  </si>
  <si>
    <t>ldprCd:VNSGN</t>
  </si>
  <si>
    <t>shipNat:PA</t>
  </si>
  <si>
    <t>blPt:C</t>
  </si>
  <si>
    <t>dsprNm:부산항</t>
  </si>
  <si>
    <t>etprDt:20251218</t>
  </si>
  <si>
    <t>prgsStCd:CAGE12</t>
  </si>
  <si>
    <t>msrm:23</t>
  </si>
  <si>
    <t>wghtUt:KG</t>
  </si>
  <si>
    <t>dsprCd:KRPUS</t>
  </si>
  <si>
    <t>cntrGcnt:1</t>
  </si>
  <si>
    <t>cargTp:수입 일반화물</t>
  </si>
  <si>
    <t>shcoFlcoSgn:SNKO</t>
  </si>
  <si>
    <t>pckGcnt:900</t>
  </si>
  <si>
    <t>etprCstm:부산세관</t>
  </si>
  <si>
    <t>shipNm:INCHEON VOYAGER</t>
  </si>
  <si>
    <t>hblNo:NSGS82512016</t>
  </si>
  <si>
    <t>prcsDttm:20251222143548</t>
  </si>
  <si>
    <t>frwrSgn:GLHH</t>
  </si>
  <si>
    <t>ttwg:10800</t>
  </si>
  <si>
    <t>ldprNm:Ho Chi Minh City</t>
  </si>
  <si>
    <t>dclrDelyAdtxYn:N</t>
  </si>
  <si>
    <t>mtTrgtCargYnNm:N</t>
  </si>
  <si>
    <t>cargMtNo:25SNKO4736I20120001</t>
  </si>
  <si>
    <t>cntrNo:SKRU1300602</t>
  </si>
  <si>
    <t>mblNo:HASLS21251102033</t>
  </si>
  <si>
    <t>blPtNm:Consol</t>
  </si>
  <si>
    <t>lodCntyCd:VN</t>
  </si>
  <si>
    <t>prgsStts:반출완료</t>
  </si>
  <si>
    <t>shcoFlco:장금상선(주)</t>
  </si>
  <si>
    <t>pckUt:CT</t>
  </si>
  <si>
    <t>shipNatNm:파나마</t>
  </si>
  <si>
    <t>agnc:장금상선(주)</t>
  </si>
  <si>
    <t>frwrEntsConm:주식회사 글로벌해현</t>
  </si>
  <si>
    <t>#text:15</t>
  </si>
  <si>
    <t>shedNm:동일냉장(주)</t>
  </si>
  <si>
    <t>dclrNo:030115972500001730</t>
  </si>
  <si>
    <t>rlbrDttm:2025-12-22 14:36:00</t>
  </si>
  <si>
    <t>wght:10800</t>
  </si>
  <si>
    <t>rlbrBssNo:2356325120630M</t>
  </si>
  <si>
    <t>bfhnGdncCn:</t>
  </si>
  <si>
    <t>cargTrcnRelaBsopTpcd:반출신고</t>
  </si>
  <si>
    <t>rlbrCn:수입신고 수리후 반출</t>
  </si>
  <si>
    <t>shedSgn:03011597</t>
  </si>
  <si>
    <t>prcsDttm:20251222142558</t>
  </si>
  <si>
    <t>dclrNo:2356325120630M</t>
  </si>
  <si>
    <t>rlbrDttm:</t>
  </si>
  <si>
    <t>rlbrBssNo:</t>
  </si>
  <si>
    <t>cargTrcnRelaBsopTpcd:수입신고수리</t>
  </si>
  <si>
    <t>rlbrCn:</t>
  </si>
  <si>
    <t>prcsDttm:20251222141612</t>
  </si>
  <si>
    <t>cargTrcnRelaBsopTpcd:수입(사용소비) 심사진행</t>
  </si>
  <si>
    <t>prcsDttm:20251222134558</t>
  </si>
  <si>
    <t>rlbrBssNo:선민합동관세사무소</t>
  </si>
  <si>
    <t>cargTrcnRelaBsopTpcd:수입신고</t>
  </si>
  <si>
    <t>prcsDttm:20251219164340</t>
  </si>
  <si>
    <t>dclrNo:11-2BA2025300878353-01</t>
  </si>
  <si>
    <t>rlbrDttm:2025-12-19 00:00:00</t>
  </si>
  <si>
    <t>wght:8100</t>
  </si>
  <si>
    <t>rlbrBssNo:신청일자:25.12.19</t>
  </si>
  <si>
    <t>bfhnGdncCn:[부가사항] 최근 검사/검역 신청부터 결과 과정까지의 평균 소요시간은 3일 입니다.</t>
  </si>
  <si>
    <t>pckGcnt:0</t>
  </si>
  <si>
    <t>cargTrcnRelaBsopTpcd:검사/검역 식품의약품(합격)</t>
  </si>
  <si>
    <t>prcsDttm:20251219085157</t>
  </si>
  <si>
    <t>dclrNo:030115972500001486</t>
  </si>
  <si>
    <t>rlbrDttm:2025-12-19 08:51:54</t>
  </si>
  <si>
    <t>rlbrBssNo:030D8039569025U04319</t>
  </si>
  <si>
    <t>bfhnGdncCn:[부가사항] 동일냉장(주)의 장치기간은 최대 6 개월 입니다.</t>
  </si>
  <si>
    <t>cargTrcnRelaBsopTpcd:반입신고</t>
  </si>
  <si>
    <t>rlbrCn:보세운송 반입</t>
  </si>
  <si>
    <t>shedSgn:03011597/001</t>
  </si>
  <si>
    <t>shedNm:신감만 한국허치슨(주) 컨테이너 보세창고</t>
  </si>
  <si>
    <t>prcsDttm:20251219053004</t>
  </si>
  <si>
    <t>dclrNo:03012010250328872A</t>
  </si>
  <si>
    <t>rlbrDttm:2025-12-19 05:19:00</t>
  </si>
  <si>
    <t>rlbrCn:보세운송 반출</t>
  </si>
  <si>
    <t>shedSgn:03012010</t>
  </si>
  <si>
    <t>prcsDttm:20251219014819</t>
  </si>
  <si>
    <t>dclrNo:03012010250324484A</t>
  </si>
  <si>
    <t>rlbrDttm:2025-12-19 01:46:00</t>
  </si>
  <si>
    <t>bfhnGdncCn:[부가사항] 신감만 한국허치슨(주) 컨테이너 보세창고의 장치기간은 최대 2 개월 입니다.</t>
  </si>
  <si>
    <t>rlbrCn:입항 반입</t>
  </si>
  <si>
    <t>shedNm:</t>
  </si>
  <si>
    <t>prcsDttm:20251218095728</t>
  </si>
  <si>
    <t>dclrNo:25SNKO4736I00000001</t>
  </si>
  <si>
    <t>wght:</t>
  </si>
  <si>
    <t>cargTrcnRelaBsopTpcd:입항적재화물목록 운항정보 정정</t>
  </si>
  <si>
    <t>shedSgn:</t>
  </si>
  <si>
    <t>dclrNo:25SNKO4736I</t>
  </si>
  <si>
    <t>cargTrcnRelaBsopTpcd:입항보고 수리</t>
  </si>
  <si>
    <t>prcsDttm:20251216173554</t>
  </si>
  <si>
    <t>dclrNo:25030149381</t>
  </si>
  <si>
    <t>rlbrBssNo:하선반입기한:2025-12-23</t>
  </si>
  <si>
    <t>cargTrcnRelaBsopTpcd:하선신고 수리</t>
  </si>
  <si>
    <t>prcsDttm:20251216153012</t>
  </si>
  <si>
    <t>dclrNo:030D8039569025U04319</t>
  </si>
  <si>
    <t>rlbrDttm:(도)03011597동일냉장(주</t>
  </si>
  <si>
    <t>rlbrBssNo:(주)이지트랜스</t>
  </si>
  <si>
    <t>cargTrcnRelaBsopTpcd:보세운송 신고 수리</t>
  </si>
  <si>
    <t>shedSgn:03012010/입항전운송</t>
  </si>
  <si>
    <t>prcsDttm:20251216152943</t>
  </si>
  <si>
    <t>cargTrcnRelaBsopTpcd:보세운송 신고 접수</t>
  </si>
  <si>
    <t>prcsDttm:20251216140627</t>
  </si>
  <si>
    <t>dclrNo:</t>
  </si>
  <si>
    <t>rlbrBssNo:주식회사 글로벌해현</t>
  </si>
  <si>
    <t>cargTrcnRelaBsopTpcd:입항적재화물목록 심사완료</t>
  </si>
  <si>
    <t>prcsDttm:20251216110258</t>
  </si>
  <si>
    <t>cargTrcnRelaBsopTpcd:입항적재화물목록 제출</t>
  </si>
  <si>
    <t>cargCsclPrgsInfoQryRtnVo</t>
  </si>
  <si>
    <t>2 : xml의 NodeType=7</t>
  </si>
  <si>
    <t>cargCsclPrgsInfoQryRtnVo의 ChildNodes</t>
  </si>
  <si>
    <t>hblNo:KHHBUS2511004</t>
  </si>
  <si>
    <t>&lt;tCnt&gt;16&lt;/tCnt&gt;</t>
  </si>
  <si>
    <t>#text:[N00] 조회 결과가 다건입니다. 상세내역조회를 위해서는 화물관리번호(cargMtNo)로 조회하시기 바랍니다.</t>
    <phoneticPr fontId="1" type="noConversion"/>
  </si>
  <si>
    <t>ntceInfo</t>
    <phoneticPr fontId="1" type="noConversion"/>
  </si>
  <si>
    <t>BL 확인</t>
    <phoneticPr fontId="1" type="noConversion"/>
  </si>
  <si>
    <t>H BL</t>
    <phoneticPr fontId="1" type="noConversion"/>
  </si>
  <si>
    <t>M BL</t>
    <phoneticPr fontId="1" type="noConversion"/>
  </si>
  <si>
    <t>MEDURA382940</t>
  </si>
  <si>
    <t>CONTI ANNAPURNA</t>
    <phoneticPr fontId="1" type="noConversion"/>
  </si>
  <si>
    <t>INCHEON VOYAGER</t>
    <phoneticPr fontId="1" type="noConversion"/>
  </si>
  <si>
    <t>INTERASIA ELEVATE</t>
    <phoneticPr fontId="1" type="noConversion"/>
  </si>
  <si>
    <t>2025.12.28</t>
    <phoneticPr fontId="1" type="noConversion"/>
  </si>
  <si>
    <t>MEDUJJ143505</t>
    <phoneticPr fontId="1" type="noConversion"/>
  </si>
  <si>
    <t>MANZANILLO EXPRESS</t>
    <phoneticPr fontId="1" type="noConversion"/>
  </si>
  <si>
    <t>2025.12.27</t>
    <phoneticPr fontId="1" type="noConversion"/>
  </si>
  <si>
    <t>2025.11.22</t>
    <phoneticPr fontId="1" type="noConversion"/>
  </si>
  <si>
    <t>2025.11.20</t>
    <phoneticPr fontId="1" type="noConversion"/>
  </si>
  <si>
    <t>2025.12.29</t>
  </si>
  <si>
    <t>&lt;?xml version="1.0" encoding="UTF-8" standalone="yes"?&gt;&lt;cargCsclPrgsInfoQryRtnVo&gt;&lt;ntceInfo&gt;&lt;/ntceInfo&gt;&lt;cargCsclPrgsInfoQryVo&gt;&lt;csclPrgsStts&gt;수입신고수리&lt;/csclPrgsStts&gt;&lt;vydf&gt;2508N&lt;/vydf&gt;&lt;rlseDtyPridPassTpcd&gt;N&lt;/rlseDtyPridPassTpcd&gt;&lt;prnm&gt;FROZEN RAW PEELED DEVEINED TAIL ON VANNAMEI SHRIMP&lt;/prnm&gt;&lt;ldprCd&gt;VNSGN&lt;/ldprCd&gt;&lt;shipNat&gt;PA&lt;/shipNat&gt;&lt;blPt&gt;C&lt;/blPt&gt;&lt;dsprNm&gt;부산항&lt;/dsprNm&gt;&lt;etprDt&gt;20251218&lt;/etprDt&gt;&lt;prgsStCd&gt;CAGE12&lt;/prgsStCd&gt;&lt;msrm&gt;23&lt;/msrm&gt;&lt;wghtUt&gt;KG&lt;/wghtUt&gt;&lt;dsprCd&gt;KRPUS&lt;/dsprCd&gt;&lt;cntrGcnt&gt;1&lt;/cntrGcnt&gt;&lt;cargTp&gt;수입 일반화물&lt;/cargTp&gt;&lt;shcoFlcoSgn&gt;SNKO&lt;/shcoFlcoSgn&gt;&lt;pckGcnt&gt;900&lt;/pckGcnt&gt;&lt;etprCstm&gt;부산세관&lt;/etprCstm&gt;&lt;shipNm&gt;INCHEON VOYAGER&lt;/shipNm&gt;&lt;hblNo&gt;NSGS82512016&lt;/hblNo&gt;&lt;prcsDttm&gt;20251222143548&lt;/prcsDttm&gt;&lt;frwrSgn&gt;GLHH&lt;/frwrSgn&gt;&lt;spcnCargCd&gt;&lt;/spcnCargCd&gt;&lt;ttwg&gt;10800&lt;/ttwg&gt;&lt;ldprNm&gt;Ho Chi Minh City&lt;/ldprNm&gt;&lt;dclrDelyAdtxYn&gt;N&lt;/dclrDelyAdtxYn&gt;&lt;mtTrgtCargYnNm&gt;N&lt;/mtTrgtCargYnNm&gt;&lt;cargMtNo&gt;25SNKO4736I20120001&lt;/cargMtNo&gt;&lt;cntrNo&gt;SKRU1300602&lt;/cntrNo&gt;&lt;mblNo&gt;HASLS21251102033&lt;/mblNo&gt;&lt;blPtNm&gt;Consol&lt;/blPtNm&gt;&lt;lodCntyCd&gt;VN&lt;/lodCntyCd&gt;&lt;prgsStts&gt;반출완료&lt;/prgsStts&gt;&lt;shcoFlco&gt;장금상선(주)&lt;/shcoFlco&gt;&lt;pckUt&gt;CT&lt;/pckUt&gt;&lt;shipNatNm&gt;파나마&lt;/shipNatNm&gt;&lt;agnc&gt;장금상선(주)&lt;/agnc&gt;&lt;frwrEntsConm&gt;주식회사 글로벌해현&lt;/frwrEntsConm&gt;&lt;/cargCsclPrgsInfoQryVo&gt;&lt;tCnt&gt;15&lt;/tCnt&gt;&lt;cargCsclPrgsInfoDtlQryVo&gt;&lt;shedNm&gt;동일냉장(주)&lt;/shedNm&gt;&lt;prcsDttm&gt;20251222143548&lt;/prcsDttm&gt;&lt;dclrNo&gt;030115972500001730&lt;/dclrNo&gt;&lt;rlbrDttm&gt;2025-12-22 14:36:00&lt;/rlbrDttm&gt;&lt;wght&gt;10800&lt;/wght&gt;&lt;rlbrBssNo&gt;2356325120630M&lt;/rlbrBssNo&gt;&lt;bfhnGdncCn&gt;&lt;/bfhnGdncCn&gt;&lt;wghtUt&gt;KG&lt;/wghtUt&gt;&lt;pckGcnt&gt;900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20251222142558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20251222141612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20251222134558&lt;/prcsDttm&gt;&lt;dclrNo&gt;2356325120630M&lt;/dclrNo&gt;&lt;rlbrDttm&gt;&lt;/rlbrDttm&gt;&lt;wght&gt;10800&lt;/wght&gt;&lt;rlbrBssNo&gt;선민합동관세사무소&lt;/rlbrBssNo&gt;&lt;bfhnGdncCn&gt;&lt;/bfhnGdncCn&gt;&lt;wghtUt&gt;KG&lt;/wghtUt&gt;&lt;pckGcnt&gt;900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20251219164340&lt;/prcsDttm&gt;&lt;dclrNo&gt;11-2BA2025300878353-01&lt;/dclrNo&gt;&lt;rlbrDttm&gt;2025-12-19 00:00:00&lt;/rlbrDttm&gt;&lt;wght&gt;8100&lt;/wght&gt;&lt;rlbrBssNo&gt;신청일자:25.12.19&lt;/rlbrBssNo&gt;&lt;bfhnGdncCn&gt;[부가사항] 최근 검사/검역 신청부터 결과 과정까지의 평균 소요시간은 3일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20251219085157&lt;/prcsDttm&gt;&lt;dclrNo&gt;030115972500001486&lt;/dclrNo&gt;&lt;rlbrDttm&gt;2025-12-19 08:51:54&lt;/rlbrDttm&gt;&lt;wght&gt;10800&lt;/wght&gt;&lt;rlbrBssNo&gt;030D8039569025U04319&lt;/rlbrBssNo&gt;&lt;bfhnGdncCn&gt;[부가사항] 동일냉장(주)의 장치기간은 최대 6 개월 입니다.&lt;/bfhnGdncCn&gt;&lt;wghtUt&gt;KG&lt;/wghtUt&gt;&lt;pckGcnt&gt;900&lt;/pckGcnt&gt;&lt;cargTrcnRelaBsopTpcd&gt;반입신고&lt;/cargTrcnRelaBsopTpcd&gt;&lt;pckUt&gt;CT&lt;/pckUt&gt;&lt;rlbrCn&gt;보세운송 반입&lt;/rlbrCn&gt;&lt;shedSgn&gt;03011597/001&lt;/shedSgn&gt;&lt;/cargCsclPrgsInfoDtlQryVo&gt;&lt;cargCsclPrgsInfoDtlQryVo&gt;&lt;shedNm&gt;신감만 한국허치슨(주) 컨테이너 보세창고&lt;/shedNm&gt;&lt;prcsDttm&gt;20251219053004&lt;/prcsDttm&gt;&lt;dclrNo&gt;03012010250328872A&lt;/dclrNo&gt;&lt;rlbrDttm&gt;2025-12-19 05:19:00&lt;/rlbrDttm&gt;&lt;wght&gt;10800&lt;/wght&gt;&lt;rlbrBssNo&gt;030D8039569025U04319&lt;/rlbrBssNo&gt;&lt;bfhnGdncCn&gt;&lt;/bfhnGdncCn&gt;&lt;wghtUt&gt;KG&lt;/wghtUt&gt;&lt;pckGcnt&gt;900&lt;/pckGcnt&gt;&lt;cargTrcnRelaBsopTpcd&gt;반출신고&lt;/cargTrcnRelaBsopTpcd&gt;&lt;pckUt&gt;CT&lt;/pckUt&gt;&lt;rlbrCn&gt;보세운송 반출&lt;/rlbrCn&gt;&lt;shedSgn&gt;03012010&lt;/shedSgn&gt;&lt;/cargCsclPrgsInfoDtlQryVo&gt;&lt;cargCsclPrgsInfoDtlQryVo&gt;&lt;shedNm&gt;신감만 한국허치슨(주) 컨테이너 보세창고&lt;/shedNm&gt;&lt;prcsDttm&gt;20251219014819&lt;/prcsDttm&gt;&lt;dclrNo&gt;03012010250324484A&lt;/dclrNo&gt;&lt;rlbrDttm&gt;2025-12-19 01:46:00&lt;/rlbrDttm&gt;&lt;wght&gt;10800&lt;/wght&gt;&lt;rlbrBssNo&gt;&lt;/rlbrBssNo&gt;&lt;bfhnGdncCn&gt;[부가사항] 신감만 한국허치슨(주) 컨테이너 보세창고의 장치기간은 최대 2 개월 입니다.&lt;/bfhnGdncCn&gt;&lt;wghtUt&gt;KG&lt;/wghtUt&gt;&lt;pckGcnt&gt;900&lt;/pckGcnt&gt;&lt;cargTrcnRelaBsopTpcd&gt;반입신고&lt;/cargTrcnRelaBsopTpcd&gt;&lt;pckUt&gt;CT&lt;/pckUt&gt;&lt;rlbrCn&gt;입항 반입&lt;/rlbrCn&gt;&lt;shedSgn&gt;03012010&lt;/shedSgn&gt;&lt;/cargCsclPrgsInfoDtlQryVo&gt;&lt;cargCsclPrgsInfoDtlQryVo&gt;&lt;shedNm&gt;&lt;/shedNm&gt;&lt;prcsDttm&gt;20251218095728&lt;/prcsDttm&gt;&lt;dclrNo&gt;25SNKO4736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20251218095728&lt;/prcsDttm&gt;&lt;dclrNo&gt;25SNKO4736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수리&lt;/cargTrcnRelaBsopTpcd&gt;&lt;pckUt&gt;&lt;/pckUt&gt;&lt;rlbrCn&gt;&lt;/rlbrCn&gt;&lt;shedSgn&gt;&lt;/shedSgn&gt;&lt;/cargCsclPrgsInfoDtlQryVo&gt;&lt;cargCsclPrgsInfoDtlQryVo&gt;&lt;shedNm&gt;신감만 한국허치슨(주) 컨테이너 보세창고&lt;/shedNm&gt;&lt;prcsDttm&gt;20251216173554&lt;/prcsDttm&gt;&lt;dclrNo&gt;25030149381&lt;/dclrNo&gt;&lt;rlbrDttm&gt;&lt;/rlbrDttm&gt;&lt;wght&gt;10800&lt;/wght&gt;&lt;rlbrBssNo&gt;하선반입기한:2025-12-23&lt;/rlbrBssNo&gt;&lt;bfhnGdncCn&gt;&lt;/bfhnGdncCn&gt;&lt;wghtUt&gt;KG&lt;/wghtUt&gt;&lt;pckGcnt&gt;900&lt;/pckGcnt&gt;&lt;cargTrcnRelaBsopTpcd&gt;하선신고 수리&lt;/cargTrcnRelaBsopTpcd&gt;&lt;pckUt&gt;CT&lt;/pckUt&gt;&lt;rlbrCn&gt;&lt;/rlbrCn&gt;&lt;shedSgn&gt;03012010&lt;/shedSgn&gt;&lt;/cargCsclPrgsInfoDtlQryVo&gt;&lt;cargCsclPrgsInfoDtlQryVo&gt;&lt;shedNm&gt;신감만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20251216153012&lt;/prcsDttm&gt;&lt;dclrNo&gt;030D8039569025U04319&lt;/dclrNo&gt;&lt;rlbrDttm&gt;(도)03011597동일냉장(주&lt;/rlbrDttm&gt;&lt;wght&gt;10800&lt;/wght&gt;&lt;rlbrBssNo&gt;(주)이지트랜스&lt;/rlbrBssNo&gt;&lt;bfhnGdncCn&gt;&lt;/bfhnGdncCn&gt;&lt;wghtUt&gt;KG&lt;/wghtUt&gt;&lt;pckGcnt&gt;900&lt;/pckGcnt&gt;&lt;cargTrcnRelaBsopTpcd&gt;보세운송 신고 수리&lt;/cargTrcnRelaBsopTpcd&gt;&lt;pckUt&gt;CT&lt;/pckUt&gt;&lt;rlbrCn&gt;&lt;/rlbrCn&gt;&lt;shedSgn&gt;03012010/입항전운송&lt;/shedSgn&gt;&lt;/cargCsclPrgsInfoDtlQryVo&gt;&lt;cargCsclPrgsInfoDtlQryVo&gt;&lt;shedNm&gt;신감만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20251216152943&lt;/prcsDttm&gt;&lt;dclrNo&gt;030D8039569025U04319&lt;/dclrNo&gt;&lt;rlbrDttm&gt;&lt;/rlbrDttm&gt;&lt;wght&gt;10800&lt;/wght&gt;&lt;rlbrBssNo&gt;&lt;/rlbrBssNo&gt;&lt;bfhnGdncCn&gt;&lt;/bfhnGdncCn&gt;&lt;wghtUt&gt;KG&lt;/wghtUt&gt;&lt;pckGcnt&gt;900&lt;/pckGcnt&gt;&lt;cargTrcnRelaBsopTpcd&gt;보세운송 신고 접수&lt;/cargTrcnRelaBsopTpcd&gt;&lt;pckUt&gt;CT&lt;/pckUt&gt;&lt;rlbrCn&gt;&lt;/rlbrCn&gt;&lt;shedSgn&gt;03012010/입항전운송&lt;/shedSgn&gt;&lt;/cargCsclPrgsInfoDtlQryVo&gt;&lt;cargCsclPrgsInfoDtlQryVo&gt;&lt;shedNm&gt;신감만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보세창고&lt;/shedNm&gt;&lt;prcsDttm&gt;20251216140627&lt;/prcsDttm&gt;&lt;dclrNo&gt;&lt;/dclrNo&gt;&lt;rlbrDttm&gt;&lt;/rlbrDttm&gt;&lt;wght&gt;10800&lt;/wght&gt;&lt;rlbrBssNo&gt;주식회사 글로벌해현&lt;/rlbrBssNo&gt;&lt;bfhnGdncCn&gt;&lt;/bfhnGdncCn&gt;&lt;wghtUt&gt;KG&lt;/wghtUt&gt;&lt;pckGcnt&gt;900&lt;/pckGcnt&gt;&lt;cargTrcnRelaBsopTpcd&gt;입항적재화물목록 심사완료&lt;/cargTrcnRelaBsopTpcd&gt;&lt;pckUt&gt;CT&lt;/pckUt&gt;&lt;rlbrCn&gt;&lt;/rlbrCn&gt;&lt;shedSgn&gt;03012010&lt;/shedSgn&gt;&lt;/cargCsclPrgsInfoDtlQryVo&gt;&lt;cargCsclPrgsInfoDtlQryVo&gt;&lt;shedNm&gt;신감만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20251216110258&lt;/prcsDttm&gt;&lt;dclrNo&gt;&lt;/dclrNo&gt;&lt;rlbrDttm&gt;&lt;/rlbrDttm&gt;&lt;wght&gt;10800&lt;/wght&gt;&lt;rlbrBssNo&gt;&lt;/rlbrBssNo&gt;&lt;bfhnGdncCn&gt;&lt;/bfhnGdncCn&gt;&lt;wghtUt&gt;KG&lt;/wghtUt&gt;&lt;pckGcnt&gt;900&lt;/pckGcnt&gt;&lt;cargTrcnRelaBsopTpcd&gt;입항적재화물목록 제출&lt;/cargTrcnRelaBsopTpcd&gt;&lt;pckUt&gt;CT&lt;/pckUt&gt;&lt;rlbrCn&gt;&lt;/rlbrCn&gt;&lt;shedSgn&gt;03012010&lt;/shedSgn&gt;&lt;/cargCsclPrgsInfoDtlQryVo&gt;&lt;/cargCsclPrgsInfoQryRtnVo&gt;</t>
    <phoneticPr fontId="1" type="noConversion"/>
  </si>
  <si>
    <t>&lt;?xml version="1.0" encoding="UTF-8" standalone="yes"?&gt;&lt;cargCsclPrgsInfoQryRtnVo&gt;&lt;ntceInfo&gt;&lt;/ntceInfo&gt;&lt;cargCsclPrgsInfoQryVo&gt;&lt;csclPrgsStts&gt;수입신고수리&lt;/csclPrgsStts&gt;&lt;vydf&gt;N059&lt;/vydf&gt;&lt;rlseDtyPridPassTpcd&gt;N&lt;/rlseDtyPridPassTpcd&gt;&lt;prnm&gt;FROZEN PDTO VANNAMEI SHRIMP&lt;/prnm&gt;&lt;ldprCd&gt;CNXMN&lt;/ldprCd&gt;&lt;shipNat&gt;SG&lt;/shipNat&gt;&lt;blPt&gt;C&lt;/blPt&gt;&lt;dsprNm&gt;부산항&lt;/dsprNm&gt;&lt;etprDt&gt;20251122&lt;/etprDt&gt;&lt;prgsStCd&gt;CAGE12&lt;/prgsStCd&gt;&lt;msrm&gt;55&lt;/msrm&gt;&lt;wghtUt&gt;KG&lt;/wghtUt&gt;&lt;dsprCd&gt;KRPUS&lt;/dsprCd&gt;&lt;cntrGcnt&gt;1&lt;/cntrGcnt&gt;&lt;cargTp&gt;수입 일반화물&lt;/cargTp&gt;&lt;shcoFlcoSgn&gt;IALK&lt;/shcoFlcoSgn&gt;&lt;pckGcnt&gt;1800&lt;/pckGcnt&gt;&lt;etprCstm&gt;부산세관&lt;/etprCstm&gt;&lt;shipNm&gt;INTERASIA ELEVATE&lt;/shipNm&gt;&lt;hblNo&gt;A66FX05797&lt;/hblNo&gt;&lt;prcsDttm&gt;20251208085523&lt;/prcsDttm&gt;&lt;frwrSgn&gt;NJGL&lt;/frwrSgn&gt;&lt;spcnCargCd&gt;&lt;/spcnCargCd&gt;&lt;ttwg&gt;21000&lt;/ttwg&gt;&lt;ldprNm&gt;Xiamen&lt;/ldprNm&gt;&lt;dclrDelyAdtxYn&gt;N&lt;/dclrDelyAdtxYn&gt;&lt;mtTrgtCargYnNm&gt;N&lt;/mtTrgtCargYnNm&gt;&lt;cargMtNo&gt;25IALKIV50I90430001&lt;/cargMtNo&gt;&lt;cntrNo&gt;IAAU8683206&lt;/cntrNo&gt;&lt;mblNo&gt;A66FX05797&lt;/mblNo&gt;&lt;blPtNm&gt;Consol&lt;/blPtNm&gt;&lt;lodCntyCd&gt;CN&lt;/lodCntyCd&gt;&lt;prgsStts&gt;반출완료&lt;/prgsStts&gt;&lt;shcoFlco&gt;인터아시아라인즈코리아 주식회사&lt;/shcoFlco&gt;&lt;pckUt&gt;CT&lt;/pckUt&gt;&lt;shipNatNm&gt;싱가포르&lt;/shipNatNm&gt;&lt;agnc&gt;인터아시아라인코리아&lt;/agnc&gt;&lt;frwrEntsConm&gt;주식회사 엔제이글로벌&lt;/frwrEntsConm&gt;&lt;/cargCsclPrgsInfoQryVo&gt;&lt;tCnt&gt;16&lt;/tCnt&gt;&lt;cargCsclPrgsInfoDtlQryVo&gt;&lt;shedNm&gt;동일냉장(주)&lt;/shedNm&gt;&lt;prcsDttm&gt;20251208085523&lt;/prcsDttm&gt;&lt;dclrNo&gt;030115972500001627&lt;/dclrNo&gt;&lt;rlbrDttm&gt;2025-12-08 08:55:00&lt;/rlbrDttm&gt;&lt;wght&gt;21000&lt;/wght&gt;&lt;rlbrBssNo&gt;1248625110524M&lt;/rlbrBssNo&gt;&lt;bfhnGdncCn&gt;&lt;/bfhnGdncCn&gt;&lt;wghtUt&gt;KG&lt;/wghtUt&gt;&lt;pckGcnt&gt;1800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20251208083059&lt;/prcsDttm&gt;&lt;dclrNo&gt;1248625110524M&lt;/dclrNo&gt;&lt;rlbrDttm&gt;&lt;/rlbrDttm&gt;&lt;wght&gt;21000&lt;/wght&gt;&lt;rlbrBssNo&gt;&lt;/rlbrBssNo&gt;&lt;bfhnGdncCn&gt;&lt;/bfhnGdncCn&gt;&lt;wghtUt&gt;KG&lt;/wghtUt&gt;&lt;pckGcnt&gt;1800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20251128173204&lt;/prcsDttm&gt;&lt;dclrNo&gt;1248625110524M&lt;/dclrNo&gt;&lt;rlbrDttm&gt;&lt;/rlbrDttm&gt;&lt;wght&gt;21000&lt;/wght&gt;&lt;rlbrBssNo&gt;&lt;/rlbrBssNo&gt;&lt;bfhnGdncCn&gt;&lt;/bfhnGdncCn&gt;&lt;wghtUt&gt;KG&lt;/wghtUt&gt;&lt;pckGcnt&gt;1800&lt;/pckGcnt&gt;&lt;cargTrcnRelaBsopTpcd&gt;수입(사용소비) 결재통보&lt;/cargTrcnRelaBsopTpcd&gt;&lt;pckUt&gt;CT&lt;/pckUt&gt;&lt;rlbrCn&gt;&lt;/rlbrCn&gt;&lt;shedSgn&gt;03011597&lt;/shedSgn&gt;&lt;/cargCsclPrgsInfoDtlQryVo&gt;&lt;cargCsclPrgsInfoDtlQryVo&gt;&lt;shedNm&gt;동일냉장(주)&lt;/shedNm&gt;&lt;prcsDttm&gt;20251128172859&lt;/prcsDttm&gt;&lt;dclrNo&gt;1248625110524M&lt;/dclrNo&gt;&lt;rlbrDttm&gt;&lt;/rlbrDttm&gt;&lt;wght&gt;21000&lt;/wght&gt;&lt;rlbrBssNo&gt;&lt;/rlbrBssNo&gt;&lt;bfhnGdncCn&gt;&lt;/bfhnGdncCn&gt;&lt;wghtUt&gt;KG&lt;/wghtUt&gt;&lt;pckGcnt&gt;1800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20251128171828&lt;/prcsDttm&gt;&lt;dclrNo&gt;1248625110524M&lt;/dclrNo&gt;&lt;rlbrDttm&gt;&lt;/rlbrDttm&gt;&lt;wght&gt;21000&lt;/wght&gt;&lt;rlbrBssNo&gt;인동관세사무소&lt;/rlbrBssNo&gt;&lt;bfhnGdncCn&gt;&lt;/bfhnGdncCn&gt;&lt;wghtUt&gt;KG&lt;/wghtUt&gt;&lt;pckGcnt&gt;1800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20251125112345&lt;/prcsDttm&gt;&lt;dclrNo&gt;11-2BA2025000813240-01&lt;/dclrNo&gt;&lt;rlbrDttm&gt;2025-11-25 00:00:00&lt;/rlbrDttm&gt;&lt;wght&gt;16200&lt;/wght&gt;&lt;rlbrBssNo&gt;신청일자:25.11.25&lt;/rlbrBssNo&gt;&lt;bfhnGdncCn&gt;[부가사항] 최근 검사/검역 신청부터 결과 과정까지의 평균 소요시간은 7일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20251125103750&lt;/prcsDttm&gt;&lt;dclrNo&gt;030115972500001313&lt;/dclrNo&gt;&lt;rlbrDttm&gt;2025-11-25 10:37:47&lt;/rlbrDttm&gt;&lt;wght&gt;21000&lt;/wght&gt;&lt;rlbrBssNo&gt;030D8030007025108414&lt;/rlbrBssNo&gt;&lt;bfhnGdncCn&gt;[부가사항] 동일냉장(주)의 장치기간은 최대 6 개월 입니다.&lt;/bfhnGdncCn&gt;&lt;wghtUt&gt;KG&lt;/wghtUt&gt;&lt;pckGcnt&gt;1800&lt;/pckGcnt&gt;&lt;cargTrcnRelaBsopTpcd&gt;반입신고&lt;/cargTrcnRelaBsopTpcd&gt;&lt;pckUt&gt;CT&lt;/pckUt&gt;&lt;rlbrCn&gt;보세운송 반입&lt;/rlbrCn&gt;&lt;shedSgn&gt;03011597/001&lt;/shedSgn&gt;&lt;/cargCsclPrgsInfoDtlQryVo&gt;&lt;cargCsclPrgsInfoDtlQryVo&gt;&lt;shedNm&gt;신선대감만터미널(주) 감만CY&lt;/shedNm&gt;&lt;prcsDttm&gt;20251124155704&lt;/prcsDttm&gt;&lt;dclrNo&gt;03012226250293146A&lt;/dclrNo&gt;&lt;rlbrDttm&gt;2025-11-24 15:54:15&lt;/rlbrDttm&gt;&lt;wght&gt;21000&lt;/wght&gt;&lt;rlbrBssNo&gt;030D8030007025108414&lt;/rlbrBssNo&gt;&lt;bfhnGdncCn&gt;&lt;/bfhnGdncCn&gt;&lt;wghtUt&gt;KG&lt;/wghtUt&gt;&lt;pckGcnt&gt;1800&lt;/pckGcnt&gt;&lt;cargTrcnRelaBsopTpcd&gt;반출신고&lt;/cargTrcnRelaBsopTpcd&gt;&lt;pckUt&gt;CT&lt;/pckUt&gt;&lt;rlbrCn&gt;보세운송 반출&lt;/rlbrCn&gt;&lt;shedSgn&gt;03012226&lt;/shedSgn&gt;&lt;/cargCsclPrgsInfoDtlQryVo&gt;&lt;cargCsclPrgsInfoDtlQryVo&gt;&lt;shedNm&gt;신선대감만터미널(주) 감만CY&lt;/shedNm&gt;&lt;prcsDttm&gt;20251122072401&lt;/prcsDttm&gt;&lt;dclrNo&gt;03012226250288119A&lt;/dclrNo&gt;&lt;rlbrDttm&gt;2025-11-22 07:19:38&lt;/rlbrDttm&gt;&lt;wght&gt;21000&lt;/wght&gt;&lt;rlbrBssNo&gt;&lt;/rlbrBssNo&gt;&lt;bfhnGdncCn&gt;[부가사항] 신선대감만터미널(주) 감만CY의 장치기간은 최대 2 개월 입니다.&lt;/bfhnGdncCn&gt;&lt;wghtUt&gt;KG&lt;/wghtUt&gt;&lt;pckGcnt&gt;1800&lt;/pckGcnt&gt;&lt;cargTrcnRelaBsopTpcd&gt;반입신고&lt;/cargTrcnRelaBsopTpcd&gt;&lt;pckUt&gt;CT&lt;/pckUt&gt;&lt;rlbrCn&gt;입항 반입&lt;/rlbrCn&gt;&lt;shedSgn&gt;03012226&lt;/shedSgn&gt;&lt;/cargCsclPrgsInfoDtlQryVo&gt;&lt;cargCsclPrgsInfoDtlQryVo&gt;&lt;shedNm&gt;&lt;/shedNm&gt;&lt;prcsDttm&gt;20251121234136&lt;/prcsDttm&gt;&lt;dclrNo&gt;25IALKIV50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20251121234136&lt;/prcsDttm&gt;&lt;dclrNo&gt;25IALKIV50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수리&lt;/cargTrcnRelaBsopTpcd&gt;&lt;pckUt&gt;&lt;/pckUt&gt;&lt;rlbrCn&gt;&lt;/rlbrCn&gt;&lt;shedSgn&gt;&lt;/shedSgn&gt;&lt;/cargCsclPrgsInfoDtlQryVo&gt;&lt;cargCsclPrgsInfoDtlQryVo&gt;&lt;shedNm&gt;신선대감만터미널(주) 감만CY&lt;/shedNm&gt;&lt;prcsDttm&gt;20251121173521&lt;/prcsDttm&gt;&lt;dclrNo&gt;25030146003&lt;/dclrNo&gt;&lt;rlbrDttm&gt;&lt;/rlbrDttm&gt;&lt;wght&gt;21000&lt;/wght&gt;&lt;rlbrBssNo&gt;하선반입기한:2025-11-27&lt;/rlbrBssNo&gt;&lt;bfhnGdncCn&gt;&lt;/bfhnGdncCn&gt;&lt;wghtUt&gt;KG&lt;/wghtUt&gt;&lt;pckGcnt&gt;1800&lt;/pckGcnt&gt;&lt;cargTrcnRelaBsopTpcd&gt;하선신고 수리&lt;/cargTrcnRelaBsopTpcd&gt;&lt;pckUt&gt;CT&lt;/pckUt&gt;&lt;rlbrCn&gt;&lt;/rlbrCn&gt;&lt;shedSgn&gt;03012226&lt;/shedSgn&gt;&lt;/cargCsclPrgsInfoDtlQryVo&gt;&lt;cargCsclPrgsInfoDtlQryVo&gt;&lt;shedNm&gt;신선대감만터미널(주) 감만CY&lt;/shedNm&gt;&lt;prcsDttm&gt;20251121154257&lt;/prcsDttm&gt;&lt;dclrNo&gt;030D8030007025108414&lt;/dclrNo&gt;&lt;rlbrDttm&gt;(도)03011597동일냉장(주&lt;/rlbrDttm&gt;&lt;wght&gt;21000&lt;/wght&gt;&lt;rlbrBssNo&gt;천일정기화물자동차(주)&lt;/rlbrBssNo&gt;&lt;bfhnGdncCn&gt;&lt;/bfhnGdncCn&gt;&lt;wghtUt&gt;KG&lt;/wghtUt&gt;&lt;pckGcnt&gt;1800&lt;/pckGcnt&gt;&lt;cargTrcnRelaBsopTpcd&gt;보세운송 신고 수리&lt;/cargTrcnRelaBsopTpcd&gt;&lt;pckUt&gt;CT&lt;/pckUt&gt;&lt;rlbrCn&gt;&lt;/rlbrCn&gt;&lt;shedSgn&gt;03012226/입항전운송&lt;/shedSgn&gt;&lt;/cargCsclPrgsInfoDtlQryVo&gt;&lt;cargCsclPrgsInfoDtlQryVo&gt;&lt;shedNm&gt;신선대감만터미널(주) 감만CY&lt;/shedNm&gt;&lt;prcsDttm&gt;20251121154031&lt;/prcsDttm&gt;&lt;dclrNo&gt;030D8030007025108414&lt;/dclrNo&gt;&lt;rlbrDttm&gt;&lt;/rlbrDttm&gt;&lt;wght&gt;21000&lt;/wght&gt;&lt;rlbrBssNo&gt;&lt;/rlbrBssNo&gt;&lt;bfhnGdncCn&gt;&lt;/bfhnGdncCn&gt;&lt;wghtUt&gt;KG&lt;/wghtUt&gt;&lt;pckGcnt&gt;1800&lt;/pckGcnt&gt;&lt;cargTrcnRelaBsopTpcd&gt;보세운송 신고 접수&lt;/cargTrcnRelaBsopTpcd&gt;&lt;pckUt&gt;CT&lt;/pckUt&gt;&lt;rlbrCn&gt;&lt;/rlbrCn&gt;&lt;shedSgn&gt;03012226/입항전운송&lt;/shedSgn&gt;&lt;/cargCsclPrgsInfoDtlQryVo&gt;&lt;cargCsclPrgsInfoDtlQryVo&gt;&lt;shedNm&gt;신선대감만터미널(주) 감만CY&lt;/shedNm&gt;&lt;prcsDttm&gt;20251121130444&lt;/prcsDttm&gt;&lt;dclrNo&gt;&lt;/dclrNo&gt;&lt;rlbrDttm&gt;&lt;/rlbrDttm&gt;&lt;wght&gt;21000&lt;/wght&gt;&lt;rlbrBssNo&gt;주식회사 엔제이글로벌&lt;/rlbrBssNo&gt;&lt;bfhnGdncCn&gt;&lt;/bfhnGdncCn&gt;&lt;wghtUt&gt;KG&lt;/wghtUt&gt;&lt;pckGcnt&gt;1800&lt;/pckGcnt&gt;&lt;cargTrcnRelaBsopTpcd&gt;입항적재화물목록 심사완료&lt;/cargTrcnRelaBsopTpcd&gt;&lt;pckUt&gt;CT&lt;/pckUt&gt;&lt;rlbrCn&gt;&lt;/rlbrCn&gt;&lt;shedSgn&gt;03012226&lt;/shedSgn&gt;&lt;/cargCsclPrgsInfoDtlQryVo&gt;&lt;cargCsclPrgsInfoDtlQryVo&gt;&lt;shedNm&gt;신선대감만터미널(주) 감만CY&lt;/shedNm&gt;&lt;prcsDttm&gt;20251121112112&lt;/prcsDttm&gt;&lt;dclrNo&gt;&lt;/dclrNo&gt;&lt;rlbrDttm&gt;&lt;/rlbrDttm&gt;&lt;wght&gt;21000&lt;/wght&gt;&lt;rlbrBssNo&gt;&lt;/rlbrBssNo&gt;&lt;bfhnGdncCn&gt;&lt;/bfhnGdncCn&gt;&lt;wghtUt&gt;KG&lt;/wghtUt&gt;&lt;pckGcnt&gt;1800&lt;/pckGcnt&gt;&lt;cargTrcnRelaBsopTpcd&gt;입항적재화물목록 제출&lt;/cargTrcnRelaBsopTpcd&gt;&lt;pckUt&gt;CT&lt;/pckUt&gt;&lt;rlbrCn&gt;&lt;/rlbrCn&gt;&lt;shedSgn&gt;03012226&lt;/shedSgn&gt;&lt;/cargCsclPrgsInfoDtlQryVo&gt;&lt;/cargCsclPrgsInfoQryRtnVo&gt;</t>
    <phoneticPr fontId="1" type="noConversion"/>
  </si>
  <si>
    <t>KHHBUS2511004</t>
  </si>
  <si>
    <t>&lt;?xml version="1.0" encoding="UTF-8" standalone="yes"?&gt;&lt;cargCsclPrgsInfoQryRtnVo&gt;&lt;ntceInfo&gt;&lt;/ntceInfo&gt;&lt;cargCsclPrgsInfoQryVo&gt;&lt;csclPrgsStts&gt;수입신고수리&lt;/csclPrgsStts&gt;&lt;vydf&gt;0020E&lt;/vydf&gt;&lt;rlseDtyPridPassTpcd&gt;N&lt;/rlseDtyPridPassTpcd&gt;&lt;prnm&gt;FROZEN PACIFIC SAURY  COLOLABIS SAIRA&lt;/prnm&gt;&lt;ldprCd&gt;TWKHH&lt;/ldprCd&gt;&lt;shipNat&gt;LR&lt;/shipNat&gt;&lt;blPt&gt;C&lt;/blPt&gt;&lt;dsprNm&gt;부산신항&lt;/dsprNm&gt;&lt;etprDt&gt;20251120&lt;/etprDt&gt;&lt;prgsStCd&gt;CAGE12&lt;/prgsStCd&gt;&lt;msrm&gt;385&lt;/msrm&gt;&lt;wghtUt&gt;KG&lt;/wghtUt&gt;&lt;dsprCd&gt;KRBNP&lt;/dsprCd&gt;&lt;cntrGcnt&gt;7&lt;/cntrGcnt&gt;&lt;cargTp&gt;수입 일반화물&lt;/cargTp&gt;&lt;shcoFlcoSgn&gt;ONEY&lt;/shcoFlcoSgn&gt;&lt;pckGcnt&gt;15730&lt;/pckGcnt&gt;&lt;etprCstm&gt;부산세관&lt;/etprCstm&gt;&lt;shipNm&gt;CONTI ANNAPURNA&lt;/shipNm&gt;&lt;hblNo&gt;KHHBUS2511004&lt;/hblNo&gt;&lt;prcsDttm&gt;20251218161650&lt;/prcsDttm&gt;&lt;frwrSgn&gt;KANA&lt;/frwrSgn&gt;&lt;spcnCargCd&gt;&lt;/spcnCargCd&gt;&lt;ttwg&gt;170940&lt;/ttwg&gt;&lt;ldprNm&gt;Kaohsiung&lt;/ldprNm&gt;&lt;dclrDelyAdtxYn&gt;N&lt;/dclrDelyAdtxYn&gt;&lt;mtTrgtCargYnNm&gt;N&lt;/mtTrgtCargYnNm&gt;&lt;cargMtNo&gt;25ONEY1441I50060001&lt;/cargMtNo&gt;&lt;cntrNo&gt;KKFU6746401&lt;/cntrNo&gt;&lt;mblNo&gt;ONEYTPEF83544700&lt;/mblNo&gt;&lt;blPtNm&gt;Consol&lt;/blPtNm&gt;&lt;lodCntyCd&gt;TW&lt;/lodCntyCd&gt;&lt;prgsStts&gt;반출완료&lt;/prgsStts&gt;&lt;shcoFlco&gt;오션네트워크익스프레스코리아(주)&lt;/shcoFlco&gt;&lt;pckUt&gt;GT&lt;/pckUt&gt;&lt;shipNatNm&gt;라이베리아&lt;/shipNatNm&gt;&lt;agnc&gt;오션네트워크익스프레스코리아&lt;/agnc&gt;&lt;frwrEntsConm&gt;(주)가나해운&lt;/frwrEntsConm&gt;&lt;/cargCsclPrgsInfoQryVo&gt;&lt;tCnt&gt;27&lt;/tCnt&gt;&lt;cargCsclPrgsInfoDtlQryVo&gt;&lt;shedNm&gt;동일냉장(주)&lt;/shedNm&gt;&lt;prcsDttm&gt;20251218161650&lt;/prcsDttm&gt;&lt;dclrNo&gt;030115972500001711&lt;/dclrNo&gt;&lt;rlbrDttm&gt;2025-12-18 16:17:00&lt;/rlbrDttm&gt;&lt;wght&gt;54336&lt;/wght&gt;&lt;rlbrBssNo&gt;2356325120512M&lt;/rlbrBssNo&gt;&lt;bfhnGdncCn&gt;&lt;/bfhnGdncCn&gt;&lt;wghtUt&gt;KG&lt;/wghtUt&gt;&lt;pckGcnt&gt;5000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20251218155946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20251218155330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20251218155102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20251218152052&lt;/prcsDttm&gt;&lt;dclrNo&gt;2356325120512M&lt;/dclrNo&gt;&lt;rlbrDttm&gt;&lt;/rlbrDttm&gt;&lt;wght&gt;54336&lt;/wght&gt;&lt;rlbrBssNo&gt;선민합동관세사무소&lt;/rlbrBssNo&gt;&lt;bfhnGdncCn&gt;&lt;/bfhnGdncCn&gt;&lt;wghtUt&gt;KG&lt;/wghtUt&gt;&lt;pckGcnt&gt;5000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20251215131439&lt;/prcsDttm&gt;&lt;dclrNo&gt;030115972500001688&lt;/dclrNo&gt;&lt;rlbrDttm&gt;2025-12-15 13:14:00&lt;/rlbrDttm&gt;&lt;wght&gt;32601&lt;/wght&gt;&lt;rlbrBssNo&gt;2356325120371M&lt;/rlbrBssNo&gt;&lt;bfhnGdncCn&gt;&lt;/bfhnGdncCn&gt;&lt;wghtUt&gt;KG&lt;/wghtUt&gt;&lt;pckGcnt&gt;3000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20251215130652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20251215120359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20251215112555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20251215105546&lt;/prcsDttm&gt;&lt;dclrNo&gt;2356325120371M&lt;/dclrNo&gt;&lt;rlbrDttm&gt;&lt;/rlbrDttm&gt;&lt;wght&gt;32601&lt;/wght&gt;&lt;rlbrBssNo&gt;선민합동관세사무소&lt;/rlbrBssNo&gt;&lt;bfhnGdncCn&gt;&lt;/bfhnGdncCn&gt;&lt;wghtUt&gt;KG&lt;/wghtUt&gt;&lt;pckGcnt&gt;3000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20251209163506&lt;/prcsDttm&gt;&lt;dclrNo&gt;030115972500001657&lt;/dclrNo&gt;&lt;rlbrDttm&gt;2025-12-09 16:35:00&lt;/rlbrDttm&gt;&lt;wght&gt;13257&lt;/wght&gt;&lt;rlbrBssNo&gt;2356325120210M&lt;/rlbrBssNo&gt;&lt;bfhnGdncCn&gt;&lt;/bfhnGdncCn&gt;&lt;wghtUt&gt;KG&lt;/wghtUt&gt;&lt;pckGcnt&gt;1220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20251209154041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20251209153623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20251209153542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20251209150532&lt;/prcsDttm&gt;&lt;dclrNo&gt;2356325120210M&lt;/dclrNo&gt;&lt;rlbrDttm&gt;&lt;/rlbrDttm&gt;&lt;wght&gt;13257&lt;/wght&gt;&lt;rlbrBssNo&gt;선민합동관세사무소&lt;/rlbrBssNo&gt;&lt;bfhnGdncCn&gt;&lt;/bfhnGdncCn&gt;&lt;wghtUt&gt;KG&lt;/wghtUt&gt;&lt;pckGcnt&gt;1220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20251127131554&lt;/prcsDttm&gt;&lt;dclrNo&gt;11-2BA2025400812917-01&lt;/dclrNo&gt;&lt;rlbrDttm&gt;2025-11-27 00:00:00&lt;/rlbrDttm&gt;&lt;wght&gt;155450&lt;/wght&gt;&lt;rlbrBssNo&gt;신청일자:25.11.25&lt;/rlbrBssNo&gt;&lt;bfhnGdncCn&gt;[부가사항] 최근 검사/검역 신청부터 결과 과정까지의 평균 소요시간은 37일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20251125163712&lt;/prcsDttm&gt;&lt;dclrNo&gt;2356325007BIC&lt;/dclrNo&gt;&lt;rlbrDttm&gt;2025-11-25 16:37:12&lt;/rlbrDttm&gt;&lt;wght&gt;155450&lt;/wght&gt;&lt;rlbrBssNo&gt;&lt;/rlbrBssNo&gt;&lt;bfhnGdncCn&gt;&lt;/bfhnGdncCn&gt;&lt;wghtUt&gt;KG&lt;/wghtUt&gt;&lt;pckGcnt&gt;15730&lt;/pckGcnt&gt;&lt;cargTrcnRelaBsopTpcd&gt;식품의약품 검사종류 확정(정밀)&lt;/cargTrcnRelaBsopTpcd&gt;&lt;pckUt&gt;CT&lt;/pckUt&gt;&lt;rlbrCn&gt;&lt;/rlbrCn&gt;&lt;shedSgn&gt;03011597&lt;/shedSgn&gt;&lt;/cargCsclPrgsInfoDtlQryVo&gt;&lt;cargCsclPrgsInfoDtlQryVo&gt;&lt;shedNm&gt;동일냉장(주)&lt;/shedNm&gt;&lt;prcsDttm&gt;20251124121605&lt;/prcsDttm&gt;&lt;dclrNo&gt;030115972500001307&lt;/dclrNo&gt;&lt;rlbrDttm&gt;2025-11-24 12:16:01&lt;/rlbrDttm&gt;&lt;wght&gt;170940&lt;/wght&gt;&lt;rlbrBssNo&gt;030D1030F66025406194&lt;/rlbrBssNo&gt;&lt;bfhnGdncCn&gt;[부가사항] 동일냉장(주)의 장치기간은 최대 6 개월 입니다.&lt;/bfhnGdncCn&gt;&lt;wghtUt&gt;KG&lt;/wghtUt&gt;&lt;pckGcnt&gt;15730&lt;/pckGcnt&gt;&lt;cargTrcnRelaBsopTpcd&gt;반입신고&lt;/cargTrcnRelaBsopTpcd&gt;&lt;pckUt&gt;GT&lt;/pckUt&gt;&lt;rlbrCn&gt;보세운송 반입&lt;/rlbrCn&gt;&lt;shedSgn&gt;03011597/001&lt;/shedSgn&gt;&lt;/cargCsclPrgsInfoDtlQryVo&gt;&lt;cargCsclPrgsInfoDtlQryVo&gt;&lt;shedNm&gt;에이치엠엠피에스에이신항만(주)&lt;/shedNm&gt;&lt;prcsDttm&gt;20251122072625&lt;/prcsDttm&gt;&lt;dclrNo&gt;03077011250375130A&lt;/dclrNo&gt;&lt;rlbrDttm&gt;2025-11-21 14:55:44&lt;/rlbrDttm&gt;&lt;wght&gt;170940&lt;/wght&gt;&lt;rlbrBssNo&gt;030D1030F66025406194&lt;/rlbrBssNo&gt;&lt;bfhnGdncCn&gt;&lt;/bfhnGdncCn&gt;&lt;wghtUt&gt;KG&lt;/wghtUt&gt;&lt;pckGcnt&gt;15730&lt;/pckGcnt&gt;&lt;cargTrcnRelaBsopTpcd&gt;반출신고&lt;/cargTrcnRelaBsopTpcd&gt;&lt;pckUt&gt;GT&lt;/pckUt&gt;&lt;rlbrCn&gt;보세운송 반출&lt;/rlbrCn&gt;&lt;shedSgn&gt;03077011&lt;/shedSgn&gt;&lt;/cargCsclPrgsInfoDtlQryVo&gt;&lt;cargCsclPrgsInfoDtlQryVo&gt;&lt;shedNm&gt;에이치엠엠피에스에이신항만(주)&lt;/shedNm&gt;&lt;prcsDttm&gt;20251120225514&lt;/prcsDttm&gt;&lt;dclrNo&gt;03077011250368788A&lt;/dclrNo&gt;&lt;rlbrDttm&gt;2025-11-20 22:54:02&lt;/rlbrDttm&gt;&lt;wght&gt;170940&lt;/wght&gt;&lt;rlbrBssNo&gt;&lt;/rlbrBssNo&gt;&lt;bfhnGdncCn&gt;[부가사항] 에이치엠엠피에스에이신항만(주)의 장치기간은 최대 3 개월 입니다.&lt;/bfhnGdncCn&gt;&lt;wghtUt&gt;KG&lt;/wghtUt&gt;&lt;pckGcnt&gt;15730&lt;/pckGcnt&gt;&lt;cargTrcnRelaBsopTpcd&gt;반입신고&lt;/cargTrcnRelaBsopTpcd&gt;&lt;pckUt&gt;GT&lt;/pckUt&gt;&lt;rlbrCn&gt;입항 반입&lt;/rlbrCn&gt;&lt;shedSgn&gt;03077011&lt;/shedSgn&gt;&lt;/cargCsclPrgsInfoDtlQryVo&gt;&lt;cargCsclPrgsInfoDtlQryVo&gt;&lt;shedNm&gt;&lt;/shedNm&gt;&lt;prcsDttm&gt;20251120164007&lt;/prcsDttm&gt;&lt;dclrNo&gt;25ONEY1441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20251120164006&lt;/prcsDttm&gt;&lt;dclrNo&gt;25ONEY1441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20251119160704&lt;/prcsDttm&gt;&lt;dclrNo&gt;030D1030F66025406194&lt;/dclrNo&gt;&lt;rlbrDttm&gt;(도)03011597동일냉장(주&lt;/rlbrDttm&gt;&lt;wght&gt;170940&lt;/wght&gt;&lt;rlbrBssNo&gt;(주)에스에스물류&lt;/rlbrBssNo&gt;&lt;bfhnGdncCn&gt;&lt;/bfhnGdncCn&gt;&lt;wghtUt&gt;KG&lt;/wghtUt&gt;&lt;pckGcnt&gt;15730&lt;/pckGcnt&gt;&lt;cargTrcnRelaBsopTpcd&gt;보세운송 신고 수리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20251119160549&lt;/prcsDttm&gt;&lt;dclrNo&gt;030D1030F66025406194&lt;/dclrNo&gt;&lt;rlbrDttm&gt;&lt;/rlbrDttm&gt;&lt;wght&gt;170940&lt;/wght&gt;&lt;rlbrBssNo&gt;&lt;/rlbrBssNo&gt;&lt;bfhnGdncCn&gt;&lt;/bfhnGdncCn&gt;&lt;wghtUt&gt;KG&lt;/wghtUt&gt;&lt;pckGcnt&gt;15730&lt;/pckGcnt&gt;&lt;cargTrcnRelaBsopTpcd&gt;보세운송 신고 접수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20251119154404&lt;/prcsDttm&gt;&lt;dclrNo&gt;25030145551&lt;/dclrNo&gt;&lt;rlbrDttm&gt;&lt;/rlbrDttm&gt;&lt;wght&gt;170940&lt;/wght&gt;&lt;rlbrBssNo&gt;하선반입기한:2025-11-25&lt;/rlbrBssNo&gt;&lt;bfhnGdncCn&gt;&lt;/bfhnGdncCn&gt;&lt;wghtUt&gt;KG&lt;/wghtUt&gt;&lt;pckGcnt&gt;15730&lt;/pckGcnt&gt;&lt;cargTrcnRelaBsopTpcd&gt;하선신고 수리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20251119154306&lt;/prcsDttm&gt;&lt;dclrNo&gt;&lt;/dclrNo&gt;&lt;rlbrDttm&gt;&lt;/rlbrDttm&gt;&lt;wght&gt;170940&lt;/wght&gt;&lt;rlbrBssNo&gt;(주)가나해운&lt;/rlbrBssNo&gt;&lt;bfhnGdncCn&gt;&lt;/bfhnGdncCn&gt;&lt;wghtUt&gt;KG&lt;/wghtUt&gt;&lt;pckGcnt&gt;15730&lt;/pckGcnt&gt;&lt;cargTrcnRelaBsopTpcd&gt;입항적재화물목록 심사완료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20251119141613&lt;/prcsDttm&gt;&lt;dclrNo&gt;&lt;/dclrNo&gt;&lt;rlbrDttm&gt;&lt;/rlbrDttm&gt;&lt;wght&gt;170940&lt;/wght&gt;&lt;rlbrBssNo&gt;&lt;/rlbrBssNo&gt;&lt;bfhnGdncCn&gt;&lt;/bfhnGdncCn&gt;&lt;wghtUt&gt;KG&lt;/wghtUt&gt;&lt;pckGcnt&gt;15730&lt;/pckGcnt&gt;&lt;cargTrcnRelaBsopTpcd&gt;입항적재화물목록 제출&lt;/cargTrcnRelaBsopTpcd&gt;&lt;pckUt&gt;GT&lt;/pckUt&gt;&lt;rlbrCn&gt;&lt;/rlbrCn&gt;&lt;shedSgn&gt;03077011&lt;/shedSgn&gt;&lt;/cargCsclPrgsInfoDtlQryVo&gt;&lt;/cargCsclPrgsInfoQryRtnVo&gt;</t>
  </si>
  <si>
    <t>&lt;?xml version="1.0" encoding="UTF-8" standalone="yes"?&gt;&lt;cargCsclPrgsInfoQryRtnVo&gt;&lt;ntceInfo&gt;&lt;/ntceInfo&gt;&lt;cargCsclPrgsInfoQryVo&gt;&lt;csclPrgsStts&gt;수입신고수리&lt;/csclPrgsStts&gt;&lt;vydf&gt;0020E&lt;/vydf&gt;&lt;rlseDtyPridPassTpcd&gt;N&lt;/rlseDtyPridPassTpcd&gt;&lt;prnm&gt;FROZEN PACIFIC SAURY  COLOLABIS SAIRA&lt;/prnm&gt;&lt;ldprCd&gt;TWKHH&lt;/ldprCd&gt;&lt;shipNat&gt;LR&lt;/shipNat&gt;&lt;blPt&gt;C&lt;/blPt&gt;&lt;dsprNm&gt;부산신항&lt;/dsprNm&gt;&lt;etprDt&gt;20251120&lt;/etprDt&gt;&lt;prgsStCd&gt;CAGE12&lt;/prgsStCd&gt;&lt;msrm&gt;385&lt;/msrm&gt;&lt;wghtUt&gt;KG&lt;/wghtUt&gt;&lt;dsprCd&gt;KRBNP&lt;/dsprCd&gt;&lt;cntrGcnt&gt;7&lt;/cntrGcnt&gt;&lt;cargTp&gt;수입 일반화물&lt;/cargTp&gt;&lt;shcoFlcoSgn&gt;ONEY&lt;/shcoFlcoSgn&gt;&lt;pckGcnt&gt;15730&lt;/pckGcnt&gt;&lt;etprCstm&gt;부산세관&lt;/etprCstm&gt;&lt;shipNm&gt;CONTI ANNAPURNA&lt;/shipNm&gt;&lt;hblNo&gt;KHHBUS2511004&lt;/hblNo&gt;&lt;prcsDttm&gt;20251218161650&lt;/prcsDttm&gt;&lt;frwrSgn&gt;KANA&lt;/frwrSgn&gt;&lt;spcnCargCd&gt;&lt;/spcnCargCd&gt;&lt;ttwg&gt;170940&lt;/ttwg&gt;&lt;ldprNm&gt;Kaohsiung&lt;/ldprNm&gt;&lt;dclrDelyAdtxYn&gt;N&lt;/dclrDelyAdtxYn&gt;&lt;mtTrgtCargYnNm&gt;N&lt;/mtTrgtCargYnNm&gt;&lt;cargMtNo&gt;25ONEY1441I50060001&lt;/cargMtNo&gt;&lt;cntrNo&gt;KKFU6746401&lt;/cntrNo&gt;&lt;mblNo&gt;ONEYTPEF83544700&lt;/mblNo&gt;&lt;blPtNm&gt;Consol&lt;/blPtNm&gt;&lt;lodCntyCd&gt;TW&lt;/lodCntyCd&gt;&lt;prgsStts&gt;반출완료&lt;/prgsStts&gt;&lt;shcoFlco&gt;오션네트워크익스프레스코리아(주)&lt;/shcoFlco&gt;&lt;pckUt&gt;GT&lt;/pckUt&gt;&lt;shipNatNm&gt;라이베리아&lt;/shipNatNm&gt;&lt;agnc&gt;오션네트워크익스프레스코리아&lt;/agnc&gt;&lt;frwrEntsConm&gt;(주)가나해운&lt;/frwrEntsConm&gt;&lt;/cargCsclPrgsInfoQryVo&gt;&lt;tCnt&gt;27&lt;/tCnt&gt;&lt;cargCsclPrgsInfoDtlQryVo&gt;&lt;shedNm&gt;동일냉장(주)&lt;/shedNm&gt;&lt;prcsDttm&gt;20251218161650&lt;/prcsDttm&gt;&lt;dclrNo&gt;030115972500001711&lt;/dclrNo&gt;&lt;rlbrDttm&gt;2025-12-18 16:17:00&lt;/rlbrDttm&gt;&lt;wght&gt;54336&lt;/wght&gt;&lt;rlbrBssNo&gt;2356325120512M&lt;/rlbrBssNo&gt;&lt;bfhnGdncCn&gt;&lt;/bfhnGdncCn&gt;&lt;wghtUt&gt;KG&lt;/wghtUt&gt;&lt;pckGcnt&gt;5000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20251218155946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20251218155330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20251218155102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20251218152052&lt;/prcsDttm&gt;&lt;dclrNo&gt;2356325120512M&lt;/dclrNo&gt;&lt;rlbrDttm&gt;&lt;/rlbrDttm&gt;&lt;wght&gt;54336&lt;/wght&gt;&lt;rlbrBssNo&gt;선민합동관세사무소&lt;/rlbrBssNo&gt;&lt;bfhnGdncCn&gt;&lt;/bfhnGdncCn&gt;&lt;wghtUt&gt;KG&lt;/wghtUt&gt;&lt;pckGcnt&gt;5000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20251215131439&lt;/prcsDttm&gt;&lt;dclrNo&gt;030115972500001688&lt;/dclrNo&gt;&lt;rlbrDttm&gt;2025-12-15 13:14:00&lt;/rlbrDttm&gt;&lt;wght&gt;32601&lt;/wght&gt;&lt;rlbrBssNo&gt;2356325120371M&lt;/rlbrBssNo&gt;&lt;bfhnGdncCn&gt;&lt;/bfhnGdncCn&gt;&lt;wghtUt&gt;KG&lt;/wghtUt&gt;&lt;pckGcnt&gt;3000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20251215130652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20251215120359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20251215112555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20251215105546&lt;/prcsDttm&gt;&lt;dclrNo&gt;2356325120371M&lt;/dclrNo&gt;&lt;rlbrDttm&gt;&lt;/rlbrDttm&gt;&lt;wght&gt;32601&lt;/wght&gt;&lt;rlbrBssNo&gt;선민합동관세사무소&lt;/rlbrBssNo&gt;&lt;bfhnGdncCn&gt;&lt;/bfhnGdncCn&gt;&lt;wghtUt&gt;KG&lt;/wghtUt&gt;&lt;pckGcnt&gt;3000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20251209163506&lt;/prcsDttm&gt;&lt;dclrNo&gt;030115972500001657&lt;/dclrNo&gt;&lt;rlbrDttm&gt;2025-12-09 16:35:00&lt;/rlbrDttm&gt;&lt;wght&gt;13257&lt;/wght&gt;&lt;rlbrBssNo&gt;2356325120210M&lt;/rlbrBssNo&gt;&lt;bfhnGdncCn&gt;&lt;/bfhnGdncCn&gt;&lt;wghtUt&gt;KG&lt;/wghtUt&gt;&lt;pckGcnt&gt;1220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20251209154041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20251209153623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20251209153542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20251209150532&lt;/prcsDttm&gt;&lt;dclrNo&gt;2356325120210M&lt;/dclrNo&gt;&lt;rlbrDttm&gt;&lt;/rlbrDttm&gt;&lt;wght&gt;13257&lt;/wght&gt;&lt;rlbrBssNo&gt;선민합동관세사무소&lt;/rlbrBssNo&gt;&lt;bfhnGdncCn&gt;&lt;/bfhnGdncCn&gt;&lt;wghtUt&gt;KG&lt;/wghtUt&gt;&lt;pckGcnt&gt;1220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20251127131554&lt;/prcsDttm&gt;&lt;dclrNo&gt;11-2BA2025400812917-01&lt;/dclrNo&gt;&lt;rlbrDttm&gt;2025-11-27 00:00:00&lt;/rlbrDttm&gt;&lt;wght&gt;155450&lt;/wght&gt;&lt;rlbrBssNo&gt;신청일자:25.11.25&lt;/rlbrBssNo&gt;&lt;bfhnGdncCn&gt;[부가사항] 최근 검사/검역 신청부터 결과 과정까지의 평균 소요시간은 37일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20251125163712&lt;/prcsDttm&gt;&lt;dclrNo&gt;2356325007BIC&lt;/dclrNo&gt;&lt;rlbrDttm&gt;2025-11-25 16:37:12&lt;/rlbrDttm&gt;&lt;wght&gt;155450&lt;/wght&gt;&lt;rlbrBssNo&gt;&lt;/rlbrBssNo&gt;&lt;bfhnGdncCn&gt;&lt;/bfhnGdncCn&gt;&lt;wghtUt&gt;KG&lt;/wghtUt&gt;&lt;pckGcnt&gt;15730&lt;/pckGcnt&gt;&lt;cargTrcnRelaBsopTpcd&gt;식품의약품 검사종류 확정(정밀)&lt;/cargTrcnRelaBsopTpcd&gt;&lt;pckUt&gt;CT&lt;/pckUt&gt;&lt;rlbrCn&gt;&lt;/rlbrCn&gt;&lt;shedSgn&gt;03011597&lt;/shedSgn&gt;&lt;/cargCsclPrgsInfoDtlQryVo&gt;&lt;cargCsclPrgsInfoDtlQryVo&gt;&lt;shedNm&gt;동일냉장(주)&lt;/shedNm&gt;&lt;prcsDttm&gt;20251124121605&lt;/prcsDttm&gt;&lt;dclrNo&gt;030115972500001307&lt;/dclrNo&gt;&lt;rlbrDttm&gt;2025-11-24 12:16:01&lt;/rlbrDttm&gt;&lt;wght&gt;170940&lt;/wght&gt;&lt;rlbrBssNo&gt;030D1030F66025406194&lt;/rlbrBssNo&gt;&lt;bfhnGdncCn&gt;[부가사항] 동일냉장(주)의 장치기간은 최대 6 개월 입니다.&lt;/bfhnGdncCn&gt;&lt;wghtUt&gt;KG&lt;/wghtUt&gt;&lt;pckGcnt&gt;15730&lt;/pckGcnt&gt;&lt;cargTrcnRelaBsopTpcd&gt;반입신고&lt;/cargTrcnRelaBsopTpcd&gt;&lt;pckUt&gt;GT&lt;/pckUt&gt;&lt;rlbrCn&gt;보세운송 반입&lt;/rlbrCn&gt;&lt;shedSgn&gt;03011597/001&lt;/shedSgn&gt;&lt;/cargCsclPrgsInfoDtlQryVo&gt;&lt;cargCsclPrgsInfoDtlQryVo&gt;&lt;shedNm&gt;에이치엠엠피에스에이신항만(주)&lt;/shedNm&gt;&lt;prcsDttm&gt;20251122072625&lt;/prcsDttm&gt;&lt;dclrNo&gt;03077011250375130A&lt;/dclrNo&gt;&lt;rlbrDttm&gt;2025-11-21 14:55:44&lt;/rlbrDttm&gt;&lt;wght&gt;170940&lt;/wght&gt;&lt;rlbrBssNo&gt;030D1030F66025406194&lt;/rlbrBssNo&gt;&lt;bfhnGdncCn&gt;&lt;/bfhnGdncCn&gt;&lt;wghtUt&gt;KG&lt;/wghtUt&gt;&lt;pckGcnt&gt;15730&lt;/pckGcnt&gt;&lt;cargTrcnRelaBsopTpcd&gt;반출신고&lt;/cargTrcnRelaBsopTpcd&gt;&lt;pckUt&gt;GT&lt;/pckUt&gt;&lt;rlbrCn&gt;보세운송 반출&lt;/rlbrCn&gt;&lt;shedSgn&gt;03077011&lt;/shedSgn&gt;&lt;/cargCsclPrgsInfoDtlQryVo&gt;&lt;cargCsclPrgsInfoDtlQryVo&gt;&lt;shedNm&gt;에이치엠엠피에스에이신항만(주)&lt;/shedNm&gt;&lt;prcsDttm&gt;20251120225514&lt;/prcsDttm&gt;&lt;dclrNo&gt;03077011250368788A&lt;/dclrNo&gt;&lt;rlbrDttm&gt;2025-11-20 22:54:02&lt;/rlbrDttm&gt;&lt;wght&gt;170940&lt;/wght&gt;&lt;rlbrBssNo&gt;&lt;/rlbrBssNo&gt;&lt;bfhnGdncCn&gt;[부가사항] 에이치엠엠피에스에이신항만(주)의 장치기간은 최대 3 개월 입니다.&lt;/bfhnGdncCn&gt;&lt;wghtUt&gt;KG&lt;/wghtUt&gt;&lt;pckGcnt&gt;15730&lt;/pckGcnt&gt;&lt;cargTrcnRelaBsopTpcd&gt;반입신고&lt;/cargTrcnRelaBsopTpcd&gt;&lt;pckUt&gt;GT&lt;/pckUt&gt;&lt;rlbrCn&gt;입항 반입&lt;/rlbrCn&gt;&lt;shedSgn&gt;03077011&lt;/shedSgn&gt;&lt;/cargCsclPrgsInfoDtlQryVo&gt;&lt;cargCsclPrgsInfoDtlQryVo&gt;&lt;shedNm&gt;&lt;/shedNm&gt;&lt;prcsDttm&gt;20251120164007&lt;/prcsDttm&gt;&lt;dclrNo&gt;25ONEY1441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20251120164006&lt;/prcsDttm&gt;&lt;dclrNo&gt;25ONEY1441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20251119160704&lt;/prcsDttm&gt;&lt;dclrNo&gt;030D1030F66025406194&lt;/dclrNo&gt;&lt;rlbrDttm&gt;(도)03011597동일냉장(주&lt;/rlbrDttm&gt;&lt;wght&gt;170940&lt;/wght&gt;&lt;rlbrBssNo&gt;(주)에스에스물류&lt;/rlbrBssNo&gt;&lt;bfhnGdncCn&gt;&lt;/bfhnGdncCn&gt;&lt;wghtUt&gt;KG&lt;/wghtUt&gt;&lt;pckGcnt&gt;15730&lt;/pckGcnt&gt;&lt;cargTrcnRelaBsopTpcd&gt;보세운송 신고 수리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20251119160549&lt;/prcsDttm&gt;&lt;dclrNo&gt;030D1030F66025406194&lt;/dclrNo&gt;&lt;rlbrDttm&gt;&lt;/rlbrDttm&gt;&lt;wght&gt;170940&lt;/wght&gt;&lt;rlbrBssNo&gt;&lt;/rlbrBssNo&gt;&lt;bfhnGdncCn&gt;&lt;/bfhnGdncCn&gt;&lt;wghtUt&gt;KG&lt;/wghtUt&gt;&lt;pckGcnt&gt;15730&lt;/pckGcnt&gt;&lt;cargTrcnRelaBsopTpcd&gt;보세운송 신고 접수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20251119154404&lt;/prcsDttm&gt;&lt;dclrNo&gt;25030145551&lt;/dclrNo&gt;&lt;rlbrDttm&gt;&lt;/rlbrDttm&gt;&lt;wght&gt;170940&lt;/wght&gt;&lt;rlbrBssNo&gt;하선반입기한:2025-11-25&lt;/rlbrBssNo&gt;&lt;bfhnGdncCn&gt;&lt;/bfhnGdncCn&gt;&lt;wghtUt&gt;KG&lt;/wghtUt&gt;&lt;pckGcnt&gt;15730&lt;/pckGcnt&gt;&lt;cargTrcnRelaBsopTpcd&gt;하선신고 수리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20251119154306&lt;/prcsDttm&gt;&lt;dclrNo&gt;&lt;/dclrNo&gt;&lt;rlbrDttm&gt;&lt;/rlbrDttm&gt;&lt;wght&gt;170940&lt;/wght&gt;&lt;rlbrBssNo&gt;(주)가나해운&lt;/rlbrBssNo&gt;&lt;bfhnGdncCn&gt;&lt;/bfhnGdncCn&gt;&lt;wghtUt&gt;KG&lt;/wghtUt&gt;&lt;pckGcnt&gt;15730&lt;/pckGcnt&gt;&lt;cargTrcnRelaBsopTpcd&gt;입항적재화물목록 심사완료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20251119141613&lt;/prcsDttm&gt;&lt;dclrNo&gt;&lt;/dclrNo&gt;&lt;rlbrDttm&gt;&lt;/rlbrDttm&gt;&lt;wght&gt;170940&lt;/wght&gt;&lt;rlbrBssNo&gt;&lt;/rlbrBssNo&gt;&lt;bfhnGdncCn&gt;&lt;/bfhnGdncCn&gt;&lt;wghtUt&gt;KG&lt;/wghtUt&gt;&lt;pckGcnt&gt;15730&lt;/pckGcnt&gt;&lt;cargTrcnRelaBsopTpcd&gt;입항적재화물목록 제출&lt;/cargTrcnRelaBsopTpcd&gt;&lt;pckUt&gt;GT&lt;/pckUt&gt;&lt;rlbrCn&gt;&lt;/rlbrCn&gt;&lt;shedSgn&gt;03077011&lt;/shedSgn&gt;&lt;/cargCsclPrgsInfoDtlQryVo&gt;&lt;/cargCsclPrgsInfoQryRtnVo&gt;</t>
    <phoneticPr fontId="1" type="noConversion"/>
  </si>
  <si>
    <t>CONTI ANNAPURNA</t>
  </si>
  <si>
    <t>2025.11.20</t>
  </si>
  <si>
    <t>&lt;?xml version="1.0" encoding="UTF-8" standalone="yes"?&gt;&lt;cargCsclPrgsInfoQryRtnVo&gt;&lt;ntceInfo&gt;&lt;/ntceInfo&gt;&lt;cargCsclPrgsInfoQryVo&gt;&lt;csclPrgsStts&gt;수입신고전&lt;/csclPrgsStts&gt;&lt;vydf&gt;0012E&lt;/vydf&gt;&lt;rlseDtyPridPassTpcd&gt;N&lt;/rlseDtyPridPassTpcd&gt;&lt;prnm&gt;FROZEN COOKED SUSHI VANNAMEI SHRIMP&lt;/prnm&gt;&lt;ldprCd&gt;VNSGN&lt;/ldprCd&gt;&lt;shipNat&gt;PA&lt;/shipNat&gt;&lt;blPt&gt;S&lt;/blPt&gt;&lt;dsprNm&gt;부산신항&lt;/dsprNm&gt;&lt;etprDt&gt;20251221&lt;/etprDt&gt;&lt;prgsStCd&gt;CSWA01&lt;/prgsStCd&gt;&lt;msrm&gt;25&lt;/msrm&gt;&lt;wghtUt&gt;KG&lt;/wghtUt&gt;&lt;dsprCd&gt;KRBNP&lt;/dsprCd&gt;&lt;cntrGcnt&gt;1&lt;/cntrGcnt&gt;&lt;cargTp&gt;수입 일반화물&lt;/cargTp&gt;&lt;shcoFlcoSgn&gt;HDMU&lt;/shcoFlcoSgn&gt;&lt;pckGcnt&gt;1600&lt;/pckGcnt&gt;&lt;etprCstm&gt;부산세관&lt;/etprCstm&gt;&lt;shipNm&gt;HMM MIRACLE&lt;/shipNm&gt;&lt;hblNo&gt;&lt;/hblNo&gt;&lt;prcsDttm&gt;20251226170134&lt;/prcsDttm&gt;&lt;frwrSgn&gt;&lt;/frwrSgn&gt;&lt;spcnCargCd&gt;RF&lt;/spcnCargCd&gt;&lt;ttwg&gt;6720&lt;/ttwg&gt;&lt;ldprNm&gt;Ho Chi Minh City&lt;/ldprNm&gt;&lt;dclrDelyAdtxYn&gt;N&lt;/dclrDelyAdtxYn&gt;&lt;mtTrgtCargYnNm&gt;N&lt;/mtTrgtCargYnNm&gt;&lt;cargMtNo&gt;25HDMUA653I0210&lt;/cargMtNo&gt;&lt;cntrNo&gt;HMMU5201857&lt;/cntrNo&gt;&lt;mblNo&gt;HDMUSGNA17207600&lt;/mblNo&gt;&lt;blPtNm&gt;Simple&lt;/blPtNm&gt;&lt;lodCntyCd&gt;VN&lt;/lodCntyCd&gt;&lt;prgsStts&gt;식품의약품 검사종류 확정(정밀)&lt;/prgsStts&gt;&lt;shcoFlco&gt;에이치엠엠(주)&lt;/shcoFlco&gt;&lt;pckUt&gt;CT&lt;/pckUt&gt;&lt;shipNatNm&gt;파나마&lt;/shipNatNm&gt;&lt;agnc&gt;에이치엠엠&lt;/agnc&gt;&lt;frwrEntsConm&gt;&lt;/frwrEntsConm&gt;&lt;/cargCsclPrgsInfoQryVo&gt;&lt;tCnt&gt;11&lt;/tCnt&gt;&lt;cargCsclPrgsInfoDtlQryVo&gt;&lt;shedNm&gt;동일냉장(주)&lt;/shedNm&gt;&lt;prcsDttm&gt;20251226170134&lt;/prcsDttm&gt;&lt;dclrNo&gt;23563250084UC&lt;/dclrNo&gt;&lt;rlbrDttm&gt;2025-12-26 17:01:34&lt;/rlbrDttm&gt;&lt;wght&gt;5120&lt;/wght&gt;&lt;rlbrBssNo&gt;&lt;/rlbrBssNo&gt;&lt;bfhnGdncCn&gt;&lt;/bfhnGdncCn&gt;&lt;wghtUt&gt;KG&lt;/wghtUt&gt;&lt;pckGcnt&gt;1600&lt;/pckGcnt&gt;&lt;cargTrcnRelaBsopTpcd&gt;식품의약품 검사종류 확정(정밀)&lt;/cargTrcnRelaBsopTpcd&gt;&lt;pckUt&gt;CT&lt;/pckUt&gt;&lt;rlbrCn&gt;&lt;/rlbrCn&gt;&lt;shedSgn&gt;03011597&lt;/shedSgn&gt;&lt;/cargCsclPrgsInfoDtlQryVo&gt;&lt;cargCsclPrgsInfoDtlQryVo&gt;&lt;shedNm&gt;동일냉장(주)&lt;/shedNm&gt;&lt;prcsDttm&gt;20251224112713&lt;/prcsDttm&gt;&lt;dclrNo&gt;030115972500001527&lt;/dclrNo&gt;&lt;rlbrDttm&gt;2025-12-24 11:27:10&lt;/rlbrDttm&gt;&lt;wght&gt;6720&lt;/wght&gt;&lt;rlbrBssNo&gt;030D1030F66025406901&lt;/rlbrBssNo&gt;&lt;bfhnGdncCn&gt;[부가사항] 동일냉장(주)의 장치기간은 최대 6 개월 입니다.&lt;/bfhnGdncCn&gt;&lt;wghtUt&gt;KG&lt;/wghtUt&gt;&lt;pckGcnt&gt;1600&lt;/pckGcnt&gt;&lt;cargTrcnRelaBsopTpcd&gt;반입신고&lt;/cargTrcnRelaBsopTpcd&gt;&lt;pckUt&gt;CT&lt;/pckUt&gt;&lt;rlbrCn&gt;보세운송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에이치엠엠피에스에이신항만(주)&lt;/shedNm&gt;&lt;prcsDttm&gt;20251224095923&lt;/prcsDttm&gt;&lt;dclrNo&gt;03077011250412847A&lt;/dclrNo&gt;&lt;rlbrDttm&gt;2025-12-24 09:58:30&lt;/rlbrDttm&gt;&lt;wght&gt;6720&lt;/wght&gt;&lt;rlbrBssNo&gt;030D1030F66025406901&lt;/rlbrBssNo&gt;&lt;bfhnGdncCn&gt;&lt;/bfhnGdncCn&gt;&lt;wghtUt&gt;KG&lt;/wghtUt&gt;&lt;pckGcnt&gt;1600&lt;/pckGcnt&gt;&lt;cargTrcnRelaBsopTpcd&gt;반출신고&lt;/cargTrcnRelaBsopTpcd&gt;&lt;pckUt&gt;CT&lt;/pckUt&gt;&lt;rlbrCn&gt;보세운송 반출&lt;/rlbrCn&gt;&lt;shedSgn&gt;03077011&lt;/shedSgn&gt;&lt;/cargCsclPrgsInfoDtlQryVo&gt;&lt;cargCsclPrgsInfoDtlQryVo&gt;&lt;shedNm&gt;에이치엠엠피에스에이신항만(주)&lt;/shedNm&gt;&lt;prcsDttm&gt;20251223173025&lt;/prcsDttm&gt;&lt;dclrNo&gt;030D1030F66025406901&lt;/dclrNo&gt;&lt;rlbrDttm&gt;(도)03011597동일냉장(주&lt;/rlbrDttm&gt;&lt;wght&gt;6720&lt;/wght&gt;&lt;rlbrBssNo&gt;(주)에스에스물류&lt;/rlbrBssNo&gt;&lt;bfhnGdncCn&gt;&lt;/bfhnGdncCn&gt;&lt;wghtUt&gt;KG&lt;/wghtUt&gt;&lt;pckGcnt&gt;1600&lt;/pckGcnt&gt;&lt;cargTrcnRelaBsopTpcd&gt;보세운송 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20251223172900&lt;/prcsDttm&gt;&lt;dclrNo&gt;030D1030F66025406901&lt;/dclrNo&gt;&lt;rlbrDttm&gt;&lt;/rlbrDttm&gt;&lt;wght&gt;6720&lt;/wght&gt;&lt;rlbrBssNo&gt;&lt;/rlbrBssNo&gt;&lt;bfhnGdncCn&gt;&lt;/bfhnGdncCn&gt;&lt;wghtUt&gt;KG&lt;/wghtUt&gt;&lt;pckGcnt&gt;1600&lt;/pckGcnt&gt;&lt;cargTrcnRelaBsopTpcd&gt;보세운송 신고 접수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20251221104600&lt;/prcsDttm&gt;&lt;dclrNo&gt;03077011250405081A&lt;/dclrNo&gt;&lt;rlbrDttm&gt;2025-12-21 10:44:04&lt;/rlbrDttm&gt;&lt;wght&gt;6720&lt;/wght&gt;&lt;rlbrBssNo&gt;&lt;/rlbrBssNo&gt;&lt;bfhnGdncCn&gt;[부가사항] 에이치엠엠피에스에이신항만(주)의 장치기간은 최대 3 개월 입니다.&lt;/bfhnGdncCn&gt;&lt;wghtUt&gt;KG&lt;/wghtUt&gt;&lt;pckGcnt&gt;1600&lt;/pckGcnt&gt;&lt;cargTrcnRelaBsopTpcd&gt;반입신고&lt;/cargTrcnRelaBsopTpcd&gt;&lt;pckUt&gt;CT&lt;/pckUt&gt;&lt;rlbrCn&gt;입항 반입&lt;/rlbrCn&gt;&lt;shedSgn&gt;03077011&lt;/shedSgn&gt;&lt;/cargCsclPrgsInfoDtlQryVo&gt;&lt;cargCsclPrgsInfoDtlQryVo&gt;&lt;shedNm&gt;&lt;/shedNm&gt;&lt;prcsDttm&gt;20251221024408&lt;/prcsDttm&gt;&lt;dclrNo&gt;25HDMUA653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20251221024408&lt;/prcsDttm&gt;&lt;dclrNo&gt;25HDMUA653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20251219144031&lt;/prcsDttm&gt;&lt;dclrNo&gt;25030149767&lt;/dclrNo&gt;&lt;rlbrDttm&gt;&lt;/rlbrDttm&gt;&lt;wght&gt;6720&lt;/wght&gt;&lt;rlbrBssNo&gt;하선반입기한:2025-12-26&lt;/rlbrBssNo&gt;&lt;bfhnGdncCn&gt;&lt;/bfhnGdncCn&gt;&lt;wghtUt&gt;KG&lt;/wghtUt&gt;&lt;pckGcnt&gt;1600&lt;/pckGcnt&gt;&lt;cargTrcnRelaBsopTpcd&gt;하선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20251218173739&lt;/prcsDttm&gt;&lt;dclrNo&gt;&lt;/dclrNo&gt;&lt;rlbrDttm&gt;&lt;/rlbrDttm&gt;&lt;wght&gt;6720&lt;/wght&gt;&lt;rlbrBssNo&gt;&lt;/rlbrBssNo&gt;&lt;bfhnGdncCn&gt;&lt;/bfhnGdncCn&gt;&lt;wghtUt&gt;KG&lt;/wghtUt&gt;&lt;pckGcnt&gt;1600&lt;/pckGcnt&gt;&lt;cargTrcnRelaBsopTpcd&gt;입항적재화물목록 심사완료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20251218163407&lt;/prcsDttm&gt;&lt;dclrNo&gt;&lt;/dclrNo&gt;&lt;rlbrDttm&gt;&lt;/rlbrDttm&gt;&lt;wght&gt;6720&lt;/wght&gt;&lt;rlbrBssNo&gt;&lt;/rlbrBssNo&gt;&lt;bfhnGdncCn&gt;&lt;/bfhnGdncCn&gt;&lt;wghtUt&gt;KG&lt;/wghtUt&gt;&lt;pckGcnt&gt;1600&lt;/pckGcnt&gt;&lt;cargTrcnRelaBsopTpcd&gt;입항적재화물목록 제출&lt;/cargTrcnRelaBsopTpcd&gt;&lt;pckUt&gt;CT&lt;/pckUt&gt;&lt;rlbrCn&gt;&lt;/rlbrCn&gt;&lt;shedSgn&gt;03077011&lt;/shedSgn&gt;&lt;/cargCsclPrgsInfoDtlQryVo&gt;&lt;/cargCsclPrgsInfoQryRtnVo&gt;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</si>
  <si>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standalone="yes"?&gt;&lt;cargCsclPrgsInfoQryRtnVo&gt;&lt;ntceInfo&gt;&lt;/ntceInfo&gt;&lt;cargCsclPrgsInfoQryVo&gt;&lt;csclPrgsStts&gt;수입신고전&lt;/csclPrgsStts&gt;&lt;vydf&gt;HR550R&lt;/vydf&gt;&lt;rlseDtyPridPassTpcd&gt;N&lt;/rlseDtyPridPassTpcd&gt;&lt;prnm&gt;FROZEN CHICKEN FEET, A GRADE NET WEIGHT: 24192,00KG&lt;/prnm&gt;&lt;ldprCd&gt;SEHEL&lt;/ldprCd&gt;&lt;shipNat&gt;PT&lt;/shipNat&gt;&lt;blPt&gt;S&lt;/blPt&gt;&lt;dsprNm&gt;부산신항&lt;/dsprNm&gt;&lt;etprDt&gt;20251229&lt;/etprDt&gt;&lt;prgsStCd&gt;CAGB01&lt;/prgsStCd&gt;&lt;msrm&gt;50&lt;/msrm&gt;&lt;wghtUt&gt;KG&lt;/wghtUt&gt;&lt;dsprCd&gt;KRBNP&lt;/dsprCd&gt;&lt;cntrGcnt&gt;1&lt;/cntrGcnt&gt;&lt;cargTp&gt;수입 일반화물&lt;/cargTp&gt;&lt;shcoFlcoSgn&gt;MSCU&lt;/shcoFlcoSgn&gt;&lt;pckGcnt&gt;1728&lt;/pckGcnt&gt;&lt;etprCstm&gt;부산세관&lt;/etprCstm&gt;&lt;shipNm&gt;MSC BREMERHAVEN V&lt;/shipNm&gt;&lt;hblNo&gt;&lt;/hblNo&gt;&lt;prcsDttm&gt;20251227165511&lt;/prcsDttm&gt;&lt;frwrSgn&gt;&lt;/frwrSgn&gt;&lt;spcnCargCd&gt;&lt;/spcnCargCd&gt;&lt;ttwg&gt;24537.6&lt;/ttwg&gt;&lt;ldprNm&gt;Helsingborg&lt;/ldprNm&gt;&lt;dclrDelyAdtxYn&gt;N&lt;/dclrDelyAdtxYn&gt;&lt;mtTrgtCargYnNm&gt;N&lt;/mtTrgtCargYnNm&gt;&lt;cargMtNo&gt;25MSCU4477I0080&lt;/cargMtNo&gt;&lt;cntrNo&gt;SZLU9512973&lt;/cntrNo&gt;&lt;mblNo&gt;MEDURA382940&lt;/mblNo&gt;&lt;blPtNm&gt;Simple&lt;/blPtNm&gt;&lt;lodCntyCd&gt;SE&lt;/lodCntyCd&gt;&lt;prgsStts&gt;하선신고 수리완료&lt;/prgsStts&gt;&lt;shcoFlco&gt;엠에스씨코리아(주)&lt;/shcoFlco&gt;&lt;pckUt&gt;CT&lt;/pckUt&gt;&lt;shipNatNm&gt;포루투갈&lt;/shipNatNm&gt;&lt;agnc&gt;MEDITERRANEAN SHIPPING&lt;/agnc&gt;&lt;frwrEntsConm&gt;&lt;/frwrEntsConm&gt;&lt;/cargCsclPrgsInfoQryVo&gt;&lt;tCnt&gt;3&lt;/tCnt&gt;&lt;cargCsclPrgsInfoDtlQryVo&gt;&lt;shedNm&gt;부산신항만(주)자유무역지역&lt;/shedNm&gt;&lt;prcsDttm&gt;20251227165511&lt;/prcsDttm&gt;&lt;dclrNo&gt;25030151075&lt;/dclrNo&gt;&lt;rlbrDttm&gt;&lt;/rlbrDttm&gt;&lt;wght&gt;24537.6&lt;/wght&gt;&lt;rlbrBssNo&gt;하선반입기한:2026-01-05&lt;/rlbrBssNo&gt;&lt;bfhnGdncCn&gt;&lt;/bfhnGdncCn&gt;&lt;wghtUt&gt;KG&lt;/wghtUt&gt;&lt;pckGcnt&gt;1728&lt;/pckGcnt&gt;&lt;cargTrcnRelaBsopTpcd&gt;하선신고 수리&lt;/cargTrcnRelaBsopTpcd&gt;&lt;pckUt&gt;CT&lt;/pckUt&gt;&lt;rlbrCn&gt;&lt;/rlbrCn&gt;&lt;shedSgn&gt;03077102&lt;/shedSgn&gt;&lt;/cargCsclPrgsInfoDtlQryVo&gt;&lt;cargCsclPrgsInfoDtlQryVo&gt;&lt;shedNm&gt;부산신항만(주)자유무역지역&lt;/shedNm&gt;&lt;prcsDttm&gt;20251227165438&lt;/prcsDttm&gt;&lt;dclrNo&gt;&lt;/dclrNo&gt;&lt;rlbrDttm&gt;&lt;/rlbrDttm&gt;&lt;wght&gt;24537.6&lt;/wght&gt;&lt;rlbrBssNo&gt;&lt;/rlbrBssNo&gt;&lt;bfhnGdncCn&gt;&lt;/bfhnGdncCn&gt;&lt;wghtUt&gt;KG&lt;/wghtUt&gt;&lt;pckGcnt&gt;1728&lt;/pckGcnt&gt;&lt;cargTrcnRelaBsopTpcd&gt;입항적재화물목록 심사완료&lt;/cargTrcnRelaBsopTpcd&gt;&lt;pckUt&gt;CT&lt;/pckUt&gt;&lt;rlbrCn&gt;&lt;/rlbrCn&gt;&lt;shedSgn&gt;03077102&lt;/shedSgn&gt;&lt;/cargCsclPrgsInfoDtlQryVo&gt;&lt;cargCsclPrgsInfoDtlQryVo&gt;&lt;shedNm&gt;부산신항만(주)자유무역지역&lt;/shedNm&gt;&lt;prcsDttm&gt;20251227145904&lt;/prcsDttm&gt;&lt;dclrNo&gt;&lt;/dclrNo&gt;&lt;rlbrDttm&gt;&lt;/rlbrDttm&gt;&lt;wght&gt;24537.6&lt;/wght&gt;&lt;rlbrBssNo&gt;&lt;/rlbrBssNo&gt;&lt;bfhnGdncCn&gt;&lt;/bfhnGdncCn&gt;&lt;wghtUt&gt;KG&lt;/wghtUt&gt;&lt;pckGcnt&gt;1728&lt;/pckGcnt&gt;&lt;cargTrcnRelaBsopTpcd&gt;입항적재화물목록 제출&lt;/cargTrcnRelaBsopTpcd&gt;&lt;pckUt&gt;CT&lt;/pckUt&gt;&lt;rlbrCn&gt;&lt;/rlbrCn&gt;&lt;shedSgn&gt;03077102&lt;/shedSgn&gt;&lt;/cargCsclPrgsInfoDtlQryVo&gt;&lt;/cargCsclPrgsInfoQryRtnVo&gt;</t>
  </si>
  <si>
    <t>MSC BREMERHAVEN V</t>
  </si>
  <si>
    <t>ONEYTPEF83544700</t>
  </si>
  <si>
    <t>SZLU9512973</t>
  </si>
  <si>
    <t>SKRU1300602</t>
    <phoneticPr fontId="1" type="noConversion"/>
  </si>
  <si>
    <t>IAAU8683206</t>
    <phoneticPr fontId="1" type="noConversion"/>
  </si>
  <si>
    <t>25ONEY1441I50060001</t>
  </si>
  <si>
    <t>25ONEY1441I50060001</t>
    <phoneticPr fontId="1" type="noConversion"/>
  </si>
  <si>
    <t>KKFU6746401, ONEU9336184, ONEU9436619, ONEU9475702, SZLU9548277, SZLU9742404, TTNU8803178</t>
  </si>
  <si>
    <t>KKFU6746401, ONEU9336184, ONEU9436619, ONEU9475702, SZLU9548277, SZLU9742404, TTNU8803178</t>
    <phoneticPr fontId="1" type="noConversion"/>
  </si>
  <si>
    <t>25IALKIV50I90430001</t>
    <phoneticPr fontId="1" type="noConversion"/>
  </si>
  <si>
    <t>25HDMUA653I0210</t>
    <phoneticPr fontId="1" type="noConversion"/>
  </si>
  <si>
    <t>25MSCU4477I0080</t>
  </si>
  <si>
    <t>25SNKO4736I20120001</t>
    <phoneticPr fontId="1" type="noConversion"/>
  </si>
  <si>
    <t>16:54</t>
    <phoneticPr fontId="1" type="noConversion"/>
  </si>
  <si>
    <t>15:55</t>
  </si>
  <si>
    <t>15:55</t>
    <phoneticPr fontId="1" type="noConversion"/>
  </si>
  <si>
    <t>10:58</t>
    <phoneticPr fontId="1" type="noConversion"/>
  </si>
  <si>
    <t>06:19</t>
    <phoneticPr fontId="1" type="noConversion"/>
  </si>
  <si>
    <t>HMMU5203464</t>
    <phoneticPr fontId="1" type="noConversion"/>
  </si>
  <si>
    <t>15:16</t>
    <phoneticPr fontId="1" type="noConversion"/>
  </si>
  <si>
    <t>16:40</t>
    <phoneticPr fontId="1" type="noConversion"/>
  </si>
  <si>
    <t>16:09</t>
    <phoneticPr fontId="1" type="noConversion"/>
  </si>
  <si>
    <t>08:53</t>
    <phoneticPr fontId="1" type="noConversion"/>
  </si>
  <si>
    <t>15:45</t>
    <phoneticPr fontId="1" type="noConversion"/>
  </si>
  <si>
    <t>25YMJA0222I5028</t>
    <phoneticPr fontId="1" type="noConversion"/>
  </si>
  <si>
    <t>25ONEY1581I7186</t>
    <phoneticPr fontId="1" type="noConversion"/>
  </si>
  <si>
    <t>25EVER6351I0521</t>
    <phoneticPr fontId="1" type="noConversion"/>
  </si>
  <si>
    <t>25HDMUA641I0087</t>
    <phoneticPr fontId="1" type="noConversion"/>
  </si>
  <si>
    <t>2025.12.15</t>
  </si>
  <si>
    <t>25HDMUA641I0088</t>
    <phoneticPr fontId="1" type="noConversion"/>
  </si>
  <si>
    <t>25POBUSH56I7026</t>
    <phoneticPr fontId="1" type="noConversion"/>
  </si>
  <si>
    <t>25ONEY1567I7008</t>
    <phoneticPr fontId="1" type="noConversion"/>
  </si>
  <si>
    <t>25MSCU6317I0040</t>
    <phoneticPr fontId="1" type="noConversion"/>
  </si>
  <si>
    <t>25YMJA0222I5029</t>
    <phoneticPr fontId="1" type="noConversion"/>
  </si>
  <si>
    <t>25EVER6352I0459</t>
    <phoneticPr fontId="1" type="noConversion"/>
  </si>
  <si>
    <t>25HDMUA642I0067</t>
    <phoneticPr fontId="1" type="noConversion"/>
  </si>
  <si>
    <t>25SNKO4855I6506</t>
    <phoneticPr fontId="1" type="noConversion"/>
  </si>
  <si>
    <t>25ONEY1581I7180</t>
    <phoneticPr fontId="1" type="noConversion"/>
  </si>
  <si>
    <t>25PCLUBK15I8001</t>
    <phoneticPr fontId="1" type="noConversion"/>
  </si>
  <si>
    <t>25PCLUBK15I8002</t>
    <phoneticPr fontId="1" type="noConversion"/>
  </si>
  <si>
    <t>TTNU8789830</t>
    <phoneticPr fontId="1" type="noConversion"/>
  </si>
  <si>
    <t>25CKCO1398I70800001</t>
    <phoneticPr fontId="1" type="noConversion"/>
  </si>
  <si>
    <t>25PCLUBK15I2517</t>
    <phoneticPr fontId="1" type="noConversion"/>
  </si>
  <si>
    <t>TRIU8877853</t>
    <phoneticPr fontId="1" type="noConversion"/>
  </si>
  <si>
    <t>25HLCU9018I7241</t>
    <phoneticPr fontId="1" type="noConversion"/>
  </si>
  <si>
    <t>09:40</t>
    <phoneticPr fontId="1" type="noConversion"/>
  </si>
  <si>
    <t>10:26</t>
    <phoneticPr fontId="1" type="noConversion"/>
  </si>
  <si>
    <t>10:56</t>
    <phoneticPr fontId="1" type="noConversion"/>
  </si>
  <si>
    <t>15:10</t>
    <phoneticPr fontId="1" type="noConversion"/>
  </si>
  <si>
    <t>15:11</t>
    <phoneticPr fontId="1" type="noConversion"/>
  </si>
  <si>
    <t>21:35</t>
    <phoneticPr fontId="1" type="noConversion"/>
  </si>
  <si>
    <t>18:48</t>
    <phoneticPr fontId="1" type="noConversion"/>
  </si>
  <si>
    <t>○</t>
    <phoneticPr fontId="1" type="noConversion"/>
  </si>
  <si>
    <t>25HDMUA655I0097</t>
    <phoneticPr fontId="1" type="noConversion"/>
  </si>
  <si>
    <t>HMMU5542133</t>
  </si>
  <si>
    <t>13:28</t>
  </si>
  <si>
    <t>25HDMUA641I0085</t>
  </si>
  <si>
    <t>(주)에스에스물류, CY : 에이치엠엠피에스에이신항만(주), 컨진행 : 검사/검역 식품의약품(합격), 선사 : 에이치엠엠(주)</t>
    <phoneticPr fontId="1" type="noConversion"/>
  </si>
  <si>
    <t>(주)케이씨티시, CY : 신감만 한국허치슨(주) 컨테이너 보세창고, 컨진행 : 수입신고 수리완료, 선사 : 장금상선(주), 포딩 : 주식회사 엔제이글로벌</t>
    <phoneticPr fontId="1" type="noConversion"/>
  </si>
  <si>
    <t>(주)골든로지텍, CY : 신감만 한국허치슨(주) 컨테이너 보세창고, 컨진행 : 검사/검역 식품의약품(합격), 선사 : 장금상선(주)</t>
    <phoneticPr fontId="1" type="noConversion"/>
  </si>
  <si>
    <t>에이스로지스틱(주), CY : 신감만 한국허치슨(주) 컨테이너 보세창고, 컨진행 : 반입완료, 선사 : 오션네트워크익스프레스코리아(주)</t>
    <phoneticPr fontId="1" type="noConversion"/>
  </si>
  <si>
    <t>(주)에스에스물류, CY : 동원글로벌터미널부산(주), 컨진행 : 반입완료, 선사 : 피아이엘코리아(주)</t>
    <phoneticPr fontId="1" type="noConversion"/>
  </si>
  <si>
    <t>동원로엑스㈜, CY : 동원글로벌터미널부산(주), 컨진행 : 반출완료, 선사 : (주)에버그린코리아</t>
    <phoneticPr fontId="1" type="noConversion"/>
  </si>
  <si>
    <t>면허?, CY : 에이치엠엠피에스에이신항만(주), 컨진행 : 반입완료, 선사 : 에이치엠엠(주)</t>
    <phoneticPr fontId="1" type="noConversion"/>
  </si>
  <si>
    <t>에이스로지스틱(주), CY : 에이치엠엠피에스에이신항만(주), 컨진행 : 반출완료, 선사 : 에이치엠엠(주)</t>
    <phoneticPr fontId="1" type="noConversion"/>
  </si>
  <si>
    <t>에이스로지스틱(주), CY : 신선대감만터미널(주) 신선대CY, 컨진행 : 보세운송 신고 수리, 선사 : 팬오션(주)</t>
    <phoneticPr fontId="1" type="noConversion"/>
  </si>
  <si>
    <t>면허?, CY : 동원글로벌터미널부산(주), 컨진행 : 반입완료, 선사 : 오션네트워크익스프레스코리아(주)</t>
    <phoneticPr fontId="1" type="noConversion"/>
  </si>
  <si>
    <t>천일정기화물자동차(주), CY : 부산신항만(주)자유무역지역, 컨진행 : 검사/검역 식품의약품(합격), 선사 : 엠에스씨코리아(주)</t>
    <phoneticPr fontId="1" type="noConversion"/>
  </si>
  <si>
    <t>에이스로지스틱(주), CY : 신감만 한국허치슨(주) 컨테이너 보세창고, 컨진행 : 보세운송 신고 수리, 선사 : 양밍한국(주)</t>
    <phoneticPr fontId="1" type="noConversion"/>
  </si>
  <si>
    <t>동원로엑스㈜, CY : 동원글로벌터미널부산(주), 컨진행 : 보세운송 신고 수리, 선사 : (주)에버그린코리아</t>
    <phoneticPr fontId="1" type="noConversion"/>
  </si>
  <si>
    <t>면허?, CY : 신감만 한국허치슨(주) 컨테이너 보세창고, 컨진행 : 반입완료, 선사 : 장금상선(주)</t>
    <phoneticPr fontId="1" type="noConversion"/>
  </si>
  <si>
    <t>(주)골든로지텍, CY : 한진부산컨테이너터미널(주), 컨진행 : 반입완료, 선사 : 오션네트워크익스프레스코리아(주)</t>
    <phoneticPr fontId="1" type="noConversion"/>
  </si>
  <si>
    <t>에이스로지스틱(주), CY : 부산신항만(주)자유무역지역, 컨진행 : 검사/검역 동물검역(합격), 선사 : 하파그로이드코리아(주)</t>
    <phoneticPr fontId="1" type="noConversion"/>
  </si>
  <si>
    <t>에이스로지스틱(주), CY : 부산신항만(주)자유무역지역, 컨진행 : 반입완료, 선사 : 하파그로이드코리아(주)</t>
    <phoneticPr fontId="1" type="noConversion"/>
  </si>
  <si>
    <t>에이스로지스틱(주), CY : 신감만 한국허치슨(주) 컨테이너 보세창고, 컨진행 : 반출완료, 선사 : 양밍한국(주)</t>
    <phoneticPr fontId="1" type="noConversion"/>
  </si>
  <si>
    <t>(주)나모티엘에스, CY : 한진부산컨테이너터미널(주), 컨진행 : 반출완료, 선사 : 오션네트워크익스프레스코리아(주)</t>
    <phoneticPr fontId="1" type="noConversion"/>
  </si>
  <si>
    <t>(주)에이치유로지스틱스, CY : 한진부산컨테이너터미널(주), 컨진행 : 보세운송 신고 수리, 선사 : 오션네트워크익스프레스코리아(주)</t>
    <phoneticPr fontId="1" type="noConversion"/>
  </si>
  <si>
    <t>에이스로지스틱(주), CY : 신선대감만터미널(주) 신선대CY, 컨진행 : 보세운송 신고 수리, 선사 : 범주해운(주)</t>
    <phoneticPr fontId="1" type="noConversion"/>
  </si>
  <si>
    <t>(주)케이씨티시, CY : 신선대감만터미널(주) 신선대CY, 컨진행 : 항내 정박장소 이동신고, 선사 : 천경해운(주), 포딩 : (주)스카이로드</t>
    <phoneticPr fontId="1" type="noConversion"/>
  </si>
  <si>
    <t>면허?, CY : 신선대감만터미널(주) 신선대CY, 컨진행 : 반입완료, 선사 : 범주해운(주)</t>
    <phoneticPr fontId="1" type="noConversion"/>
  </si>
  <si>
    <t>천일정기화물자동차(주), CY : 부산신항국제터미널(주), 컨진행 : 반입완료, 선사 : 하파그로이드코리아(주)</t>
    <phoneticPr fontId="1" type="noConversion"/>
  </si>
  <si>
    <t>HMMU5204223</t>
    <phoneticPr fontId="1" type="noConversion"/>
  </si>
  <si>
    <t>면허?, CY : 에이치엠엠피에스에이신항만(주), 컨진행 : 하선신고 수리완료, 선사 : 에이치엠엠(주)</t>
    <phoneticPr fontId="1" type="noConversion"/>
  </si>
  <si>
    <t>깃허브페이지는 서버가 아니다 브라우저이다.</t>
    <phoneticPr fontId="1" type="noConversion"/>
  </si>
  <si>
    <t>브라우저에와 서버간 통신 : HTTP, HTTPS</t>
    <phoneticPr fontId="1" type="noConversion"/>
  </si>
  <si>
    <t xml:space="preserve">   1.CORS 적용이 많다. 공공 API</t>
    <phoneticPr fontId="1" type="noConversion"/>
  </si>
  <si>
    <t>1. REST는 네트워크 상에서 Client와 Server 사이의 통신 방식 중 하나이다.</t>
    <phoneticPr fontId="1" type="noConversion"/>
  </si>
  <si>
    <t>자원을 이름(자원의 표현)으로 구분하여 해당 자원의 상태(정보)를 주고 받는 모든 것을 의미한다.</t>
    <phoneticPr fontId="1" type="noConversion"/>
  </si>
  <si>
    <t>HTTP 프로토콜은 GET, POST, PUT, DELETE 와 같은 메서드를 제공한다.</t>
    <phoneticPr fontId="1" type="noConversion"/>
  </si>
  <si>
    <t>REST API의 정의</t>
    <phoneticPr fontId="1" type="noConversion"/>
  </si>
  <si>
    <r>
      <t>REST 기반으로 서비스 API를 구현</t>
    </r>
    <r>
      <rPr>
        <sz val="10"/>
        <color theme="1"/>
        <rFont val="Arial Unicode MS"/>
        <family val="3"/>
        <charset val="129"/>
      </rPr>
      <t>한 것</t>
    </r>
    <phoneticPr fontId="1" type="noConversion"/>
  </si>
  <si>
    <t>API의 정의 데이터와 기능의 집합을 제공하여 컴퓨터 프로그램간 상호작용을 촉진하며, 서로 정보를 교환가능 하도록 하는 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</si>
</sst>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"/>
    <numFmt numFmtId="177" formatCode="m&quot;/&quot;d;@"/>
    <numFmt numFmtId="178" formatCode="#,##0.00_ "/>
    <numFmt numFmtId="179" formatCode="0_);[Red]\(0\)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Arial Unicode MS"/>
      <family val="3"/>
      <charset val="129"/>
    </font>
    <font>
      <sz val="8"/>
      <color theme="1"/>
      <name val="바탕체"/>
      <family val="1"/>
      <charset val="129"/>
    </font>
    <font>
      <sz val="11"/>
      <color theme="7" tint="-0.499984740745262"/>
      <name val="맑은 고딕"/>
      <family val="2"/>
      <charset val="129"/>
      <scheme val="minor"/>
    </font>
    <font>
      <sz val="11"/>
      <color theme="7" tint="-0.499984740745262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8"/>
      <name val="바탕체"/>
      <family val="1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49" fontId="4" fillId="0" borderId="1" xfId="0" applyNumberFormat="1" applyFont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176" fontId="4" fillId="0" borderId="1" xfId="0" applyNumberFormat="1" applyFont="1" applyBorder="1" applyAlignment="1">
      <alignment horizontal="center" vertical="center" shrinkToFit="1"/>
    </xf>
    <xf numFmtId="177" fontId="9" fillId="0" borderId="1" xfId="0" applyNumberFormat="1" applyFont="1" applyBorder="1" applyAlignment="1">
      <alignment horizontal="center" vertical="center" shrinkToFit="1"/>
    </xf>
    <xf numFmtId="177" fontId="4" fillId="0" borderId="1" xfId="0" applyNumberFormat="1" applyFont="1" applyBorder="1" applyAlignment="1">
      <alignment horizontal="center" vertical="center"/>
    </xf>
    <xf numFmtId="22" fontId="4" fillId="0" borderId="1" xfId="0" applyNumberFormat="1" applyFont="1" applyBorder="1">
      <alignment vertical="center"/>
    </xf>
    <xf numFmtId="0" fontId="4" fillId="3" borderId="1" xfId="0" applyFont="1" applyFill="1" applyBorder="1">
      <alignment vertical="center"/>
    </xf>
    <xf numFmtId="176" fontId="4" fillId="3" borderId="1" xfId="0" applyNumberFormat="1" applyFont="1" applyFill="1" applyBorder="1">
      <alignment vertical="center"/>
    </xf>
    <xf numFmtId="178" fontId="4" fillId="3" borderId="1" xfId="0" applyNumberFormat="1" applyFont="1" applyFill="1" applyBorder="1">
      <alignment vertical="center"/>
    </xf>
    <xf numFmtId="179" fontId="4" fillId="0" borderId="1" xfId="0" applyNumberFormat="1" applyFont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49" fontId="4" fillId="4" borderId="1" xfId="0" applyNumberFormat="1" applyFont="1" applyFill="1" applyBorder="1">
      <alignment vertical="center"/>
    </xf>
    <xf numFmtId="176" fontId="4" fillId="4" borderId="1" xfId="0" applyNumberFormat="1" applyFont="1" applyFill="1" applyBorder="1" applyAlignment="1">
      <alignment horizontal="center" vertical="center" shrinkToFit="1"/>
    </xf>
    <xf numFmtId="177" fontId="9" fillId="4" borderId="1" xfId="0" applyNumberFormat="1" applyFont="1" applyFill="1" applyBorder="1" applyAlignment="1">
      <alignment horizontal="center" vertical="center" shrinkToFit="1"/>
    </xf>
    <xf numFmtId="177" fontId="4" fillId="4" borderId="1" xfId="0" applyNumberFormat="1" applyFont="1" applyFill="1" applyBorder="1" applyAlignment="1">
      <alignment horizontal="center" vertical="center"/>
    </xf>
    <xf numFmtId="179" fontId="4" fillId="4" borderId="1" xfId="0" applyNumberFormat="1" applyFont="1" applyFill="1" applyBorder="1">
      <alignment vertical="center"/>
    </xf>
    <xf numFmtId="0" fontId="4" fillId="2" borderId="1" xfId="0" applyFont="1" applyFill="1" applyBorder="1">
      <alignment vertical="center"/>
    </xf>
    <xf numFmtId="176" fontId="4" fillId="2" borderId="1" xfId="0" applyNumberFormat="1" applyFont="1" applyFill="1" applyBorder="1" applyAlignment="1">
      <alignment horizontal="center" vertical="center" shrinkToFit="1"/>
    </xf>
    <xf numFmtId="177" fontId="9" fillId="2" borderId="1" xfId="0" applyNumberFormat="1" applyFont="1" applyFill="1" applyBorder="1" applyAlignment="1">
      <alignment horizontal="center" vertical="center" shrinkToFit="1"/>
    </xf>
    <xf numFmtId="177" fontId="4" fillId="2" borderId="1" xfId="0" applyNumberFormat="1" applyFont="1" applyFill="1" applyBorder="1" applyAlignment="1">
      <alignment horizontal="center" vertical="center"/>
    </xf>
    <xf numFmtId="49" fontId="4" fillId="2" borderId="1" xfId="0" applyNumberFormat="1" applyFont="1" applyFill="1" applyBorder="1">
      <alignment vertical="center"/>
    </xf>
    <xf numFmtId="176" fontId="4" fillId="2" borderId="1" xfId="0" applyNumberFormat="1" applyFont="1" applyFill="1" applyBorder="1">
      <alignment vertical="center"/>
    </xf>
    <xf numFmtId="178" fontId="4" fillId="2" borderId="1" xfId="0" applyNumberFormat="1" applyFont="1" applyFill="1" applyBorder="1">
      <alignment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0" borderId="1" xfId="0" applyBorder="1">
      <alignment vertical="center"/>
    </xf>
    <xf numFmtId="176" fontId="4" fillId="5" borderId="1" xfId="0" applyNumberFormat="1" applyFont="1" applyFill="1" applyBorder="1" applyAlignment="1">
      <alignment horizontal="center" vertical="center" shrinkToFit="1"/>
    </xf>
    <xf numFmtId="177" fontId="4" fillId="0" borderId="0" xfId="0" applyNumberFormat="1" applyFont="1" applyAlignment="1">
      <alignment horizontal="center" vertical="center"/>
    </xf>
    <xf numFmtId="49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7</xdr:row>
      <xdr:rowOff>0</xdr:rowOff>
    </xdr:from>
    <xdr:to>
      <xdr:col>13</xdr:col>
      <xdr:colOff>466725</xdr:colOff>
      <xdr:row>8</xdr:row>
      <xdr:rowOff>47625</xdr:rowOff>
    </xdr:to>
    <xdr:sp macro="[0]!연습2" textlink="">
      <xdr:nvSpPr>
        <xdr:cNvPr id="3" name="TextBox 2">
          <a:extLst>
            <a:ext uri="{FF2B5EF4-FFF2-40B4-BE49-F238E27FC236}">
              <a16:creationId xmlns:a16="http://schemas.microsoft.com/office/drawing/2014/main" xmlns="" id="{6CABF875-E66F-42E8-8556-39850D1FCD36}"/>
            </a:ext>
          </a:extLst>
        </xdr:cNvPr>
        <xdr:cNvSpPr txBox="1"/>
      </xdr:nvSpPr>
      <xdr:spPr>
        <a:xfrm>
          <a:off x="4886325" y="1466850"/>
          <a:ext cx="1571625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  <a:r>
            <a:rPr lang="en-US" altLang="ko-KR" sz="1100"/>
            <a:t>2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457200</xdr:colOff>
      <xdr:row>28</xdr:row>
      <xdr:rowOff>114300</xdr:rowOff>
    </xdr:from>
    <xdr:to>
      <xdr:col>32</xdr:col>
      <xdr:colOff>533400</xdr:colOff>
      <xdr:row>98</xdr:row>
      <xdr:rowOff>38100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4724400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571500</xdr:colOff>
      <xdr:row>8</xdr:row>
      <xdr:rowOff>161925</xdr:rowOff>
    </xdr:from>
    <xdr:to>
      <xdr:col>28</xdr:col>
      <xdr:colOff>619125</xdr:colOff>
      <xdr:row>20</xdr:row>
      <xdr:rowOff>66675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1838325"/>
          <a:ext cx="13763625" cy="2419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180976</xdr:colOff>
      <xdr:row>6</xdr:row>
      <xdr:rowOff>76200</xdr:rowOff>
    </xdr:from>
    <xdr:to>
      <xdr:col>9</xdr:col>
      <xdr:colOff>257176</xdr:colOff>
      <xdr:row>7</xdr:row>
      <xdr:rowOff>123825</xdr:rowOff>
    </xdr:to>
    <xdr:sp macro="[0]!연습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 txBox="1"/>
      </xdr:nvSpPr>
      <xdr:spPr>
        <a:xfrm>
          <a:off x="9715501" y="1333500"/>
          <a:ext cx="762000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11</xdr:row>
      <xdr:rowOff>0</xdr:rowOff>
    </xdr:from>
    <xdr:to>
      <xdr:col>5</xdr:col>
      <xdr:colOff>76200</xdr:colOff>
      <xdr:row>12</xdr:row>
      <xdr:rowOff>47625</xdr:rowOff>
    </xdr:to>
    <xdr:sp macro="[0]!연습2" textlink="">
      <xdr:nvSpPr>
        <xdr:cNvPr id="3" name="TextBox 2">
          <a:extLst>
            <a:ext uri="{FF2B5EF4-FFF2-40B4-BE49-F238E27FC236}">
              <a16:creationId xmlns:a16="http://schemas.microsoft.com/office/drawing/2014/main" xmlns="" id="{3B509FA6-8E34-4BCD-B0D0-DDA2F25B35D8}"/>
            </a:ext>
          </a:extLst>
        </xdr:cNvPr>
        <xdr:cNvSpPr txBox="1"/>
      </xdr:nvSpPr>
      <xdr:spPr>
        <a:xfrm>
          <a:off x="6791325" y="2305050"/>
          <a:ext cx="762000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  <a:r>
            <a:rPr lang="en-US" altLang="ko-KR" sz="1100"/>
            <a:t>2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Q86"/>
  <sheetViews>
    <sheetView workbookViewId="0">
      <selection activeCell="P2" sqref="P2:P11"/>
    </sheetView>
  </sheetViews>
  <sheetFormatPr defaultRowHeight="16.5"/>
  <cols>
    <col min="1" max="1" width="2.125" customWidth="1"/>
    <col min="2" max="2" width="2.75" customWidth="1"/>
    <col min="3" max="3" width="13.875" customWidth="1"/>
    <col min="4" max="4" width="9.25" customWidth="1"/>
    <col min="5" max="5" width="9.125" customWidth="1"/>
    <col min="6" max="6" width="7.625" customWidth="1"/>
    <col min="7" max="7" width="5.5" customWidth="1"/>
    <col min="8" max="8" width="9.125" customWidth="1"/>
    <col min="9" max="9" width="4.75" customWidth="1"/>
    <col min="10" max="10" width="1.75" customWidth="1"/>
    <col min="11" max="11" width="5.125" customWidth="1"/>
    <col min="12" max="12" width="4.75" customWidth="1"/>
    <col min="13" max="13" width="2.875" customWidth="1"/>
    <col min="14" max="14" width="6.375" customWidth="1"/>
    <col min="15" max="15" width="3.5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3" max="23" width="2.125" customWidth="1"/>
    <col min="24" max="24" width="2.75" customWidth="1"/>
    <col min="25" max="25" width="13.875" customWidth="1"/>
    <col min="26" max="26" width="9.25" customWidth="1"/>
    <col min="27" max="27" width="9.125" customWidth="1"/>
    <col min="28" max="28" width="7.625" customWidth="1"/>
    <col min="29" max="29" width="5.5" customWidth="1"/>
    <col min="30" max="30" width="9.125" customWidth="1"/>
    <col min="31" max="31" width="4.75" customWidth="1"/>
    <col min="32" max="32" width="1.75" customWidth="1"/>
    <col min="33" max="33" width="5.125" customWidth="1"/>
    <col min="34" max="34" width="4.75" customWidth="1"/>
    <col min="35" max="35" width="2.875" customWidth="1"/>
    <col min="36" max="36" width="6.375" customWidth="1"/>
    <col min="37" max="37" width="3.5" customWidth="1"/>
    <col min="38" max="38" width="8.25" customWidth="1"/>
    <col min="39" max="39" width="10.125" customWidth="1"/>
    <col min="40" max="40" width="13.25" customWidth="1"/>
    <col min="41" max="41" width="5.875" customWidth="1"/>
    <col min="42" max="42" width="8.75" customWidth="1"/>
  </cols>
  <sheetData>
    <row r="1" spans="1:43">
      <c r="A1" s="8" t="s">
        <v>49</v>
      </c>
      <c r="B1" s="9" t="s">
        <v>50</v>
      </c>
      <c r="C1" s="9" t="s">
        <v>51</v>
      </c>
      <c r="D1" s="9" t="s">
        <v>52</v>
      </c>
      <c r="E1" s="25" t="s">
        <v>53</v>
      </c>
      <c r="F1" s="9" t="s">
        <v>54</v>
      </c>
      <c r="G1" s="26" t="s">
        <v>55</v>
      </c>
      <c r="H1" s="9" t="s">
        <v>56</v>
      </c>
      <c r="I1" s="27" t="s">
        <v>57</v>
      </c>
      <c r="J1" s="9" t="s">
        <v>58</v>
      </c>
      <c r="K1" s="28" t="s">
        <v>59</v>
      </c>
      <c r="L1" s="29" t="s">
        <v>60</v>
      </c>
      <c r="M1" s="13" t="s">
        <v>58</v>
      </c>
      <c r="N1" s="9" t="s">
        <v>61</v>
      </c>
      <c r="O1" s="13" t="str">
        <f ca="1">TEXT(NOW(),"mm/dd aaa hh:mm")</f>
        <v>01/02 금 13:11</v>
      </c>
      <c r="P1" s="25" t="s">
        <v>62</v>
      </c>
      <c r="Q1" s="25" t="s">
        <v>63</v>
      </c>
      <c r="R1" s="25" t="s">
        <v>0</v>
      </c>
      <c r="S1" s="30" t="s">
        <v>64</v>
      </c>
      <c r="T1" s="31" t="s">
        <v>65</v>
      </c>
      <c r="U1" s="25" t="s">
        <v>66</v>
      </c>
      <c r="V1" t="s">
        <v>238</v>
      </c>
      <c r="W1" s="8" t="s">
        <v>49</v>
      </c>
      <c r="X1" s="9" t="s">
        <v>50</v>
      </c>
      <c r="Y1" s="9" t="s">
        <v>51</v>
      </c>
      <c r="Z1" s="9" t="s">
        <v>52</v>
      </c>
      <c r="AA1" s="9" t="s">
        <v>53</v>
      </c>
      <c r="AB1" s="9" t="s">
        <v>54</v>
      </c>
      <c r="AC1" s="10" t="s">
        <v>55</v>
      </c>
      <c r="AD1" s="9" t="s">
        <v>56</v>
      </c>
      <c r="AE1" s="11" t="s">
        <v>57</v>
      </c>
      <c r="AF1" s="9" t="s">
        <v>58</v>
      </c>
      <c r="AG1" s="12" t="s">
        <v>59</v>
      </c>
      <c r="AH1" s="3" t="s">
        <v>60</v>
      </c>
      <c r="AI1" s="13" t="s">
        <v>58</v>
      </c>
      <c r="AJ1" s="9" t="s">
        <v>61</v>
      </c>
      <c r="AK1" s="13" t="str">
        <f ca="1">TEXT(NOW(),"mm/dd aaa hh:mm")</f>
        <v>01/02 금 13:11</v>
      </c>
      <c r="AL1" s="14" t="s">
        <v>62</v>
      </c>
      <c r="AM1" s="14" t="s">
        <v>63</v>
      </c>
      <c r="AN1" s="14" t="s">
        <v>0</v>
      </c>
      <c r="AO1" s="15" t="s">
        <v>64</v>
      </c>
      <c r="AP1" s="16" t="s">
        <v>65</v>
      </c>
      <c r="AQ1" s="14" t="s">
        <v>66</v>
      </c>
    </row>
    <row r="2" spans="1:43">
      <c r="A2" s="18"/>
      <c r="B2" s="19" t="s">
        <v>477</v>
      </c>
      <c r="C2" s="14" t="s">
        <v>144</v>
      </c>
      <c r="D2" s="19"/>
      <c r="E2" s="19" t="s">
        <v>191</v>
      </c>
      <c r="F2" s="19"/>
      <c r="G2" s="21">
        <v>834</v>
      </c>
      <c r="H2" s="19"/>
      <c r="I2" s="22">
        <v>46012</v>
      </c>
      <c r="J2" s="19"/>
      <c r="K2" s="23">
        <v>46015</v>
      </c>
      <c r="L2" s="3" t="s">
        <v>444</v>
      </c>
      <c r="M2" s="24"/>
      <c r="N2" s="19"/>
      <c r="O2" s="19" t="s">
        <v>482</v>
      </c>
      <c r="P2" s="14" t="s">
        <v>144</v>
      </c>
      <c r="Q2" s="14" t="s">
        <v>145</v>
      </c>
      <c r="R2" s="14" t="s">
        <v>146</v>
      </c>
      <c r="S2" s="15">
        <v>834</v>
      </c>
      <c r="T2" s="16">
        <v>9174</v>
      </c>
      <c r="U2" s="14" t="s">
        <v>71</v>
      </c>
      <c r="W2" s="8"/>
      <c r="X2" s="9"/>
      <c r="Y2" s="14" t="s">
        <v>144</v>
      </c>
      <c r="Z2" s="9"/>
      <c r="AA2" s="9"/>
      <c r="AB2" s="9"/>
      <c r="AC2" s="10"/>
      <c r="AD2" s="9" t="s">
        <v>142</v>
      </c>
      <c r="AE2" s="11">
        <v>46012</v>
      </c>
      <c r="AF2" s="9">
        <v>1</v>
      </c>
      <c r="AG2" s="12">
        <v>46015</v>
      </c>
      <c r="AH2" s="3" t="s">
        <v>143</v>
      </c>
      <c r="AI2" s="17">
        <v>20</v>
      </c>
      <c r="AJ2" s="9" t="s">
        <v>142</v>
      </c>
      <c r="AK2" s="9"/>
      <c r="AL2" s="14" t="s">
        <v>144</v>
      </c>
      <c r="AM2" s="14" t="s">
        <v>145</v>
      </c>
      <c r="AN2" s="14" t="s">
        <v>146</v>
      </c>
      <c r="AO2" s="15">
        <v>834</v>
      </c>
      <c r="AP2" s="16">
        <v>9174</v>
      </c>
      <c r="AQ2" s="14" t="s">
        <v>71</v>
      </c>
    </row>
    <row r="3" spans="1:43">
      <c r="A3" s="8"/>
      <c r="B3" s="9" t="s">
        <v>477</v>
      </c>
      <c r="C3" s="14" t="s">
        <v>147</v>
      </c>
      <c r="D3" s="9"/>
      <c r="E3" s="9" t="s">
        <v>443</v>
      </c>
      <c r="F3" s="9"/>
      <c r="G3" s="10">
        <v>750</v>
      </c>
      <c r="H3" s="9"/>
      <c r="I3" s="11">
        <v>46012</v>
      </c>
      <c r="J3" s="9"/>
      <c r="K3" s="12">
        <v>46015</v>
      </c>
      <c r="L3" s="3" t="s">
        <v>445</v>
      </c>
      <c r="M3" s="17"/>
      <c r="N3" s="9"/>
      <c r="O3" s="9" t="s">
        <v>482</v>
      </c>
      <c r="P3" s="14" t="s">
        <v>147</v>
      </c>
      <c r="Q3" s="14" t="s">
        <v>145</v>
      </c>
      <c r="R3" s="14" t="s">
        <v>148</v>
      </c>
      <c r="S3" s="15">
        <v>750</v>
      </c>
      <c r="T3" s="16">
        <v>6000</v>
      </c>
      <c r="U3" s="14" t="s">
        <v>71</v>
      </c>
      <c r="W3" s="8"/>
      <c r="X3" s="9"/>
      <c r="Y3" s="14" t="s">
        <v>147</v>
      </c>
      <c r="Z3" s="9"/>
      <c r="AA3" s="9"/>
      <c r="AB3" s="9"/>
      <c r="AC3" s="10"/>
      <c r="AD3" s="9" t="s">
        <v>142</v>
      </c>
      <c r="AE3" s="11">
        <v>46012</v>
      </c>
      <c r="AF3" s="9">
        <v>1</v>
      </c>
      <c r="AG3" s="12"/>
      <c r="AH3" s="3"/>
      <c r="AI3" s="17">
        <v>20</v>
      </c>
      <c r="AJ3" s="9" t="s">
        <v>142</v>
      </c>
      <c r="AK3" s="9"/>
      <c r="AL3" s="14" t="s">
        <v>147</v>
      </c>
      <c r="AM3" s="14" t="s">
        <v>145</v>
      </c>
      <c r="AN3" s="14" t="s">
        <v>148</v>
      </c>
      <c r="AO3" s="15">
        <v>750</v>
      </c>
      <c r="AP3" s="16">
        <v>6000</v>
      </c>
      <c r="AQ3" s="14" t="s">
        <v>71</v>
      </c>
    </row>
    <row r="4" spans="1:43">
      <c r="A4" s="8"/>
      <c r="B4" s="9" t="s">
        <v>477</v>
      </c>
      <c r="C4" s="14" t="s">
        <v>150</v>
      </c>
      <c r="D4" s="9"/>
      <c r="E4" s="9" t="s">
        <v>192</v>
      </c>
      <c r="F4" s="9"/>
      <c r="G4" s="10">
        <v>952</v>
      </c>
      <c r="H4" s="9"/>
      <c r="I4" s="11">
        <v>46012</v>
      </c>
      <c r="J4" s="9"/>
      <c r="K4" s="12">
        <v>46015</v>
      </c>
      <c r="L4" s="3" t="s">
        <v>446</v>
      </c>
      <c r="M4" s="17"/>
      <c r="N4" s="9"/>
      <c r="O4" s="9" t="s">
        <v>482</v>
      </c>
      <c r="P4" s="14" t="s">
        <v>150</v>
      </c>
      <c r="Q4" s="14" t="s">
        <v>145</v>
      </c>
      <c r="R4" s="14" t="s">
        <v>151</v>
      </c>
      <c r="S4" s="15">
        <v>952</v>
      </c>
      <c r="T4" s="16">
        <v>7616</v>
      </c>
      <c r="U4" s="14" t="s">
        <v>71</v>
      </c>
      <c r="W4" s="8"/>
      <c r="X4" s="9"/>
      <c r="Y4" s="14" t="s">
        <v>150</v>
      </c>
      <c r="Z4" s="9"/>
      <c r="AA4" s="9"/>
      <c r="AB4" s="9"/>
      <c r="AC4" s="10"/>
      <c r="AD4" s="9" t="s">
        <v>142</v>
      </c>
      <c r="AE4" s="11">
        <v>46012</v>
      </c>
      <c r="AF4" s="9">
        <v>1</v>
      </c>
      <c r="AG4" s="12">
        <v>46015</v>
      </c>
      <c r="AH4" s="3" t="s">
        <v>149</v>
      </c>
      <c r="AI4" s="17">
        <v>20</v>
      </c>
      <c r="AJ4" s="9" t="s">
        <v>142</v>
      </c>
      <c r="AK4" s="9"/>
      <c r="AL4" s="14" t="s">
        <v>150</v>
      </c>
      <c r="AM4" s="14" t="s">
        <v>145</v>
      </c>
      <c r="AN4" s="14" t="s">
        <v>151</v>
      </c>
      <c r="AO4" s="15">
        <v>952</v>
      </c>
      <c r="AP4" s="16">
        <v>7616</v>
      </c>
      <c r="AQ4" s="14" t="s">
        <v>71</v>
      </c>
    </row>
    <row r="5" spans="1:43">
      <c r="A5" s="8"/>
      <c r="B5" s="9" t="s">
        <v>477</v>
      </c>
      <c r="C5" s="14" t="s">
        <v>93</v>
      </c>
      <c r="D5" s="9"/>
      <c r="E5" s="9" t="s">
        <v>92</v>
      </c>
      <c r="F5" s="9"/>
      <c r="G5" s="10">
        <v>1800</v>
      </c>
      <c r="H5" s="9"/>
      <c r="I5" s="11">
        <v>46015</v>
      </c>
      <c r="J5" s="9"/>
      <c r="K5" s="12">
        <v>46017</v>
      </c>
      <c r="L5" s="3" t="s">
        <v>447</v>
      </c>
      <c r="M5" s="17"/>
      <c r="N5" s="9"/>
      <c r="O5" s="9" t="s">
        <v>483</v>
      </c>
      <c r="P5" s="14" t="s">
        <v>93</v>
      </c>
      <c r="Q5" s="14" t="s">
        <v>152</v>
      </c>
      <c r="R5" s="14" t="s">
        <v>153</v>
      </c>
      <c r="S5" s="15">
        <v>1800</v>
      </c>
      <c r="T5" s="16">
        <v>21000</v>
      </c>
      <c r="U5" s="14" t="s">
        <v>154</v>
      </c>
      <c r="W5" s="8"/>
      <c r="X5" s="9"/>
      <c r="Y5" s="14" t="s">
        <v>93</v>
      </c>
      <c r="Z5" s="9"/>
      <c r="AA5" s="9"/>
      <c r="AB5" s="9"/>
      <c r="AC5" s="10"/>
      <c r="AD5" s="9" t="s">
        <v>50</v>
      </c>
      <c r="AE5" s="11">
        <v>46015</v>
      </c>
      <c r="AF5" s="9">
        <v>1</v>
      </c>
      <c r="AG5" s="12"/>
      <c r="AH5" s="3"/>
      <c r="AI5" s="17"/>
      <c r="AJ5" s="9"/>
      <c r="AK5" s="9"/>
      <c r="AL5" s="14" t="s">
        <v>93</v>
      </c>
      <c r="AM5" s="14" t="s">
        <v>152</v>
      </c>
      <c r="AN5" s="14" t="s">
        <v>153</v>
      </c>
      <c r="AO5" s="15">
        <v>1800</v>
      </c>
      <c r="AP5" s="16">
        <v>21000</v>
      </c>
      <c r="AQ5" s="14" t="s">
        <v>154</v>
      </c>
    </row>
    <row r="6" spans="1:43">
      <c r="A6" s="8"/>
      <c r="B6" s="9" t="s">
        <v>477</v>
      </c>
      <c r="C6" s="14" t="s">
        <v>155</v>
      </c>
      <c r="D6" s="9" t="s">
        <v>241</v>
      </c>
      <c r="E6" s="9" t="s">
        <v>193</v>
      </c>
      <c r="F6" s="9" t="s">
        <v>241</v>
      </c>
      <c r="G6" s="10">
        <v>1100</v>
      </c>
      <c r="H6" s="9" t="s">
        <v>92</v>
      </c>
      <c r="I6" s="11">
        <v>46015</v>
      </c>
      <c r="J6" s="9"/>
      <c r="K6" s="12">
        <v>46017</v>
      </c>
      <c r="L6" s="3" t="s">
        <v>470</v>
      </c>
      <c r="M6" s="17"/>
      <c r="N6" s="9"/>
      <c r="O6" s="9" t="s">
        <v>484</v>
      </c>
      <c r="P6" s="14" t="s">
        <v>155</v>
      </c>
      <c r="Q6" s="14" t="s">
        <v>152</v>
      </c>
      <c r="R6" s="14" t="s">
        <v>156</v>
      </c>
      <c r="S6" s="15">
        <v>1100</v>
      </c>
      <c r="T6" s="16">
        <v>10520</v>
      </c>
      <c r="U6" s="14" t="s">
        <v>154</v>
      </c>
      <c r="W6" s="8"/>
      <c r="X6" s="9"/>
      <c r="Y6" s="14" t="s">
        <v>155</v>
      </c>
      <c r="Z6" s="9"/>
      <c r="AA6" s="9"/>
      <c r="AB6" s="9"/>
      <c r="AC6" s="10"/>
      <c r="AD6" s="9"/>
      <c r="AE6" s="11">
        <v>46015</v>
      </c>
      <c r="AF6" s="9">
        <v>1</v>
      </c>
      <c r="AG6" s="12"/>
      <c r="AH6" s="3"/>
      <c r="AI6" s="17">
        <v>20</v>
      </c>
      <c r="AJ6" s="9"/>
      <c r="AK6" s="9"/>
      <c r="AL6" s="14" t="s">
        <v>155</v>
      </c>
      <c r="AM6" s="14" t="s">
        <v>152</v>
      </c>
      <c r="AN6" s="14" t="s">
        <v>156</v>
      </c>
      <c r="AO6" s="15">
        <v>1100</v>
      </c>
      <c r="AP6" s="16">
        <v>10520</v>
      </c>
      <c r="AQ6" s="14" t="s">
        <v>154</v>
      </c>
    </row>
    <row r="7" spans="1:43">
      <c r="A7" s="8"/>
      <c r="B7" s="9" t="s">
        <v>477</v>
      </c>
      <c r="C7" s="14" t="s">
        <v>158</v>
      </c>
      <c r="D7" s="9" t="s">
        <v>91</v>
      </c>
      <c r="E7" s="9" t="s">
        <v>194</v>
      </c>
      <c r="F7" s="9"/>
      <c r="G7" s="10">
        <v>1925</v>
      </c>
      <c r="H7" s="9" t="s">
        <v>193</v>
      </c>
      <c r="I7" s="11">
        <v>46008</v>
      </c>
      <c r="J7" s="9"/>
      <c r="K7" s="12">
        <v>46017</v>
      </c>
      <c r="L7" s="3" t="s">
        <v>471</v>
      </c>
      <c r="M7" s="17"/>
      <c r="N7" s="9"/>
      <c r="O7" s="9" t="s">
        <v>485</v>
      </c>
      <c r="P7" s="14" t="s">
        <v>158</v>
      </c>
      <c r="Q7" s="14" t="s">
        <v>159</v>
      </c>
      <c r="R7" s="14" t="s">
        <v>160</v>
      </c>
      <c r="S7" s="15">
        <v>1925</v>
      </c>
      <c r="T7" s="16">
        <v>24640</v>
      </c>
      <c r="U7" s="14" t="s">
        <v>161</v>
      </c>
      <c r="W7" s="8"/>
      <c r="X7" s="9"/>
      <c r="Y7" s="14" t="s">
        <v>158</v>
      </c>
      <c r="Z7" s="9"/>
      <c r="AA7" s="9"/>
      <c r="AB7" s="9"/>
      <c r="AC7" s="10"/>
      <c r="AD7" s="9" t="s">
        <v>157</v>
      </c>
      <c r="AE7" s="11">
        <v>46008</v>
      </c>
      <c r="AF7" s="9">
        <v>2</v>
      </c>
      <c r="AG7" s="12"/>
      <c r="AH7" s="3"/>
      <c r="AI7" s="17" t="s">
        <v>70</v>
      </c>
      <c r="AJ7" s="9" t="s">
        <v>157</v>
      </c>
      <c r="AK7" s="9"/>
      <c r="AL7" s="14" t="s">
        <v>158</v>
      </c>
      <c r="AM7" s="14" t="s">
        <v>159</v>
      </c>
      <c r="AN7" s="14" t="s">
        <v>160</v>
      </c>
      <c r="AO7" s="15">
        <v>1925</v>
      </c>
      <c r="AP7" s="16">
        <v>24640</v>
      </c>
      <c r="AQ7" s="14" t="s">
        <v>161</v>
      </c>
    </row>
    <row r="8" spans="1:43">
      <c r="A8" s="8"/>
      <c r="B8" s="9" t="s">
        <v>477</v>
      </c>
      <c r="C8" s="14" t="s">
        <v>84</v>
      </c>
      <c r="D8" s="9" t="s">
        <v>94</v>
      </c>
      <c r="E8" s="9" t="s">
        <v>195</v>
      </c>
      <c r="F8" s="9"/>
      <c r="G8" s="36">
        <v>1875</v>
      </c>
      <c r="H8" s="9" t="s">
        <v>194</v>
      </c>
      <c r="I8" s="11">
        <v>46013</v>
      </c>
      <c r="J8" s="9"/>
      <c r="K8" s="12">
        <v>46016</v>
      </c>
      <c r="L8" s="3" t="s">
        <v>472</v>
      </c>
      <c r="M8" s="17"/>
      <c r="N8" s="9"/>
      <c r="O8" s="9" t="s">
        <v>486</v>
      </c>
      <c r="P8" s="14" t="s">
        <v>84</v>
      </c>
      <c r="Q8" s="14" t="s">
        <v>85</v>
      </c>
      <c r="R8" s="14" t="s">
        <v>86</v>
      </c>
      <c r="S8" s="15">
        <v>1875</v>
      </c>
      <c r="T8" s="16">
        <v>23197.5</v>
      </c>
      <c r="U8" s="14" t="s">
        <v>79</v>
      </c>
      <c r="W8" s="8"/>
      <c r="X8" s="9"/>
      <c r="Y8" s="14" t="s">
        <v>84</v>
      </c>
      <c r="Z8" s="9"/>
      <c r="AA8" s="9"/>
      <c r="AB8" s="9"/>
      <c r="AC8" s="10"/>
      <c r="AD8" s="9" t="s">
        <v>83</v>
      </c>
      <c r="AE8" s="11">
        <v>46013</v>
      </c>
      <c r="AF8" s="9">
        <v>2</v>
      </c>
      <c r="AG8" s="12"/>
      <c r="AH8" s="3"/>
      <c r="AI8" s="17"/>
      <c r="AJ8" s="9" t="s">
        <v>83</v>
      </c>
      <c r="AK8" s="9"/>
      <c r="AL8" s="14" t="s">
        <v>84</v>
      </c>
      <c r="AM8" s="14" t="s">
        <v>85</v>
      </c>
      <c r="AN8" s="14" t="s">
        <v>86</v>
      </c>
      <c r="AO8" s="15">
        <v>1875</v>
      </c>
      <c r="AP8" s="16">
        <v>23197.5</v>
      </c>
      <c r="AQ8" s="14" t="s">
        <v>79</v>
      </c>
    </row>
    <row r="9" spans="1:43">
      <c r="A9" s="8"/>
      <c r="B9" s="9" t="s">
        <v>477</v>
      </c>
      <c r="C9" s="14" t="s">
        <v>162</v>
      </c>
      <c r="D9" s="9" t="s">
        <v>82</v>
      </c>
      <c r="E9" s="9" t="s">
        <v>196</v>
      </c>
      <c r="F9" s="9"/>
      <c r="G9" s="10">
        <v>1980</v>
      </c>
      <c r="H9" s="9"/>
      <c r="I9" s="11">
        <v>46016</v>
      </c>
      <c r="J9" s="9"/>
      <c r="K9" s="12">
        <v>46017</v>
      </c>
      <c r="L9" s="3" t="s">
        <v>473</v>
      </c>
      <c r="M9" s="17"/>
      <c r="N9" s="9"/>
      <c r="O9" s="9" t="s">
        <v>496</v>
      </c>
      <c r="P9" s="14" t="s">
        <v>162</v>
      </c>
      <c r="Q9" s="14" t="s">
        <v>163</v>
      </c>
      <c r="R9" s="14" t="s">
        <v>164</v>
      </c>
      <c r="S9" s="15">
        <v>1980</v>
      </c>
      <c r="T9" s="16">
        <v>24948</v>
      </c>
      <c r="U9" s="14" t="s">
        <v>197</v>
      </c>
      <c r="W9" s="8"/>
      <c r="X9" s="9"/>
      <c r="Y9" s="14" t="s">
        <v>162</v>
      </c>
      <c r="Z9" s="9"/>
      <c r="AA9" s="9"/>
      <c r="AB9" s="9"/>
      <c r="AC9" s="10"/>
      <c r="AD9" s="9" t="s">
        <v>50</v>
      </c>
      <c r="AE9" s="11">
        <v>46015</v>
      </c>
      <c r="AF9" s="9">
        <v>2</v>
      </c>
      <c r="AG9" s="12"/>
      <c r="AH9" s="3"/>
      <c r="AI9" s="17"/>
      <c r="AJ9" s="9"/>
      <c r="AK9" s="9"/>
      <c r="AL9" s="14" t="s">
        <v>162</v>
      </c>
      <c r="AM9" s="14" t="s">
        <v>163</v>
      </c>
      <c r="AN9" s="14" t="s">
        <v>164</v>
      </c>
      <c r="AO9" s="15">
        <v>1980</v>
      </c>
      <c r="AP9" s="16">
        <v>24948</v>
      </c>
      <c r="AQ9" s="14" t="s">
        <v>154</v>
      </c>
    </row>
    <row r="10" spans="1:43">
      <c r="A10" s="8"/>
      <c r="B10" s="9" t="s">
        <v>477</v>
      </c>
      <c r="C10" s="14" t="s">
        <v>80</v>
      </c>
      <c r="D10" s="9" t="s">
        <v>82</v>
      </c>
      <c r="E10" s="9" t="s">
        <v>198</v>
      </c>
      <c r="F10" s="9"/>
      <c r="G10" s="10">
        <v>1958</v>
      </c>
      <c r="H10" s="9"/>
      <c r="I10" s="11">
        <v>46013</v>
      </c>
      <c r="J10" s="9"/>
      <c r="K10" s="12">
        <v>46015</v>
      </c>
      <c r="L10" s="3" t="s">
        <v>199</v>
      </c>
      <c r="M10" s="17"/>
      <c r="N10" s="9"/>
      <c r="O10" s="9" t="s">
        <v>497</v>
      </c>
      <c r="P10" s="14" t="s">
        <v>80</v>
      </c>
      <c r="Q10" s="14" t="s">
        <v>78</v>
      </c>
      <c r="R10" s="14" t="s">
        <v>81</v>
      </c>
      <c r="S10" s="15">
        <v>1958</v>
      </c>
      <c r="T10" s="16">
        <v>24486.83</v>
      </c>
      <c r="U10" s="14" t="s">
        <v>79</v>
      </c>
      <c r="W10" s="8"/>
      <c r="X10" s="9"/>
      <c r="Y10" s="14" t="s">
        <v>80</v>
      </c>
      <c r="Z10" s="9"/>
      <c r="AA10" s="9"/>
      <c r="AB10" s="9"/>
      <c r="AC10" s="10"/>
      <c r="AD10" s="9" t="s">
        <v>77</v>
      </c>
      <c r="AE10" s="11">
        <v>46015</v>
      </c>
      <c r="AF10" s="9">
        <v>2</v>
      </c>
      <c r="AG10" s="12"/>
      <c r="AH10" s="3"/>
      <c r="AI10" s="17" t="s">
        <v>70</v>
      </c>
      <c r="AJ10" s="9" t="s">
        <v>77</v>
      </c>
      <c r="AK10" s="9"/>
      <c r="AL10" s="14" t="s">
        <v>80</v>
      </c>
      <c r="AM10" s="14" t="s">
        <v>78</v>
      </c>
      <c r="AN10" s="14" t="s">
        <v>81</v>
      </c>
      <c r="AO10" s="15">
        <v>1958</v>
      </c>
      <c r="AP10" s="16">
        <v>24486.83</v>
      </c>
      <c r="AQ10" s="14" t="s">
        <v>79</v>
      </c>
    </row>
    <row r="11" spans="1:43">
      <c r="A11" s="8"/>
      <c r="B11" s="9" t="s">
        <v>477</v>
      </c>
      <c r="C11" s="14" t="s">
        <v>89</v>
      </c>
      <c r="D11" s="9" t="s">
        <v>76</v>
      </c>
      <c r="E11" s="9" t="s">
        <v>200</v>
      </c>
      <c r="F11" s="9"/>
      <c r="G11" s="10">
        <v>1953</v>
      </c>
      <c r="H11" s="9"/>
      <c r="I11" s="11">
        <v>46013</v>
      </c>
      <c r="J11" s="9"/>
      <c r="K11" s="12">
        <v>46015</v>
      </c>
      <c r="L11" s="3" t="s">
        <v>201</v>
      </c>
      <c r="M11" s="17"/>
      <c r="N11" s="9"/>
      <c r="O11" s="9" t="s">
        <v>498</v>
      </c>
      <c r="P11" s="14" t="s">
        <v>89</v>
      </c>
      <c r="Q11" s="14" t="s">
        <v>78</v>
      </c>
      <c r="R11" s="14" t="s">
        <v>90</v>
      </c>
      <c r="S11" s="15">
        <v>1953</v>
      </c>
      <c r="T11" s="16">
        <v>24424.29</v>
      </c>
      <c r="U11" s="14" t="s">
        <v>79</v>
      </c>
      <c r="W11" s="8"/>
      <c r="X11" s="9"/>
      <c r="Y11" s="14" t="s">
        <v>89</v>
      </c>
      <c r="Z11" s="9"/>
      <c r="AA11" s="9"/>
      <c r="AB11" s="9"/>
      <c r="AC11" s="10"/>
      <c r="AD11" s="9" t="s">
        <v>77</v>
      </c>
      <c r="AE11" s="11">
        <v>46015</v>
      </c>
      <c r="AF11" s="9">
        <v>2</v>
      </c>
      <c r="AG11" s="12"/>
      <c r="AH11" s="3"/>
      <c r="AI11" s="17" t="s">
        <v>70</v>
      </c>
      <c r="AJ11" s="9" t="s">
        <v>77</v>
      </c>
      <c r="AK11" s="9"/>
      <c r="AL11" s="14" t="s">
        <v>89</v>
      </c>
      <c r="AM11" s="14" t="s">
        <v>78</v>
      </c>
      <c r="AN11" s="14" t="s">
        <v>90</v>
      </c>
      <c r="AO11" s="15">
        <v>1953</v>
      </c>
      <c r="AP11" s="16">
        <v>24424.29</v>
      </c>
      <c r="AQ11" s="14" t="s">
        <v>79</v>
      </c>
    </row>
    <row r="12" spans="1:43">
      <c r="A12" s="8"/>
      <c r="B12" s="9" t="s">
        <v>477</v>
      </c>
      <c r="C12" s="14" t="s">
        <v>165</v>
      </c>
      <c r="D12" s="9" t="s">
        <v>76</v>
      </c>
      <c r="E12" s="9" t="s">
        <v>202</v>
      </c>
      <c r="F12" s="9"/>
      <c r="G12" s="10">
        <v>1925</v>
      </c>
      <c r="H12" s="9"/>
      <c r="I12" s="11">
        <v>46012</v>
      </c>
      <c r="J12" s="9"/>
      <c r="K12" s="12">
        <v>46017</v>
      </c>
      <c r="L12" s="3" t="s">
        <v>448</v>
      </c>
      <c r="M12" s="17"/>
      <c r="N12" s="9"/>
      <c r="O12" s="9" t="s">
        <v>499</v>
      </c>
      <c r="P12" s="14" t="s">
        <v>165</v>
      </c>
      <c r="Q12" s="14" t="s">
        <v>166</v>
      </c>
      <c r="R12" s="14" t="s">
        <v>449</v>
      </c>
      <c r="S12" s="15">
        <v>1925</v>
      </c>
      <c r="T12" s="16">
        <v>24640</v>
      </c>
      <c r="U12" s="14" t="s">
        <v>71</v>
      </c>
      <c r="W12" s="18"/>
      <c r="X12" s="19"/>
      <c r="Y12" s="14" t="s">
        <v>165</v>
      </c>
      <c r="Z12" s="19"/>
      <c r="AA12" s="19"/>
      <c r="AB12" s="19"/>
      <c r="AC12" s="21"/>
      <c r="AD12" s="19" t="s">
        <v>157</v>
      </c>
      <c r="AE12" s="22">
        <v>46012</v>
      </c>
      <c r="AF12" s="19">
        <v>2</v>
      </c>
      <c r="AG12" s="23"/>
      <c r="AH12" s="20"/>
      <c r="AI12" s="24"/>
      <c r="AJ12" s="19" t="s">
        <v>157</v>
      </c>
      <c r="AK12" s="19"/>
      <c r="AL12" s="14" t="s">
        <v>165</v>
      </c>
      <c r="AM12" s="14" t="s">
        <v>166</v>
      </c>
      <c r="AN12" s="14" t="s">
        <v>167</v>
      </c>
      <c r="AO12" s="15">
        <v>1925</v>
      </c>
      <c r="AP12" s="16">
        <v>24640</v>
      </c>
      <c r="AQ12" s="14" t="s">
        <v>71</v>
      </c>
    </row>
    <row r="13" spans="1:43">
      <c r="A13" s="18"/>
      <c r="B13" s="19" t="s">
        <v>477</v>
      </c>
      <c r="C13" s="14" t="s">
        <v>204</v>
      </c>
      <c r="D13" s="19" t="s">
        <v>95</v>
      </c>
      <c r="E13" s="19" t="s">
        <v>203</v>
      </c>
      <c r="F13" s="19"/>
      <c r="G13" s="21">
        <v>1568</v>
      </c>
      <c r="H13" s="19"/>
      <c r="I13" s="22">
        <v>46016</v>
      </c>
      <c r="J13" s="19"/>
      <c r="K13" s="23">
        <v>46017</v>
      </c>
      <c r="L13" s="3" t="s">
        <v>474</v>
      </c>
      <c r="M13" s="24"/>
      <c r="N13" s="19"/>
      <c r="O13" s="19" t="s">
        <v>500</v>
      </c>
      <c r="P13" s="14" t="s">
        <v>204</v>
      </c>
      <c r="Q13" s="14" t="s">
        <v>163</v>
      </c>
      <c r="R13" s="14" t="s">
        <v>450</v>
      </c>
      <c r="S13" s="15">
        <v>1568</v>
      </c>
      <c r="T13" s="16">
        <v>24202.080000000002</v>
      </c>
      <c r="U13" s="14" t="s">
        <v>197</v>
      </c>
      <c r="W13" s="18"/>
      <c r="X13" s="19"/>
      <c r="Y13" s="14" t="s">
        <v>96</v>
      </c>
      <c r="Z13" s="19"/>
      <c r="AA13" s="19"/>
      <c r="AB13" s="19"/>
      <c r="AC13" s="21"/>
      <c r="AD13" s="19" t="s">
        <v>168</v>
      </c>
      <c r="AE13" s="22">
        <v>46016</v>
      </c>
      <c r="AF13" s="19">
        <v>2</v>
      </c>
      <c r="AG13" s="23"/>
      <c r="AH13" s="20"/>
      <c r="AI13" s="24"/>
      <c r="AJ13" s="19" t="s">
        <v>168</v>
      </c>
      <c r="AK13" s="19"/>
      <c r="AL13" s="14" t="s">
        <v>96</v>
      </c>
      <c r="AM13" s="14" t="s">
        <v>87</v>
      </c>
      <c r="AN13" s="14" t="s">
        <v>141</v>
      </c>
      <c r="AO13" s="15">
        <v>1568</v>
      </c>
      <c r="AP13" s="16">
        <v>24202.080000000002</v>
      </c>
      <c r="AQ13" s="14" t="s">
        <v>88</v>
      </c>
    </row>
    <row r="14" spans="1:43">
      <c r="A14" s="18"/>
      <c r="B14" s="19" t="s">
        <v>477</v>
      </c>
      <c r="C14" s="20" t="s">
        <v>208</v>
      </c>
      <c r="D14" s="19" t="s">
        <v>75</v>
      </c>
      <c r="E14" s="19" t="s">
        <v>207</v>
      </c>
      <c r="F14" s="19"/>
      <c r="G14" s="21">
        <v>1960</v>
      </c>
      <c r="H14" s="19"/>
      <c r="I14" s="22">
        <v>46002</v>
      </c>
      <c r="J14" s="19"/>
      <c r="K14" s="23">
        <v>46017</v>
      </c>
      <c r="L14" s="3" t="s">
        <v>475</v>
      </c>
      <c r="M14" s="24"/>
      <c r="N14" s="19"/>
      <c r="O14" s="19" t="s">
        <v>487</v>
      </c>
      <c r="P14" s="14" t="s">
        <v>208</v>
      </c>
      <c r="Q14" s="14" t="s">
        <v>205</v>
      </c>
      <c r="R14" s="14" t="s">
        <v>451</v>
      </c>
      <c r="S14" s="15">
        <v>1960</v>
      </c>
      <c r="T14" s="16">
        <v>24500</v>
      </c>
      <c r="U14" s="14" t="s">
        <v>206</v>
      </c>
      <c r="W14" s="18"/>
      <c r="X14" s="19"/>
      <c r="Y14" s="20" t="s">
        <v>97</v>
      </c>
      <c r="Z14" s="19"/>
      <c r="AA14" s="19"/>
      <c r="AB14" s="19"/>
      <c r="AC14" s="21"/>
      <c r="AD14" s="19" t="s">
        <v>169</v>
      </c>
      <c r="AE14" s="22">
        <v>46002</v>
      </c>
      <c r="AF14" s="19">
        <v>2</v>
      </c>
      <c r="AG14" s="23"/>
      <c r="AH14" s="20"/>
      <c r="AI14" s="24" t="s">
        <v>70</v>
      </c>
      <c r="AJ14" s="19" t="s">
        <v>169</v>
      </c>
      <c r="AK14" s="19"/>
      <c r="AL14" s="14"/>
      <c r="AM14" s="14" t="s">
        <v>170</v>
      </c>
      <c r="AN14" s="14"/>
      <c r="AO14" s="15"/>
      <c r="AP14" s="16"/>
      <c r="AQ14" s="14"/>
    </row>
    <row r="15" spans="1:43">
      <c r="A15" s="18"/>
      <c r="B15" s="19"/>
      <c r="C15" s="20" t="s">
        <v>210</v>
      </c>
      <c r="D15" s="19" t="s">
        <v>72</v>
      </c>
      <c r="E15" s="19" t="s">
        <v>209</v>
      </c>
      <c r="F15" s="19"/>
      <c r="G15" s="21">
        <v>1960</v>
      </c>
      <c r="H15" s="19"/>
      <c r="I15" s="22">
        <v>46006</v>
      </c>
      <c r="J15" s="19"/>
      <c r="K15" s="23"/>
      <c r="L15" s="3"/>
      <c r="M15" s="24"/>
      <c r="N15" s="19"/>
      <c r="O15" s="19" t="s">
        <v>488</v>
      </c>
      <c r="P15" s="14" t="s">
        <v>210</v>
      </c>
      <c r="Q15" s="14" t="s">
        <v>171</v>
      </c>
      <c r="R15" s="14" t="s">
        <v>452</v>
      </c>
      <c r="S15" s="15">
        <v>1960</v>
      </c>
      <c r="T15" s="16">
        <v>24500</v>
      </c>
      <c r="U15" s="14" t="s">
        <v>211</v>
      </c>
      <c r="W15" s="18"/>
      <c r="X15" s="19"/>
      <c r="Y15" s="20" t="s">
        <v>98</v>
      </c>
      <c r="Z15" s="19"/>
      <c r="AA15" s="19"/>
      <c r="AB15" s="19"/>
      <c r="AC15" s="21"/>
      <c r="AD15" s="19" t="s">
        <v>169</v>
      </c>
      <c r="AE15" s="22">
        <v>46003</v>
      </c>
      <c r="AF15" s="19">
        <v>2</v>
      </c>
      <c r="AG15" s="23"/>
      <c r="AH15" s="20"/>
      <c r="AI15" s="24" t="s">
        <v>70</v>
      </c>
      <c r="AJ15" s="19" t="s">
        <v>169</v>
      </c>
      <c r="AK15" s="19"/>
      <c r="AL15" s="14"/>
      <c r="AM15" s="14" t="s">
        <v>170</v>
      </c>
      <c r="AN15" s="14"/>
      <c r="AO15" s="15"/>
      <c r="AP15" s="16"/>
      <c r="AQ15" s="14"/>
    </row>
    <row r="16" spans="1:43">
      <c r="A16" s="18"/>
      <c r="B16" s="19" t="s">
        <v>477</v>
      </c>
      <c r="C16" s="20" t="s">
        <v>213</v>
      </c>
      <c r="D16" s="19" t="s">
        <v>72</v>
      </c>
      <c r="E16" s="19" t="s">
        <v>212</v>
      </c>
      <c r="F16" s="19"/>
      <c r="G16" s="21">
        <v>1960</v>
      </c>
      <c r="H16" s="19"/>
      <c r="I16" s="22">
        <v>46006</v>
      </c>
      <c r="J16" s="19"/>
      <c r="K16" s="23">
        <v>46017</v>
      </c>
      <c r="L16" s="3" t="s">
        <v>476</v>
      </c>
      <c r="M16" s="24"/>
      <c r="N16" s="19"/>
      <c r="O16" s="19" t="s">
        <v>489</v>
      </c>
      <c r="P16" s="14" t="s">
        <v>213</v>
      </c>
      <c r="Q16" s="14" t="s">
        <v>171</v>
      </c>
      <c r="R16" s="14" t="s">
        <v>454</v>
      </c>
      <c r="S16" s="15">
        <v>1960</v>
      </c>
      <c r="T16" s="16">
        <v>24500</v>
      </c>
      <c r="U16" s="14" t="s">
        <v>211</v>
      </c>
      <c r="W16" s="18"/>
      <c r="X16" s="19"/>
      <c r="Y16" s="20" t="s">
        <v>99</v>
      </c>
      <c r="Z16" s="19"/>
      <c r="AA16" s="19"/>
      <c r="AB16" s="19"/>
      <c r="AC16" s="21"/>
      <c r="AD16" s="19" t="s">
        <v>142</v>
      </c>
      <c r="AE16" s="22">
        <v>46007</v>
      </c>
      <c r="AF16" s="19">
        <v>2</v>
      </c>
      <c r="AG16" s="23"/>
      <c r="AH16" s="20"/>
      <c r="AI16" s="24" t="s">
        <v>70</v>
      </c>
      <c r="AJ16" s="19" t="s">
        <v>142</v>
      </c>
      <c r="AK16" s="19"/>
      <c r="AL16" s="14"/>
      <c r="AM16" s="14" t="s">
        <v>171</v>
      </c>
      <c r="AN16" s="14"/>
      <c r="AO16" s="15"/>
      <c r="AP16" s="16"/>
      <c r="AQ16" s="14"/>
    </row>
    <row r="17" spans="1:43">
      <c r="A17" s="18"/>
      <c r="B17" s="19" t="s">
        <v>477</v>
      </c>
      <c r="C17" s="20" t="s">
        <v>248</v>
      </c>
      <c r="D17" s="19" t="s">
        <v>72</v>
      </c>
      <c r="E17" s="19" t="s">
        <v>214</v>
      </c>
      <c r="F17" s="19"/>
      <c r="G17" s="21">
        <v>1925</v>
      </c>
      <c r="H17" s="19"/>
      <c r="I17" s="22">
        <v>46008</v>
      </c>
      <c r="J17" s="19"/>
      <c r="K17" s="23"/>
      <c r="L17" s="3"/>
      <c r="M17" s="24"/>
      <c r="N17" s="19"/>
      <c r="O17" s="19" t="s">
        <v>490</v>
      </c>
      <c r="P17" s="14" t="s">
        <v>248</v>
      </c>
      <c r="Q17" s="14" t="s">
        <v>172</v>
      </c>
      <c r="R17" s="14" t="s">
        <v>455</v>
      </c>
      <c r="S17" s="15">
        <v>1925</v>
      </c>
      <c r="T17" s="16">
        <v>24640</v>
      </c>
      <c r="U17" s="14" t="s">
        <v>161</v>
      </c>
      <c r="W17" s="18"/>
      <c r="X17" s="19"/>
      <c r="Y17" s="20" t="s">
        <v>100</v>
      </c>
      <c r="Z17" s="19"/>
      <c r="AA17" s="19"/>
      <c r="AB17" s="19"/>
      <c r="AC17" s="21"/>
      <c r="AD17" s="19" t="s">
        <v>142</v>
      </c>
      <c r="AE17" s="22">
        <v>46007</v>
      </c>
      <c r="AF17" s="19">
        <v>2</v>
      </c>
      <c r="AG17" s="23"/>
      <c r="AH17" s="20"/>
      <c r="AI17" s="24" t="s">
        <v>70</v>
      </c>
      <c r="AJ17" s="19" t="s">
        <v>142</v>
      </c>
      <c r="AK17" s="19"/>
      <c r="AL17" s="14"/>
      <c r="AM17" s="14" t="s">
        <v>171</v>
      </c>
      <c r="AN17" s="14"/>
      <c r="AO17" s="15"/>
      <c r="AP17" s="16"/>
      <c r="AQ17" s="14"/>
    </row>
    <row r="18" spans="1:43">
      <c r="A18" s="18"/>
      <c r="B18" s="19"/>
      <c r="C18" s="20" t="s">
        <v>216</v>
      </c>
      <c r="D18" s="19" t="s">
        <v>95</v>
      </c>
      <c r="E18" s="19" t="s">
        <v>215</v>
      </c>
      <c r="F18" s="19"/>
      <c r="G18" s="21">
        <v>1917</v>
      </c>
      <c r="H18" s="19"/>
      <c r="I18" s="22">
        <v>46008</v>
      </c>
      <c r="J18" s="19"/>
      <c r="K18" s="23"/>
      <c r="L18" s="3"/>
      <c r="M18" s="24"/>
      <c r="N18" s="19"/>
      <c r="O18" s="19" t="s">
        <v>491</v>
      </c>
      <c r="P18" s="14" t="s">
        <v>216</v>
      </c>
      <c r="Q18" s="14" t="s">
        <v>217</v>
      </c>
      <c r="R18" s="14" t="s">
        <v>456</v>
      </c>
      <c r="S18" s="15">
        <v>1917</v>
      </c>
      <c r="T18" s="16">
        <v>23962.5</v>
      </c>
      <c r="U18" s="14" t="s">
        <v>161</v>
      </c>
      <c r="W18" s="18"/>
      <c r="X18" s="19"/>
      <c r="Y18" s="20" t="s">
        <v>101</v>
      </c>
      <c r="Z18" s="19"/>
      <c r="AA18" s="19"/>
      <c r="AB18" s="19"/>
      <c r="AC18" s="21"/>
      <c r="AD18" s="19" t="s">
        <v>68</v>
      </c>
      <c r="AE18" s="22">
        <v>46008</v>
      </c>
      <c r="AF18" s="19">
        <v>2</v>
      </c>
      <c r="AG18" s="23"/>
      <c r="AH18" s="20"/>
      <c r="AI18" s="24" t="s">
        <v>70</v>
      </c>
      <c r="AJ18" s="19" t="s">
        <v>68</v>
      </c>
      <c r="AK18" s="19"/>
      <c r="AL18" s="14"/>
      <c r="AM18" s="14" t="s">
        <v>172</v>
      </c>
      <c r="AN18" s="14"/>
      <c r="AO18" s="15"/>
      <c r="AP18" s="16"/>
      <c r="AQ18" s="14"/>
    </row>
    <row r="19" spans="1:43">
      <c r="A19" s="18"/>
      <c r="B19" s="19" t="s">
        <v>477</v>
      </c>
      <c r="C19" s="20" t="s">
        <v>249</v>
      </c>
      <c r="D19" s="19" t="s">
        <v>72</v>
      </c>
      <c r="E19" s="19" t="s">
        <v>218</v>
      </c>
      <c r="F19" s="19"/>
      <c r="G19" s="21">
        <v>1947</v>
      </c>
      <c r="H19" s="19"/>
      <c r="I19" s="22">
        <v>46008</v>
      </c>
      <c r="J19" s="19"/>
      <c r="K19" s="23">
        <v>46010</v>
      </c>
      <c r="L19" s="3" t="s">
        <v>219</v>
      </c>
      <c r="M19" s="24"/>
      <c r="N19" s="19"/>
      <c r="O19" s="19" t="s">
        <v>492</v>
      </c>
      <c r="P19" s="14" t="s">
        <v>249</v>
      </c>
      <c r="Q19" s="14" t="s">
        <v>175</v>
      </c>
      <c r="R19" s="14" t="s">
        <v>457</v>
      </c>
      <c r="S19" s="15">
        <v>1947</v>
      </c>
      <c r="T19" s="16">
        <v>24313.34</v>
      </c>
      <c r="U19" s="14" t="s">
        <v>161</v>
      </c>
      <c r="W19" s="18"/>
      <c r="X19" s="19"/>
      <c r="Y19" s="20" t="s">
        <v>102</v>
      </c>
      <c r="Z19" s="19"/>
      <c r="AA19" s="19"/>
      <c r="AB19" s="19"/>
      <c r="AC19" s="21"/>
      <c r="AD19" s="19" t="s">
        <v>169</v>
      </c>
      <c r="AE19" s="22">
        <v>46008</v>
      </c>
      <c r="AF19" s="19">
        <v>2</v>
      </c>
      <c r="AG19" s="23"/>
      <c r="AH19" s="20"/>
      <c r="AI19" s="24" t="s">
        <v>70</v>
      </c>
      <c r="AJ19" s="19" t="s">
        <v>169</v>
      </c>
      <c r="AK19" s="19"/>
      <c r="AL19" s="14"/>
      <c r="AM19" s="14" t="s">
        <v>173</v>
      </c>
      <c r="AN19" s="14"/>
      <c r="AO19" s="15"/>
      <c r="AP19" s="16"/>
      <c r="AQ19" s="14"/>
    </row>
    <row r="20" spans="1:43">
      <c r="A20" s="18"/>
      <c r="B20" s="19" t="s">
        <v>477</v>
      </c>
      <c r="C20" s="20" t="s">
        <v>244</v>
      </c>
      <c r="D20" s="19" t="s">
        <v>74</v>
      </c>
      <c r="E20" s="19" t="s">
        <v>220</v>
      </c>
      <c r="F20" s="19"/>
      <c r="G20" s="21">
        <v>1925</v>
      </c>
      <c r="H20" s="19"/>
      <c r="I20" s="22">
        <v>46012</v>
      </c>
      <c r="J20" s="19"/>
      <c r="K20" s="23"/>
      <c r="L20" s="3"/>
      <c r="M20" s="24"/>
      <c r="N20" s="19"/>
      <c r="O20" s="19" t="s">
        <v>493</v>
      </c>
      <c r="P20" s="14" t="s">
        <v>244</v>
      </c>
      <c r="Q20" s="14" t="s">
        <v>166</v>
      </c>
      <c r="R20" s="14" t="s">
        <v>458</v>
      </c>
      <c r="S20" s="15">
        <v>1925</v>
      </c>
      <c r="T20" s="16">
        <v>24640</v>
      </c>
      <c r="U20" s="14" t="s">
        <v>71</v>
      </c>
      <c r="W20" s="18"/>
      <c r="X20" s="19"/>
      <c r="Y20" s="20" t="s">
        <v>103</v>
      </c>
      <c r="Z20" s="19"/>
      <c r="AA20" s="19"/>
      <c r="AB20" s="19"/>
      <c r="AC20" s="21"/>
      <c r="AD20" s="19" t="s">
        <v>174</v>
      </c>
      <c r="AE20" s="22">
        <v>46008</v>
      </c>
      <c r="AF20" s="19">
        <v>2</v>
      </c>
      <c r="AG20" s="23"/>
      <c r="AH20" s="20"/>
      <c r="AI20" s="24"/>
      <c r="AJ20" s="19" t="s">
        <v>174</v>
      </c>
      <c r="AK20" s="19"/>
      <c r="AL20" s="14"/>
      <c r="AM20" s="14" t="s">
        <v>175</v>
      </c>
      <c r="AN20" s="14"/>
      <c r="AO20" s="15"/>
      <c r="AP20" s="16"/>
      <c r="AQ20" s="14"/>
    </row>
    <row r="21" spans="1:43">
      <c r="A21" s="18"/>
      <c r="B21" s="19" t="s">
        <v>477</v>
      </c>
      <c r="C21" s="20" t="s">
        <v>222</v>
      </c>
      <c r="D21" s="19" t="s">
        <v>95</v>
      </c>
      <c r="E21" s="19" t="s">
        <v>221</v>
      </c>
      <c r="F21" s="19"/>
      <c r="G21" s="21">
        <v>1950</v>
      </c>
      <c r="H21" s="19"/>
      <c r="I21" s="22">
        <v>46016</v>
      </c>
      <c r="J21" s="19"/>
      <c r="K21" s="23"/>
      <c r="L21" s="3"/>
      <c r="M21" s="24"/>
      <c r="N21" s="19"/>
      <c r="O21" s="19" t="s">
        <v>494</v>
      </c>
      <c r="P21" s="14" t="s">
        <v>222</v>
      </c>
      <c r="Q21" s="14" t="s">
        <v>223</v>
      </c>
      <c r="R21" s="14" t="s">
        <v>459</v>
      </c>
      <c r="S21" s="15">
        <v>1950</v>
      </c>
      <c r="T21" s="16">
        <v>24219</v>
      </c>
      <c r="U21" s="14" t="s">
        <v>197</v>
      </c>
      <c r="W21" s="18"/>
      <c r="X21" s="19"/>
      <c r="Y21" s="20" t="s">
        <v>104</v>
      </c>
      <c r="Z21" s="19"/>
      <c r="AA21" s="19"/>
      <c r="AB21" s="19"/>
      <c r="AC21" s="21"/>
      <c r="AD21" s="19"/>
      <c r="AE21" s="22">
        <v>46012</v>
      </c>
      <c r="AF21" s="19">
        <v>2</v>
      </c>
      <c r="AG21" s="23"/>
      <c r="AH21" s="20"/>
      <c r="AI21" s="24" t="s">
        <v>70</v>
      </c>
      <c r="AJ21" s="19"/>
      <c r="AK21" s="19"/>
      <c r="AL21" s="14"/>
      <c r="AM21" s="14" t="s">
        <v>166</v>
      </c>
      <c r="AN21" s="14"/>
      <c r="AO21" s="15"/>
      <c r="AP21" s="16"/>
      <c r="AQ21" s="14"/>
    </row>
    <row r="22" spans="1:43">
      <c r="A22" s="18"/>
      <c r="B22" s="19"/>
      <c r="C22" s="20" t="s">
        <v>225</v>
      </c>
      <c r="D22" s="19" t="s">
        <v>105</v>
      </c>
      <c r="E22" s="19" t="s">
        <v>224</v>
      </c>
      <c r="F22" s="19"/>
      <c r="G22" s="21">
        <v>1960</v>
      </c>
      <c r="H22" s="19"/>
      <c r="I22" s="22">
        <v>46015</v>
      </c>
      <c r="J22" s="19"/>
      <c r="K22" s="23"/>
      <c r="L22" s="3"/>
      <c r="M22" s="24"/>
      <c r="N22" s="19"/>
      <c r="O22" s="19" t="s">
        <v>488</v>
      </c>
      <c r="P22" s="14" t="s">
        <v>225</v>
      </c>
      <c r="Q22" s="14" t="s">
        <v>177</v>
      </c>
      <c r="R22" s="14" t="s">
        <v>460</v>
      </c>
      <c r="S22" s="15">
        <v>1960</v>
      </c>
      <c r="T22" s="16">
        <v>24500</v>
      </c>
      <c r="U22" s="14" t="s">
        <v>154</v>
      </c>
      <c r="W22" s="8"/>
      <c r="X22" s="9"/>
      <c r="Y22" s="20" t="s">
        <v>106</v>
      </c>
      <c r="Z22" s="9"/>
      <c r="AA22" s="9"/>
      <c r="AB22" s="9"/>
      <c r="AC22" s="10"/>
      <c r="AD22" s="9" t="s">
        <v>169</v>
      </c>
      <c r="AE22" s="11">
        <v>46015</v>
      </c>
      <c r="AF22" s="9">
        <v>2</v>
      </c>
      <c r="AG22" s="12"/>
      <c r="AH22" s="3"/>
      <c r="AI22" s="17" t="s">
        <v>70</v>
      </c>
      <c r="AJ22" s="9" t="s">
        <v>169</v>
      </c>
      <c r="AK22" s="9"/>
      <c r="AL22" s="14"/>
      <c r="AM22" s="14" t="s">
        <v>176</v>
      </c>
      <c r="AN22" s="14"/>
      <c r="AO22" s="15"/>
      <c r="AP22" s="16"/>
      <c r="AQ22" s="14"/>
    </row>
    <row r="23" spans="1:43">
      <c r="A23" s="18"/>
      <c r="B23" s="19"/>
      <c r="C23" s="20" t="s">
        <v>250</v>
      </c>
      <c r="D23" s="19" t="s">
        <v>72</v>
      </c>
      <c r="E23" s="19" t="s">
        <v>226</v>
      </c>
      <c r="F23" s="19"/>
      <c r="G23" s="21">
        <v>800</v>
      </c>
      <c r="H23" s="19"/>
      <c r="I23" s="22">
        <v>46015</v>
      </c>
      <c r="J23" s="19"/>
      <c r="K23" s="23"/>
      <c r="L23" s="3"/>
      <c r="M23" s="24"/>
      <c r="N23" s="19"/>
      <c r="O23" s="19" t="s">
        <v>495</v>
      </c>
      <c r="P23" s="14" t="s">
        <v>250</v>
      </c>
      <c r="Q23" s="14" t="s">
        <v>152</v>
      </c>
      <c r="R23" s="14" t="s">
        <v>461</v>
      </c>
      <c r="S23" s="15">
        <v>800</v>
      </c>
      <c r="T23" s="16">
        <v>9360</v>
      </c>
      <c r="U23" s="14" t="s">
        <v>154</v>
      </c>
      <c r="W23" s="8"/>
      <c r="X23" s="9"/>
      <c r="Y23" s="20" t="s">
        <v>107</v>
      </c>
      <c r="Z23" s="9"/>
      <c r="AA23" s="9"/>
      <c r="AB23" s="9"/>
      <c r="AC23" s="10"/>
      <c r="AD23" s="9" t="s">
        <v>142</v>
      </c>
      <c r="AE23" s="11">
        <v>46015</v>
      </c>
      <c r="AF23" s="9">
        <v>2</v>
      </c>
      <c r="AG23" s="12"/>
      <c r="AH23" s="3"/>
      <c r="AI23" s="17" t="s">
        <v>70</v>
      </c>
      <c r="AJ23" s="9" t="s">
        <v>142</v>
      </c>
      <c r="AK23" s="9"/>
      <c r="AL23" s="14"/>
      <c r="AM23" s="14" t="s">
        <v>177</v>
      </c>
      <c r="AN23" s="14"/>
      <c r="AO23" s="15"/>
      <c r="AP23" s="16"/>
      <c r="AQ23" s="14"/>
    </row>
    <row r="24" spans="1:43">
      <c r="A24" s="18"/>
      <c r="B24" s="19"/>
      <c r="C24" s="20" t="s">
        <v>108</v>
      </c>
      <c r="D24" s="19" t="s">
        <v>69</v>
      </c>
      <c r="E24" s="19" t="s">
        <v>226</v>
      </c>
      <c r="F24" s="19"/>
      <c r="G24" s="21">
        <v>800</v>
      </c>
      <c r="H24" s="19"/>
      <c r="I24" s="22">
        <v>46015</v>
      </c>
      <c r="J24" s="19"/>
      <c r="K24" s="23"/>
      <c r="L24" s="3"/>
      <c r="M24" s="24"/>
      <c r="N24" s="19"/>
      <c r="O24" s="19" t="s">
        <v>240</v>
      </c>
      <c r="P24" s="14" t="s">
        <v>250</v>
      </c>
      <c r="Q24" s="14" t="s">
        <v>152</v>
      </c>
      <c r="R24" s="14" t="s">
        <v>251</v>
      </c>
      <c r="S24" s="15">
        <v>800</v>
      </c>
      <c r="T24" s="16">
        <v>9360</v>
      </c>
      <c r="U24" s="14" t="s">
        <v>154</v>
      </c>
      <c r="W24" s="8"/>
      <c r="X24" s="9"/>
      <c r="Y24" s="20" t="s">
        <v>108</v>
      </c>
      <c r="Z24" s="9"/>
      <c r="AA24" s="9"/>
      <c r="AB24" s="9"/>
      <c r="AC24" s="10"/>
      <c r="AD24" s="9"/>
      <c r="AE24" s="11">
        <v>46015</v>
      </c>
      <c r="AF24" s="9">
        <v>1</v>
      </c>
      <c r="AG24" s="12"/>
      <c r="AH24" s="3"/>
      <c r="AI24" s="17">
        <v>20</v>
      </c>
      <c r="AJ24" s="9"/>
      <c r="AK24" s="9"/>
      <c r="AL24" s="14"/>
      <c r="AM24" s="14"/>
      <c r="AN24" s="14"/>
      <c r="AO24" s="15"/>
      <c r="AP24" s="16"/>
      <c r="AQ24" s="14"/>
    </row>
    <row r="25" spans="1:43">
      <c r="A25" s="18"/>
      <c r="B25" s="19" t="s">
        <v>477</v>
      </c>
      <c r="C25" s="20" t="s">
        <v>228</v>
      </c>
      <c r="D25" s="19" t="s">
        <v>109</v>
      </c>
      <c r="E25" s="19" t="s">
        <v>227</v>
      </c>
      <c r="F25" s="19"/>
      <c r="G25" s="21">
        <v>1950</v>
      </c>
      <c r="H25" s="19"/>
      <c r="I25" s="22">
        <v>46016</v>
      </c>
      <c r="J25" s="19"/>
      <c r="K25" s="23"/>
      <c r="L25" s="3"/>
      <c r="M25" s="24"/>
      <c r="N25" s="19"/>
      <c r="O25" s="19" t="s">
        <v>501</v>
      </c>
      <c r="P25" s="14" t="s">
        <v>228</v>
      </c>
      <c r="Q25" s="14" t="s">
        <v>163</v>
      </c>
      <c r="R25" s="14" t="s">
        <v>462</v>
      </c>
      <c r="S25" s="15">
        <v>1950</v>
      </c>
      <c r="T25" s="16">
        <v>24219</v>
      </c>
      <c r="U25" s="14" t="s">
        <v>197</v>
      </c>
      <c r="W25" s="8"/>
      <c r="X25" s="9"/>
      <c r="Y25" s="20" t="s">
        <v>110</v>
      </c>
      <c r="Z25" s="9"/>
      <c r="AA25" s="9"/>
      <c r="AB25" s="9"/>
      <c r="AC25" s="10"/>
      <c r="AD25" s="9"/>
      <c r="AE25" s="11">
        <v>46016</v>
      </c>
      <c r="AF25" s="9">
        <v>2</v>
      </c>
      <c r="AG25" s="12"/>
      <c r="AH25" s="3"/>
      <c r="AI25" s="17" t="s">
        <v>70</v>
      </c>
      <c r="AJ25" s="9"/>
      <c r="AK25" s="9"/>
      <c r="AL25" s="14"/>
      <c r="AM25" s="14"/>
      <c r="AN25" s="14"/>
      <c r="AO25" s="15"/>
      <c r="AP25" s="16"/>
      <c r="AQ25" s="14"/>
    </row>
    <row r="26" spans="1:43">
      <c r="A26" s="18"/>
      <c r="B26" s="19" t="s">
        <v>477</v>
      </c>
      <c r="C26" s="20" t="s">
        <v>252</v>
      </c>
      <c r="D26" s="19" t="s">
        <v>111</v>
      </c>
      <c r="E26" s="19" t="s">
        <v>229</v>
      </c>
      <c r="F26" s="19"/>
      <c r="G26" s="21">
        <v>1950</v>
      </c>
      <c r="H26" s="19"/>
      <c r="I26" s="22">
        <v>46017</v>
      </c>
      <c r="J26" s="19"/>
      <c r="K26" s="23"/>
      <c r="L26" s="3"/>
      <c r="M26" s="24"/>
      <c r="N26" s="19"/>
      <c r="O26" s="19" t="s">
        <v>502</v>
      </c>
      <c r="P26" s="14" t="s">
        <v>252</v>
      </c>
      <c r="Q26" s="14" t="s">
        <v>178</v>
      </c>
      <c r="R26" s="14" t="s">
        <v>463</v>
      </c>
      <c r="S26" s="15">
        <v>1950</v>
      </c>
      <c r="T26" s="16">
        <v>24434</v>
      </c>
      <c r="U26" s="14" t="s">
        <v>230</v>
      </c>
      <c r="W26" s="8"/>
      <c r="X26" s="9"/>
      <c r="Y26" s="20" t="s">
        <v>112</v>
      </c>
      <c r="Z26" s="9"/>
      <c r="AA26" s="9"/>
      <c r="AB26" s="9"/>
      <c r="AC26" s="10"/>
      <c r="AD26" s="9"/>
      <c r="AE26" s="11">
        <v>46016</v>
      </c>
      <c r="AF26" s="9">
        <v>2</v>
      </c>
      <c r="AG26" s="12"/>
      <c r="AH26" s="3"/>
      <c r="AI26" s="17" t="s">
        <v>70</v>
      </c>
      <c r="AJ26" s="9"/>
      <c r="AK26" s="9"/>
      <c r="AL26" s="14"/>
      <c r="AM26" s="14"/>
      <c r="AN26" s="14"/>
      <c r="AO26" s="15"/>
      <c r="AP26" s="16"/>
      <c r="AQ26" s="14"/>
    </row>
    <row r="27" spans="1:43">
      <c r="A27" s="18"/>
      <c r="B27" s="19" t="s">
        <v>477</v>
      </c>
      <c r="C27" s="20" t="s">
        <v>253</v>
      </c>
      <c r="D27" s="19" t="s">
        <v>94</v>
      </c>
      <c r="E27" s="19" t="s">
        <v>231</v>
      </c>
      <c r="F27" s="19"/>
      <c r="G27" s="21">
        <v>1950</v>
      </c>
      <c r="H27" s="19"/>
      <c r="I27" s="22">
        <v>46017</v>
      </c>
      <c r="J27" s="19"/>
      <c r="K27" s="23"/>
      <c r="L27" s="3"/>
      <c r="M27" s="24"/>
      <c r="N27" s="19"/>
      <c r="O27" s="19" t="s">
        <v>502</v>
      </c>
      <c r="P27" s="14" t="s">
        <v>253</v>
      </c>
      <c r="Q27" s="14" t="s">
        <v>178</v>
      </c>
      <c r="R27" s="14" t="s">
        <v>464</v>
      </c>
      <c r="S27" s="15">
        <v>1950</v>
      </c>
      <c r="T27" s="16">
        <v>24434</v>
      </c>
      <c r="U27" s="14" t="s">
        <v>230</v>
      </c>
      <c r="W27" s="8"/>
      <c r="X27" s="9"/>
      <c r="Y27" s="20" t="s">
        <v>113</v>
      </c>
      <c r="Z27" s="9"/>
      <c r="AA27" s="9"/>
      <c r="AB27" s="9"/>
      <c r="AC27" s="10"/>
      <c r="AD27" s="9" t="s">
        <v>68</v>
      </c>
      <c r="AE27" s="11">
        <v>46017</v>
      </c>
      <c r="AF27" s="9">
        <v>2</v>
      </c>
      <c r="AG27" s="12"/>
      <c r="AH27" s="3"/>
      <c r="AI27" s="17" t="s">
        <v>70</v>
      </c>
      <c r="AJ27" s="9" t="s">
        <v>68</v>
      </c>
      <c r="AK27" s="9"/>
      <c r="AL27" s="14"/>
      <c r="AM27" s="14" t="s">
        <v>178</v>
      </c>
      <c r="AN27" s="14"/>
      <c r="AO27" s="15"/>
      <c r="AP27" s="16"/>
      <c r="AQ27" s="14"/>
    </row>
    <row r="28" spans="1:43">
      <c r="A28" s="18"/>
      <c r="B28" s="19" t="s">
        <v>477</v>
      </c>
      <c r="C28" s="20" t="s">
        <v>245</v>
      </c>
      <c r="D28" s="19" t="s">
        <v>94</v>
      </c>
      <c r="E28" s="19" t="s">
        <v>465</v>
      </c>
      <c r="F28" s="19"/>
      <c r="G28" s="21">
        <v>2750</v>
      </c>
      <c r="H28" s="19"/>
      <c r="I28" s="22">
        <v>46019</v>
      </c>
      <c r="J28" s="19"/>
      <c r="K28" s="23"/>
      <c r="L28" s="3"/>
      <c r="M28" s="24"/>
      <c r="N28" s="19"/>
      <c r="O28" s="19" t="s">
        <v>503</v>
      </c>
      <c r="P28" s="14" t="s">
        <v>245</v>
      </c>
      <c r="Q28" s="14" t="s">
        <v>179</v>
      </c>
      <c r="R28" s="14" t="s">
        <v>466</v>
      </c>
      <c r="S28" s="15">
        <v>2750</v>
      </c>
      <c r="T28" s="16">
        <v>18425</v>
      </c>
      <c r="U28" s="14" t="s">
        <v>409</v>
      </c>
      <c r="W28" s="8"/>
      <c r="X28" s="9"/>
      <c r="Y28" s="20" t="s">
        <v>114</v>
      </c>
      <c r="Z28" s="9"/>
      <c r="AA28" s="9"/>
      <c r="AB28" s="9"/>
      <c r="AC28" s="10"/>
      <c r="AD28" s="9" t="s">
        <v>68</v>
      </c>
      <c r="AE28" s="11">
        <v>46017</v>
      </c>
      <c r="AF28" s="9">
        <v>2</v>
      </c>
      <c r="AG28" s="12"/>
      <c r="AH28" s="3"/>
      <c r="AI28" s="17" t="s">
        <v>70</v>
      </c>
      <c r="AJ28" s="9" t="s">
        <v>68</v>
      </c>
      <c r="AK28" s="9"/>
      <c r="AL28" s="14"/>
      <c r="AM28" s="14" t="s">
        <v>178</v>
      </c>
      <c r="AN28" s="14"/>
      <c r="AO28" s="15"/>
      <c r="AP28" s="16"/>
      <c r="AQ28" s="14"/>
    </row>
    <row r="29" spans="1:43">
      <c r="A29" s="18"/>
      <c r="B29" s="19"/>
      <c r="C29" s="20" t="s">
        <v>233</v>
      </c>
      <c r="D29" s="19" t="s">
        <v>115</v>
      </c>
      <c r="E29" s="19" t="s">
        <v>232</v>
      </c>
      <c r="F29" s="19"/>
      <c r="G29" s="21">
        <v>1872</v>
      </c>
      <c r="H29" s="19"/>
      <c r="I29" s="22">
        <v>46017</v>
      </c>
      <c r="J29" s="19"/>
      <c r="K29" s="23"/>
      <c r="L29" s="3"/>
      <c r="M29" s="24"/>
      <c r="N29" s="19"/>
      <c r="O29" s="19" t="s">
        <v>504</v>
      </c>
      <c r="P29" s="14" t="s">
        <v>233</v>
      </c>
      <c r="Q29" s="14" t="s">
        <v>178</v>
      </c>
      <c r="R29" s="14" t="s">
        <v>467</v>
      </c>
      <c r="S29" s="15">
        <v>1872</v>
      </c>
      <c r="T29" s="16">
        <v>23587.200000000001</v>
      </c>
      <c r="U29" s="14" t="s">
        <v>230</v>
      </c>
      <c r="W29" s="8"/>
      <c r="X29" s="9"/>
      <c r="Y29" s="20" t="s">
        <v>116</v>
      </c>
      <c r="Z29" s="9"/>
      <c r="AA29" s="9"/>
      <c r="AB29" s="9"/>
      <c r="AC29" s="10"/>
      <c r="AD29" s="9" t="s">
        <v>157</v>
      </c>
      <c r="AE29" s="11">
        <v>46017</v>
      </c>
      <c r="AF29" s="9">
        <v>1</v>
      </c>
      <c r="AG29" s="12"/>
      <c r="AH29" s="3"/>
      <c r="AI29" s="17" t="s">
        <v>70</v>
      </c>
      <c r="AJ29" s="9" t="s">
        <v>157</v>
      </c>
      <c r="AK29" s="9"/>
      <c r="AL29" s="14"/>
      <c r="AM29" s="14" t="s">
        <v>179</v>
      </c>
      <c r="AN29" s="14"/>
      <c r="AO29" s="15"/>
      <c r="AP29" s="16"/>
      <c r="AQ29" s="14"/>
    </row>
    <row r="30" spans="1:43">
      <c r="A30" s="18"/>
      <c r="B30" s="19" t="s">
        <v>477</v>
      </c>
      <c r="C30" s="20" t="s">
        <v>410</v>
      </c>
      <c r="D30" s="19" t="s">
        <v>117</v>
      </c>
      <c r="E30" s="19" t="s">
        <v>468</v>
      </c>
      <c r="F30" s="19"/>
      <c r="G30" s="21">
        <v>1980</v>
      </c>
      <c r="H30" s="19"/>
      <c r="I30" s="22">
        <v>46018</v>
      </c>
      <c r="J30" s="19"/>
      <c r="K30" s="23"/>
      <c r="L30" s="3"/>
      <c r="M30" s="24"/>
      <c r="N30" s="19"/>
      <c r="O30" s="19" t="s">
        <v>505</v>
      </c>
      <c r="P30" s="14" t="s">
        <v>410</v>
      </c>
      <c r="Q30" s="14" t="s">
        <v>411</v>
      </c>
      <c r="R30" s="14" t="s">
        <v>469</v>
      </c>
      <c r="S30" s="15">
        <v>1980</v>
      </c>
      <c r="T30" s="16">
        <v>24948</v>
      </c>
      <c r="U30" s="14" t="s">
        <v>412</v>
      </c>
      <c r="W30" s="8"/>
      <c r="X30" s="9"/>
      <c r="Y30" s="20" t="s">
        <v>118</v>
      </c>
      <c r="Z30" s="9"/>
      <c r="AA30" s="9"/>
      <c r="AB30" s="9"/>
      <c r="AC30" s="10"/>
      <c r="AD30" s="9" t="s">
        <v>180</v>
      </c>
      <c r="AE30" s="11">
        <v>46017</v>
      </c>
      <c r="AF30" s="9">
        <v>2</v>
      </c>
      <c r="AG30" s="12"/>
      <c r="AH30" s="3"/>
      <c r="AI30" s="17" t="s">
        <v>70</v>
      </c>
      <c r="AJ30" s="9" t="s">
        <v>180</v>
      </c>
      <c r="AK30" s="9"/>
      <c r="AL30" s="14"/>
      <c r="AM30" s="14" t="s">
        <v>178</v>
      </c>
      <c r="AN30" s="14"/>
      <c r="AO30" s="15"/>
      <c r="AP30" s="16"/>
      <c r="AQ30" s="14"/>
    </row>
    <row r="31" spans="1:43">
      <c r="A31" s="18"/>
      <c r="B31" s="19"/>
      <c r="C31" s="20" t="s">
        <v>246</v>
      </c>
      <c r="D31" s="19" t="s">
        <v>105</v>
      </c>
      <c r="E31" s="19" t="s">
        <v>506</v>
      </c>
      <c r="F31" s="19"/>
      <c r="G31" s="21">
        <v>564</v>
      </c>
      <c r="H31" s="19"/>
      <c r="I31" s="22">
        <v>46019</v>
      </c>
      <c r="J31" s="19"/>
      <c r="K31" s="23"/>
      <c r="L31" s="3"/>
      <c r="M31" s="24"/>
      <c r="N31" s="19"/>
      <c r="O31" s="19" t="s">
        <v>507</v>
      </c>
      <c r="P31" s="14" t="s">
        <v>246</v>
      </c>
      <c r="Q31" s="14" t="s">
        <v>181</v>
      </c>
      <c r="R31" s="14" t="s">
        <v>478</v>
      </c>
      <c r="S31" s="15">
        <v>564</v>
      </c>
      <c r="T31" s="16">
        <v>3778.8</v>
      </c>
      <c r="U31" s="14" t="s">
        <v>409</v>
      </c>
      <c r="W31" s="8"/>
      <c r="X31" s="9"/>
      <c r="Y31" s="20" t="s">
        <v>119</v>
      </c>
      <c r="Z31" s="9"/>
      <c r="AA31" s="9"/>
      <c r="AB31" s="9"/>
      <c r="AC31" s="10"/>
      <c r="AD31" s="9"/>
      <c r="AE31" s="11">
        <v>46018</v>
      </c>
      <c r="AF31" s="9">
        <v>2</v>
      </c>
      <c r="AG31" s="12"/>
      <c r="AH31" s="3"/>
      <c r="AI31" s="17" t="s">
        <v>70</v>
      </c>
      <c r="AJ31" s="9"/>
      <c r="AK31" s="9"/>
      <c r="AL31" s="14"/>
      <c r="AM31" s="14"/>
      <c r="AN31" s="14"/>
      <c r="AO31" s="15"/>
      <c r="AP31" s="16"/>
      <c r="AQ31" s="14"/>
    </row>
    <row r="32" spans="1:43">
      <c r="A32" s="18"/>
      <c r="B32" s="19"/>
      <c r="C32" s="20" t="s">
        <v>120</v>
      </c>
      <c r="D32" s="19" t="s">
        <v>69</v>
      </c>
      <c r="E32" s="19"/>
      <c r="F32" s="19"/>
      <c r="G32" s="21"/>
      <c r="H32" s="19"/>
      <c r="I32" s="22"/>
      <c r="J32" s="19"/>
      <c r="K32" s="23"/>
      <c r="L32" s="3"/>
      <c r="M32" s="24"/>
      <c r="N32" s="19"/>
      <c r="O32" s="19"/>
      <c r="P32" s="14"/>
      <c r="Q32" s="14"/>
      <c r="R32" s="14"/>
      <c r="S32" s="15"/>
      <c r="T32" s="16"/>
      <c r="U32" s="14"/>
      <c r="W32" s="18"/>
      <c r="X32" s="19"/>
      <c r="Y32" s="20" t="s">
        <v>120</v>
      </c>
      <c r="Z32" s="19"/>
      <c r="AA32" s="19"/>
      <c r="AB32" s="19"/>
      <c r="AC32" s="21"/>
      <c r="AD32" s="19" t="s">
        <v>142</v>
      </c>
      <c r="AE32" s="22">
        <v>46019</v>
      </c>
      <c r="AF32" s="19">
        <v>1</v>
      </c>
      <c r="AG32" s="23"/>
      <c r="AH32" s="20"/>
      <c r="AI32" s="24">
        <v>20</v>
      </c>
      <c r="AJ32" s="19" t="s">
        <v>142</v>
      </c>
      <c r="AK32" s="19"/>
      <c r="AL32" s="14"/>
      <c r="AM32" s="14" t="s">
        <v>181</v>
      </c>
      <c r="AN32" s="14"/>
      <c r="AO32" s="15"/>
      <c r="AP32" s="16"/>
      <c r="AQ32" s="14"/>
    </row>
    <row r="33" spans="1:43">
      <c r="A33" s="18"/>
      <c r="B33" s="19"/>
      <c r="C33" s="20" t="s">
        <v>121</v>
      </c>
      <c r="D33" s="19" t="s">
        <v>105</v>
      </c>
      <c r="E33" s="19"/>
      <c r="F33" s="19"/>
      <c r="G33" s="21"/>
      <c r="H33" s="19"/>
      <c r="I33" s="22"/>
      <c r="J33" s="19"/>
      <c r="K33" s="23"/>
      <c r="L33" s="3"/>
      <c r="M33" s="24"/>
      <c r="N33" s="19"/>
      <c r="O33" s="19"/>
      <c r="P33" s="14"/>
      <c r="Q33" s="14"/>
      <c r="R33" s="14"/>
      <c r="S33" s="15"/>
      <c r="T33" s="16"/>
      <c r="U33" s="14"/>
      <c r="W33" s="18"/>
      <c r="X33" s="19"/>
      <c r="Y33" s="20" t="s">
        <v>121</v>
      </c>
      <c r="Z33" s="19"/>
      <c r="AA33" s="19"/>
      <c r="AB33" s="19"/>
      <c r="AC33" s="21"/>
      <c r="AD33" s="19"/>
      <c r="AE33" s="22">
        <v>46020</v>
      </c>
      <c r="AF33" s="19">
        <v>2</v>
      </c>
      <c r="AG33" s="23"/>
      <c r="AH33" s="20"/>
      <c r="AI33" s="24" t="s">
        <v>70</v>
      </c>
      <c r="AJ33" s="19"/>
      <c r="AK33" s="19"/>
      <c r="AL33" s="14"/>
      <c r="AM33" s="14" t="s">
        <v>182</v>
      </c>
      <c r="AN33" s="14"/>
      <c r="AO33" s="15"/>
      <c r="AP33" s="16"/>
      <c r="AQ33" s="14"/>
    </row>
    <row r="34" spans="1:43">
      <c r="A34" s="18"/>
      <c r="B34" s="19"/>
      <c r="C34" s="20" t="s">
        <v>122</v>
      </c>
      <c r="D34" s="19" t="s">
        <v>72</v>
      </c>
      <c r="E34" s="19"/>
      <c r="F34" s="19"/>
      <c r="G34" s="21"/>
      <c r="H34" s="19"/>
      <c r="I34" s="22"/>
      <c r="J34" s="19"/>
      <c r="K34" s="23"/>
      <c r="L34" s="3"/>
      <c r="M34" s="24"/>
      <c r="N34" s="19"/>
      <c r="O34" s="19"/>
      <c r="P34" s="14"/>
      <c r="Q34" s="14"/>
      <c r="R34" s="14"/>
      <c r="S34" s="15"/>
      <c r="T34" s="16"/>
      <c r="U34" s="14"/>
      <c r="W34" s="18"/>
      <c r="X34" s="19"/>
      <c r="Y34" s="20" t="s">
        <v>122</v>
      </c>
      <c r="Z34" s="19"/>
      <c r="AA34" s="19"/>
      <c r="AB34" s="19"/>
      <c r="AC34" s="21"/>
      <c r="AD34" s="19" t="s">
        <v>68</v>
      </c>
      <c r="AE34" s="22">
        <v>46020</v>
      </c>
      <c r="AF34" s="19">
        <v>2</v>
      </c>
      <c r="AG34" s="23"/>
      <c r="AH34" s="20"/>
      <c r="AI34" s="24" t="s">
        <v>70</v>
      </c>
      <c r="AJ34" s="19" t="s">
        <v>68</v>
      </c>
      <c r="AK34" s="19"/>
      <c r="AL34" s="14"/>
      <c r="AM34" s="14" t="s">
        <v>183</v>
      </c>
      <c r="AN34" s="14"/>
      <c r="AO34" s="15"/>
      <c r="AP34" s="16"/>
      <c r="AQ34" s="14"/>
    </row>
    <row r="35" spans="1:43">
      <c r="A35" s="18"/>
      <c r="B35" s="19"/>
      <c r="C35" s="20" t="s">
        <v>123</v>
      </c>
      <c r="D35" s="19" t="s">
        <v>111</v>
      </c>
      <c r="E35" s="19"/>
      <c r="F35" s="19"/>
      <c r="G35" s="21"/>
      <c r="H35" s="19"/>
      <c r="I35" s="22"/>
      <c r="J35" s="19"/>
      <c r="K35" s="23"/>
      <c r="L35" s="3"/>
      <c r="M35" s="24"/>
      <c r="N35" s="19"/>
      <c r="O35" s="19"/>
      <c r="P35" s="14"/>
      <c r="Q35" s="14"/>
      <c r="R35" s="14"/>
      <c r="S35" s="15"/>
      <c r="T35" s="16"/>
      <c r="U35" s="14"/>
      <c r="W35" s="18"/>
      <c r="X35" s="19"/>
      <c r="Y35" s="20" t="s">
        <v>123</v>
      </c>
      <c r="Z35" s="19"/>
      <c r="AA35" s="19"/>
      <c r="AB35" s="19"/>
      <c r="AC35" s="21"/>
      <c r="AD35" s="19"/>
      <c r="AE35" s="22">
        <v>46020</v>
      </c>
      <c r="AF35" s="19">
        <v>2</v>
      </c>
      <c r="AG35" s="23"/>
      <c r="AH35" s="20"/>
      <c r="AI35" s="24" t="s">
        <v>70</v>
      </c>
      <c r="AJ35" s="19"/>
      <c r="AK35" s="19"/>
      <c r="AL35" s="14"/>
      <c r="AM35" s="14"/>
      <c r="AN35" s="14"/>
      <c r="AO35" s="15"/>
      <c r="AP35" s="16"/>
      <c r="AQ35" s="14"/>
    </row>
    <row r="36" spans="1:43">
      <c r="A36" s="18"/>
      <c r="B36" s="19"/>
      <c r="C36" s="20" t="s">
        <v>124</v>
      </c>
      <c r="D36" s="19" t="s">
        <v>105</v>
      </c>
      <c r="E36" s="19"/>
      <c r="F36" s="19"/>
      <c r="G36" s="21"/>
      <c r="H36" s="19"/>
      <c r="I36" s="22"/>
      <c r="J36" s="19"/>
      <c r="K36" s="23"/>
      <c r="L36" s="3"/>
      <c r="M36" s="24"/>
      <c r="N36" s="19"/>
      <c r="O36" s="19"/>
      <c r="P36" s="14"/>
      <c r="Q36" s="14"/>
      <c r="R36" s="14"/>
      <c r="S36" s="15"/>
      <c r="T36" s="16"/>
      <c r="U36" s="14"/>
      <c r="W36" s="18"/>
      <c r="X36" s="19"/>
      <c r="Y36" s="20" t="s">
        <v>124</v>
      </c>
      <c r="Z36" s="19"/>
      <c r="AA36" s="19"/>
      <c r="AB36" s="19"/>
      <c r="AC36" s="21"/>
      <c r="AD36" s="19"/>
      <c r="AE36" s="22">
        <v>46022</v>
      </c>
      <c r="AF36" s="19">
        <v>2</v>
      </c>
      <c r="AG36" s="23"/>
      <c r="AH36" s="20"/>
      <c r="AI36" s="24" t="s">
        <v>70</v>
      </c>
      <c r="AJ36" s="19"/>
      <c r="AK36" s="19"/>
      <c r="AL36" s="14"/>
      <c r="AM36" s="14" t="s">
        <v>184</v>
      </c>
      <c r="AN36" s="14"/>
      <c r="AO36" s="15"/>
      <c r="AP36" s="16"/>
      <c r="AQ36" s="14"/>
    </row>
    <row r="37" spans="1:43">
      <c r="A37" s="18"/>
      <c r="B37" s="19"/>
      <c r="C37" s="20" t="s">
        <v>126</v>
      </c>
      <c r="D37" s="19" t="s">
        <v>125</v>
      </c>
      <c r="E37" s="19"/>
      <c r="F37" s="19"/>
      <c r="G37" s="21"/>
      <c r="H37" s="19"/>
      <c r="I37" s="22"/>
      <c r="J37" s="19"/>
      <c r="K37" s="23"/>
      <c r="L37" s="3"/>
      <c r="M37" s="24"/>
      <c r="N37" s="19"/>
      <c r="O37" s="19"/>
      <c r="P37" s="14"/>
      <c r="Q37" s="14"/>
      <c r="R37" s="14"/>
      <c r="S37" s="15"/>
      <c r="T37" s="16"/>
      <c r="U37" s="14"/>
      <c r="W37" s="18"/>
      <c r="X37" s="19"/>
      <c r="Y37" s="20" t="s">
        <v>126</v>
      </c>
      <c r="Z37" s="19"/>
      <c r="AA37" s="19"/>
      <c r="AB37" s="19"/>
      <c r="AC37" s="21"/>
      <c r="AD37" s="19"/>
      <c r="AE37" s="22">
        <v>46022</v>
      </c>
      <c r="AF37" s="19">
        <v>1</v>
      </c>
      <c r="AG37" s="23"/>
      <c r="AH37" s="20"/>
      <c r="AI37" s="24"/>
      <c r="AJ37" s="19"/>
      <c r="AK37" s="19"/>
      <c r="AL37" s="14"/>
      <c r="AM37" s="14" t="s">
        <v>185</v>
      </c>
      <c r="AN37" s="14"/>
      <c r="AO37" s="15"/>
      <c r="AP37" s="16"/>
      <c r="AQ37" s="14"/>
    </row>
    <row r="38" spans="1:43">
      <c r="A38" s="18"/>
      <c r="B38" s="19"/>
      <c r="C38" s="20" t="s">
        <v>127</v>
      </c>
      <c r="D38" s="19" t="s">
        <v>125</v>
      </c>
      <c r="E38" s="19"/>
      <c r="F38" s="19"/>
      <c r="G38" s="21"/>
      <c r="H38" s="19"/>
      <c r="I38" s="22"/>
      <c r="J38" s="19"/>
      <c r="K38" s="23"/>
      <c r="L38" s="3"/>
      <c r="M38" s="24"/>
      <c r="N38" s="19"/>
      <c r="O38" s="19"/>
      <c r="P38" s="14"/>
      <c r="Q38" s="14"/>
      <c r="R38" s="14"/>
      <c r="S38" s="15"/>
      <c r="T38" s="16"/>
      <c r="U38" s="14"/>
      <c r="W38" s="18"/>
      <c r="X38" s="19"/>
      <c r="Y38" s="20" t="s">
        <v>127</v>
      </c>
      <c r="Z38" s="19"/>
      <c r="AA38" s="19"/>
      <c r="AB38" s="19"/>
      <c r="AC38" s="21"/>
      <c r="AD38" s="19"/>
      <c r="AE38" s="22">
        <v>46022</v>
      </c>
      <c r="AF38" s="19">
        <v>1</v>
      </c>
      <c r="AG38" s="23"/>
      <c r="AH38" s="20"/>
      <c r="AI38" s="24" t="s">
        <v>70</v>
      </c>
      <c r="AJ38" s="19"/>
      <c r="AK38" s="19"/>
      <c r="AL38" s="14"/>
      <c r="AM38" s="14" t="s">
        <v>186</v>
      </c>
      <c r="AN38" s="14"/>
      <c r="AO38" s="15"/>
      <c r="AP38" s="16"/>
      <c r="AQ38" s="14"/>
    </row>
    <row r="39" spans="1:43">
      <c r="A39" s="18"/>
      <c r="B39" s="19"/>
      <c r="C39" s="20" t="s">
        <v>128</v>
      </c>
      <c r="D39" s="19" t="s">
        <v>72</v>
      </c>
      <c r="E39" s="19"/>
      <c r="F39" s="19"/>
      <c r="G39" s="21"/>
      <c r="H39" s="19"/>
      <c r="I39" s="22"/>
      <c r="J39" s="19"/>
      <c r="K39" s="23"/>
      <c r="L39" s="3"/>
      <c r="M39" s="24"/>
      <c r="N39" s="19"/>
      <c r="O39" s="19"/>
      <c r="P39" s="14"/>
      <c r="Q39" s="14"/>
      <c r="R39" s="14"/>
      <c r="S39" s="15"/>
      <c r="T39" s="16"/>
      <c r="U39" s="14"/>
      <c r="W39" s="18"/>
      <c r="X39" s="19"/>
      <c r="Y39" s="20" t="s">
        <v>128</v>
      </c>
      <c r="Z39" s="19"/>
      <c r="AA39" s="19"/>
      <c r="AB39" s="19"/>
      <c r="AC39" s="21"/>
      <c r="AD39" s="19"/>
      <c r="AE39" s="22">
        <v>46022</v>
      </c>
      <c r="AF39" s="19">
        <v>2</v>
      </c>
      <c r="AG39" s="23"/>
      <c r="AH39" s="20"/>
      <c r="AI39" s="24" t="s">
        <v>70</v>
      </c>
      <c r="AJ39" s="19"/>
      <c r="AK39" s="19"/>
      <c r="AL39" s="14"/>
      <c r="AM39" s="14"/>
      <c r="AN39" s="14"/>
      <c r="AO39" s="15"/>
      <c r="AP39" s="16"/>
      <c r="AQ39" s="14"/>
    </row>
    <row r="40" spans="1:43">
      <c r="A40" s="18"/>
      <c r="B40" s="19"/>
      <c r="C40" s="20" t="s">
        <v>129</v>
      </c>
      <c r="D40" s="19" t="s">
        <v>109</v>
      </c>
      <c r="E40" s="19"/>
      <c r="F40" s="19"/>
      <c r="G40" s="21"/>
      <c r="H40" s="19"/>
      <c r="I40" s="22"/>
      <c r="J40" s="19"/>
      <c r="K40" s="23"/>
      <c r="L40" s="3"/>
      <c r="M40" s="24"/>
      <c r="N40" s="19"/>
      <c r="O40" s="19"/>
      <c r="P40" s="14"/>
      <c r="Q40" s="14"/>
      <c r="R40" s="14"/>
      <c r="S40" s="15"/>
      <c r="T40" s="16"/>
      <c r="U40" s="14"/>
      <c r="W40" s="18"/>
      <c r="X40" s="19"/>
      <c r="Y40" s="20" t="s">
        <v>129</v>
      </c>
      <c r="Z40" s="19"/>
      <c r="AA40" s="19"/>
      <c r="AB40" s="19"/>
      <c r="AC40" s="21"/>
      <c r="AD40" s="19"/>
      <c r="AE40" s="22">
        <v>46022</v>
      </c>
      <c r="AF40" s="19">
        <v>2</v>
      </c>
      <c r="AG40" s="23"/>
      <c r="AH40" s="20"/>
      <c r="AI40" s="24"/>
      <c r="AJ40" s="19"/>
      <c r="AK40" s="19"/>
      <c r="AL40" s="14"/>
      <c r="AM40" s="14"/>
      <c r="AN40" s="14"/>
      <c r="AO40" s="15"/>
      <c r="AP40" s="16"/>
      <c r="AQ40" s="14"/>
    </row>
    <row r="41" spans="1:43">
      <c r="A41" s="18"/>
      <c r="B41" s="19"/>
      <c r="C41" s="20" t="s">
        <v>130</v>
      </c>
      <c r="D41" s="19" t="s">
        <v>109</v>
      </c>
      <c r="E41" s="19"/>
      <c r="F41" s="19"/>
      <c r="G41" s="21"/>
      <c r="H41" s="19"/>
      <c r="I41" s="22"/>
      <c r="J41" s="19"/>
      <c r="K41" s="23"/>
      <c r="L41" s="3"/>
      <c r="M41" s="24"/>
      <c r="N41" s="19"/>
      <c r="O41" s="19"/>
      <c r="P41" s="14"/>
      <c r="Q41" s="14"/>
      <c r="R41" s="14"/>
      <c r="S41" s="15"/>
      <c r="T41" s="16"/>
      <c r="U41" s="14"/>
      <c r="W41" s="18"/>
      <c r="X41" s="19"/>
      <c r="Y41" s="20" t="s">
        <v>130</v>
      </c>
      <c r="Z41" s="19"/>
      <c r="AA41" s="19"/>
      <c r="AB41" s="19"/>
      <c r="AC41" s="21"/>
      <c r="AD41" s="19"/>
      <c r="AE41" s="22">
        <v>46022</v>
      </c>
      <c r="AF41" s="19">
        <v>2</v>
      </c>
      <c r="AG41" s="23"/>
      <c r="AH41" s="20"/>
      <c r="AI41" s="24" t="s">
        <v>70</v>
      </c>
      <c r="AJ41" s="19"/>
      <c r="AK41" s="19"/>
      <c r="AL41" s="14"/>
      <c r="AM41" s="14"/>
      <c r="AN41" s="14"/>
      <c r="AO41" s="15"/>
      <c r="AP41" s="16"/>
      <c r="AQ41" s="14"/>
    </row>
    <row r="42" spans="1:43">
      <c r="A42" s="18"/>
      <c r="B42" s="19"/>
      <c r="C42" s="20" t="s">
        <v>131</v>
      </c>
      <c r="D42" s="19" t="s">
        <v>109</v>
      </c>
      <c r="E42" s="19"/>
      <c r="F42" s="19"/>
      <c r="G42" s="21"/>
      <c r="H42" s="19"/>
      <c r="I42" s="22"/>
      <c r="J42" s="19"/>
      <c r="K42" s="23"/>
      <c r="L42" s="3"/>
      <c r="M42" s="24"/>
      <c r="N42" s="19"/>
      <c r="O42" s="19"/>
      <c r="P42" s="14"/>
      <c r="Q42" s="14"/>
      <c r="R42" s="14"/>
      <c r="S42" s="15"/>
      <c r="T42" s="16"/>
      <c r="U42" s="14"/>
      <c r="W42" s="8"/>
      <c r="X42" s="9"/>
      <c r="Y42" s="20" t="s">
        <v>131</v>
      </c>
      <c r="Z42" s="9"/>
      <c r="AA42" s="9"/>
      <c r="AB42" s="9"/>
      <c r="AC42" s="10"/>
      <c r="AD42" s="9"/>
      <c r="AE42" s="11">
        <v>46022</v>
      </c>
      <c r="AF42" s="9">
        <v>2</v>
      </c>
      <c r="AG42" s="12"/>
      <c r="AH42" s="3"/>
      <c r="AI42" s="17" t="s">
        <v>70</v>
      </c>
      <c r="AJ42" s="9"/>
      <c r="AK42" s="9"/>
      <c r="AL42" s="14"/>
      <c r="AM42" s="14"/>
      <c r="AN42" s="14"/>
      <c r="AO42" s="15"/>
      <c r="AP42" s="16"/>
      <c r="AQ42" s="14"/>
    </row>
    <row r="43" spans="1:43">
      <c r="A43" s="18"/>
      <c r="B43" s="19"/>
      <c r="C43" s="20" t="s">
        <v>132</v>
      </c>
      <c r="D43" s="19" t="s">
        <v>109</v>
      </c>
      <c r="E43" s="19"/>
      <c r="F43" s="19"/>
      <c r="G43" s="21"/>
      <c r="H43" s="19"/>
      <c r="I43" s="22"/>
      <c r="J43" s="19"/>
      <c r="K43" s="23"/>
      <c r="L43" s="3"/>
      <c r="M43" s="24"/>
      <c r="N43" s="19"/>
      <c r="O43" s="19"/>
      <c r="P43" s="14"/>
      <c r="Q43" s="14"/>
      <c r="R43" s="14"/>
      <c r="S43" s="15"/>
      <c r="T43" s="16"/>
      <c r="U43" s="14"/>
      <c r="W43" s="8"/>
      <c r="X43" s="9"/>
      <c r="Y43" s="20" t="s">
        <v>132</v>
      </c>
      <c r="Z43" s="9"/>
      <c r="AA43" s="9"/>
      <c r="AB43" s="9"/>
      <c r="AC43" s="10"/>
      <c r="AD43" s="9"/>
      <c r="AE43" s="11">
        <v>46022</v>
      </c>
      <c r="AF43" s="9">
        <v>2</v>
      </c>
      <c r="AG43" s="12"/>
      <c r="AH43" s="3"/>
      <c r="AI43" s="17" t="s">
        <v>70</v>
      </c>
      <c r="AJ43" s="9"/>
      <c r="AK43" s="9"/>
      <c r="AL43" s="14"/>
      <c r="AM43" s="14"/>
      <c r="AN43" s="14"/>
      <c r="AO43" s="15"/>
      <c r="AP43" s="16"/>
      <c r="AQ43" s="14"/>
    </row>
    <row r="44" spans="1:43">
      <c r="A44" s="18"/>
      <c r="B44" s="19"/>
      <c r="C44" s="20" t="s">
        <v>133</v>
      </c>
      <c r="D44" s="19" t="s">
        <v>117</v>
      </c>
      <c r="E44" s="19"/>
      <c r="F44" s="19"/>
      <c r="G44" s="21"/>
      <c r="H44" s="19"/>
      <c r="I44" s="22"/>
      <c r="J44" s="19"/>
      <c r="K44" s="23"/>
      <c r="L44" s="3"/>
      <c r="M44" s="24"/>
      <c r="N44" s="19"/>
      <c r="O44" s="19"/>
      <c r="P44" s="14"/>
      <c r="Q44" s="14"/>
      <c r="R44" s="14"/>
      <c r="S44" s="15"/>
      <c r="T44" s="16"/>
      <c r="U44" s="14"/>
      <c r="W44" s="8"/>
      <c r="X44" s="9"/>
      <c r="Y44" s="20" t="s">
        <v>133</v>
      </c>
      <c r="Z44" s="9"/>
      <c r="AA44" s="9"/>
      <c r="AB44" s="9"/>
      <c r="AC44" s="10"/>
      <c r="AD44" s="9"/>
      <c r="AE44" s="11">
        <v>46022</v>
      </c>
      <c r="AF44" s="9">
        <v>2</v>
      </c>
      <c r="AG44" s="12"/>
      <c r="AH44" s="3"/>
      <c r="AI44" s="17" t="s">
        <v>70</v>
      </c>
      <c r="AJ44" s="9"/>
      <c r="AK44" s="9"/>
      <c r="AL44" s="14"/>
      <c r="AM44" s="14" t="s">
        <v>187</v>
      </c>
      <c r="AN44" s="14"/>
      <c r="AO44" s="15"/>
      <c r="AP44" s="16"/>
      <c r="AQ44" s="14"/>
    </row>
    <row r="45" spans="1:43">
      <c r="A45" s="18"/>
      <c r="B45" s="19"/>
      <c r="C45" s="20" t="s">
        <v>134</v>
      </c>
      <c r="D45" s="19" t="s">
        <v>117</v>
      </c>
      <c r="E45" s="19"/>
      <c r="F45" s="19"/>
      <c r="G45" s="21"/>
      <c r="H45" s="19"/>
      <c r="I45" s="22"/>
      <c r="J45" s="19"/>
      <c r="K45" s="23"/>
      <c r="L45" s="3"/>
      <c r="M45" s="24"/>
      <c r="N45" s="19"/>
      <c r="O45" s="19"/>
      <c r="P45" s="14"/>
      <c r="Q45" s="14"/>
      <c r="R45" s="14"/>
      <c r="S45" s="15"/>
      <c r="T45" s="16"/>
      <c r="U45" s="14"/>
      <c r="W45" s="8"/>
      <c r="X45" s="9"/>
      <c r="Y45" s="20" t="s">
        <v>134</v>
      </c>
      <c r="Z45" s="9"/>
      <c r="AA45" s="9"/>
      <c r="AB45" s="9"/>
      <c r="AC45" s="10"/>
      <c r="AD45" s="9"/>
      <c r="AE45" s="11">
        <v>46022</v>
      </c>
      <c r="AF45" s="9">
        <v>2</v>
      </c>
      <c r="AG45" s="12"/>
      <c r="AH45" s="3"/>
      <c r="AI45" s="17" t="s">
        <v>70</v>
      </c>
      <c r="AJ45" s="9"/>
      <c r="AK45" s="9"/>
      <c r="AL45" s="14"/>
      <c r="AM45" s="14" t="s">
        <v>188</v>
      </c>
      <c r="AN45" s="14"/>
      <c r="AO45" s="15"/>
      <c r="AP45" s="16"/>
      <c r="AQ45" s="14"/>
    </row>
    <row r="46" spans="1:43">
      <c r="A46" s="18"/>
      <c r="B46" s="19"/>
      <c r="C46" s="20" t="s">
        <v>135</v>
      </c>
      <c r="D46" s="19" t="s">
        <v>111</v>
      </c>
      <c r="E46" s="19"/>
      <c r="F46" s="19"/>
      <c r="G46" s="21"/>
      <c r="H46" s="19"/>
      <c r="I46" s="22"/>
      <c r="J46" s="19"/>
      <c r="K46" s="23"/>
      <c r="L46" s="3"/>
      <c r="M46" s="24"/>
      <c r="N46" s="19"/>
      <c r="O46" s="19"/>
      <c r="P46" s="14"/>
      <c r="Q46" s="14"/>
      <c r="R46" s="14"/>
      <c r="S46" s="15"/>
      <c r="T46" s="16"/>
      <c r="U46" s="14"/>
      <c r="W46" s="8"/>
      <c r="X46" s="9"/>
      <c r="Y46" s="20" t="s">
        <v>135</v>
      </c>
      <c r="Z46" s="9"/>
      <c r="AA46" s="9"/>
      <c r="AB46" s="9"/>
      <c r="AC46" s="10"/>
      <c r="AD46" s="9"/>
      <c r="AE46" s="11">
        <v>46024</v>
      </c>
      <c r="AF46" s="9">
        <v>2</v>
      </c>
      <c r="AG46" s="12"/>
      <c r="AH46" s="3"/>
      <c r="AI46" s="17" t="s">
        <v>70</v>
      </c>
      <c r="AJ46" s="9"/>
      <c r="AK46" s="9"/>
      <c r="AL46" s="14"/>
      <c r="AM46" s="14"/>
      <c r="AN46" s="14"/>
      <c r="AO46" s="15"/>
      <c r="AP46" s="16"/>
      <c r="AQ46" s="14"/>
    </row>
    <row r="47" spans="1:43">
      <c r="A47" s="18"/>
      <c r="B47" s="19"/>
      <c r="C47" s="20" t="s">
        <v>136</v>
      </c>
      <c r="D47" s="19" t="s">
        <v>117</v>
      </c>
      <c r="E47" s="19"/>
      <c r="F47" s="19"/>
      <c r="G47" s="21"/>
      <c r="H47" s="19"/>
      <c r="I47" s="22"/>
      <c r="J47" s="19"/>
      <c r="K47" s="23"/>
      <c r="L47" s="3"/>
      <c r="M47" s="24"/>
      <c r="N47" s="19"/>
      <c r="O47" s="19"/>
      <c r="P47" s="14"/>
      <c r="Q47" s="14"/>
      <c r="R47" s="14"/>
      <c r="S47" s="15"/>
      <c r="T47" s="16"/>
      <c r="U47" s="14"/>
      <c r="W47" s="8"/>
      <c r="X47" s="9"/>
      <c r="Y47" s="20" t="s">
        <v>136</v>
      </c>
      <c r="Z47" s="9"/>
      <c r="AA47" s="9"/>
      <c r="AB47" s="9"/>
      <c r="AC47" s="10"/>
      <c r="AD47" s="9"/>
      <c r="AE47" s="11" t="s">
        <v>70</v>
      </c>
      <c r="AF47" s="9">
        <v>2</v>
      </c>
      <c r="AG47" s="12"/>
      <c r="AH47" s="3"/>
      <c r="AI47" s="17" t="s">
        <v>70</v>
      </c>
      <c r="AJ47" s="9"/>
      <c r="AK47" s="9"/>
      <c r="AL47" s="14"/>
      <c r="AM47" s="14" t="s">
        <v>189</v>
      </c>
      <c r="AN47" s="14"/>
      <c r="AO47" s="15"/>
      <c r="AP47" s="16"/>
      <c r="AQ47" s="14"/>
    </row>
    <row r="48" spans="1:43">
      <c r="A48" s="18"/>
      <c r="B48" s="19"/>
      <c r="C48" s="20" t="s">
        <v>137</v>
      </c>
      <c r="D48" s="19" t="s">
        <v>117</v>
      </c>
      <c r="E48" s="19"/>
      <c r="F48" s="19"/>
      <c r="G48" s="21"/>
      <c r="H48" s="19"/>
      <c r="I48" s="22"/>
      <c r="J48" s="19"/>
      <c r="K48" s="23"/>
      <c r="L48" s="3"/>
      <c r="M48" s="24"/>
      <c r="N48" s="19"/>
      <c r="O48" s="19"/>
      <c r="P48" s="14"/>
      <c r="Q48" s="14"/>
      <c r="R48" s="14"/>
      <c r="S48" s="15"/>
      <c r="T48" s="16"/>
      <c r="U48" s="14"/>
      <c r="W48" s="8"/>
      <c r="X48" s="9"/>
      <c r="Y48" s="20" t="s">
        <v>137</v>
      </c>
      <c r="Z48" s="9"/>
      <c r="AA48" s="9"/>
      <c r="AB48" s="9"/>
      <c r="AC48" s="10"/>
      <c r="AD48" s="9"/>
      <c r="AE48" s="11" t="s">
        <v>70</v>
      </c>
      <c r="AF48" s="9">
        <v>2</v>
      </c>
      <c r="AG48" s="12"/>
      <c r="AH48" s="3"/>
      <c r="AI48" s="17" t="s">
        <v>70</v>
      </c>
      <c r="AJ48" s="9"/>
      <c r="AK48" s="9"/>
      <c r="AL48" s="14"/>
      <c r="AM48" s="14" t="s">
        <v>189</v>
      </c>
      <c r="AN48" s="14"/>
      <c r="AO48" s="15"/>
      <c r="AP48" s="16"/>
      <c r="AQ48" s="14"/>
    </row>
    <row r="49" spans="1:43">
      <c r="A49" s="18"/>
      <c r="B49" s="19"/>
      <c r="C49" s="20" t="s">
        <v>138</v>
      </c>
      <c r="D49" s="19" t="s">
        <v>72</v>
      </c>
      <c r="E49" s="19"/>
      <c r="F49" s="19"/>
      <c r="G49" s="21"/>
      <c r="H49" s="19"/>
      <c r="I49" s="22"/>
      <c r="J49" s="19"/>
      <c r="K49" s="23"/>
      <c r="L49" s="3"/>
      <c r="M49" s="24"/>
      <c r="N49" s="19"/>
      <c r="O49" s="19"/>
      <c r="P49" s="14"/>
      <c r="Q49" s="14"/>
      <c r="R49" s="14"/>
      <c r="S49" s="15"/>
      <c r="T49" s="16"/>
      <c r="U49" s="14"/>
      <c r="W49" s="8"/>
      <c r="X49" s="9"/>
      <c r="Y49" s="20" t="s">
        <v>138</v>
      </c>
      <c r="Z49" s="9"/>
      <c r="AA49" s="9"/>
      <c r="AB49" s="9"/>
      <c r="AC49" s="10"/>
      <c r="AD49" s="9"/>
      <c r="AE49" s="11" t="s">
        <v>190</v>
      </c>
      <c r="AF49" s="9">
        <v>2</v>
      </c>
      <c r="AG49" s="12"/>
      <c r="AH49" s="3"/>
      <c r="AI49" s="17"/>
      <c r="AJ49" s="9"/>
      <c r="AK49" s="9"/>
      <c r="AL49" s="14"/>
      <c r="AM49" s="14"/>
      <c r="AN49" s="14"/>
      <c r="AO49" s="15"/>
      <c r="AP49" s="16"/>
      <c r="AQ49" s="14"/>
    </row>
    <row r="50" spans="1:43">
      <c r="A50" s="18"/>
      <c r="B50" s="19" t="s">
        <v>67</v>
      </c>
      <c r="C50" s="20" t="s">
        <v>235</v>
      </c>
      <c r="D50" s="19" t="s">
        <v>72</v>
      </c>
      <c r="E50" s="19" t="s">
        <v>479</v>
      </c>
      <c r="F50" s="19"/>
      <c r="G50" s="21">
        <v>1566</v>
      </c>
      <c r="H50" s="19"/>
      <c r="I50" s="22">
        <v>46006</v>
      </c>
      <c r="J50" s="19"/>
      <c r="K50" s="23">
        <v>46007</v>
      </c>
      <c r="L50" s="3" t="s">
        <v>480</v>
      </c>
      <c r="M50" s="24"/>
      <c r="N50" s="19"/>
      <c r="O50" s="19" t="s">
        <v>247</v>
      </c>
      <c r="P50" s="14" t="s">
        <v>139</v>
      </c>
      <c r="Q50" s="14" t="s">
        <v>140</v>
      </c>
      <c r="R50" s="14" t="s">
        <v>481</v>
      </c>
      <c r="S50" s="15">
        <v>1566</v>
      </c>
      <c r="T50" s="16">
        <v>24278.6</v>
      </c>
      <c r="U50" s="14" t="s">
        <v>453</v>
      </c>
      <c r="W50" s="8"/>
      <c r="X50" s="9"/>
      <c r="Y50" s="20" t="s">
        <v>139</v>
      </c>
      <c r="Z50" s="9"/>
      <c r="AA50" s="9"/>
      <c r="AB50" s="9"/>
      <c r="AC50" s="10"/>
      <c r="AD50" s="9"/>
      <c r="AE50" s="11" t="s">
        <v>190</v>
      </c>
      <c r="AF50" s="9">
        <v>2</v>
      </c>
      <c r="AG50" s="12"/>
      <c r="AH50" s="3"/>
      <c r="AI50" s="17" t="s">
        <v>70</v>
      </c>
      <c r="AJ50" s="9"/>
      <c r="AK50" s="9"/>
      <c r="AL50" s="14"/>
      <c r="AM50" s="14"/>
      <c r="AN50" s="14"/>
      <c r="AO50" s="15"/>
      <c r="AP50" s="16"/>
      <c r="AQ50" s="14"/>
    </row>
    <row r="51" spans="1:43">
      <c r="A51" s="18"/>
      <c r="B51" s="19"/>
      <c r="C51" s="3"/>
      <c r="D51" s="19" t="s">
        <v>72</v>
      </c>
      <c r="E51" s="19" t="s">
        <v>234</v>
      </c>
      <c r="F51" s="19"/>
      <c r="G51" s="21">
        <v>1566</v>
      </c>
      <c r="H51" s="19"/>
      <c r="I51" s="22">
        <v>46006</v>
      </c>
      <c r="J51" s="19"/>
      <c r="K51" s="23">
        <v>46007</v>
      </c>
      <c r="L51" s="3" t="s">
        <v>237</v>
      </c>
      <c r="M51" s="24"/>
      <c r="N51" s="19"/>
      <c r="O51" s="19" t="s">
        <v>239</v>
      </c>
      <c r="P51" s="14" t="s">
        <v>235</v>
      </c>
      <c r="Q51" s="14" t="s">
        <v>171</v>
      </c>
      <c r="R51" s="14" t="s">
        <v>236</v>
      </c>
      <c r="S51" s="15">
        <v>1566</v>
      </c>
      <c r="T51" s="16">
        <v>24278.6</v>
      </c>
      <c r="U51" s="14" t="s">
        <v>211</v>
      </c>
      <c r="W51" s="8"/>
      <c r="X51" s="9"/>
      <c r="Y51" s="3"/>
      <c r="Z51" s="9"/>
      <c r="AA51" s="9"/>
      <c r="AB51" s="9"/>
      <c r="AC51" s="10"/>
      <c r="AD51" s="9"/>
      <c r="AE51" s="11"/>
      <c r="AF51" s="9">
        <v>2</v>
      </c>
      <c r="AG51" s="12"/>
      <c r="AH51" s="3"/>
      <c r="AI51" s="17" t="s">
        <v>70</v>
      </c>
      <c r="AJ51" s="9"/>
      <c r="AK51" s="9"/>
      <c r="AL51" s="14"/>
      <c r="AM51" s="14"/>
      <c r="AN51" s="14"/>
      <c r="AO51" s="15"/>
      <c r="AP51" s="16"/>
      <c r="AQ51" s="14"/>
    </row>
    <row r="52" spans="1:43">
      <c r="C52" s="3"/>
      <c r="W52" s="8"/>
      <c r="X52" s="9"/>
      <c r="Y52" s="3"/>
      <c r="Z52" s="9"/>
      <c r="AA52" s="9"/>
      <c r="AB52" s="9"/>
      <c r="AC52" s="10"/>
      <c r="AD52" s="9"/>
      <c r="AE52" s="11"/>
      <c r="AF52" s="9"/>
      <c r="AG52" s="12"/>
      <c r="AH52" s="3"/>
      <c r="AI52" s="17"/>
      <c r="AJ52" s="9"/>
      <c r="AK52" s="9"/>
      <c r="AL52" s="14"/>
      <c r="AM52" s="14"/>
      <c r="AN52" s="14"/>
      <c r="AO52" s="15"/>
      <c r="AP52" s="16"/>
      <c r="AQ52" s="14"/>
    </row>
    <row r="53" spans="1:43">
      <c r="C53" s="3"/>
      <c r="W53" s="8"/>
      <c r="X53" s="9"/>
      <c r="Y53" s="3"/>
      <c r="Z53" s="9"/>
      <c r="AA53" s="9"/>
      <c r="AB53" s="9"/>
      <c r="AC53" s="10"/>
      <c r="AD53" s="9"/>
      <c r="AE53" s="11"/>
      <c r="AF53" s="9"/>
      <c r="AG53" s="12"/>
      <c r="AH53" s="3"/>
      <c r="AI53" s="17"/>
      <c r="AJ53" s="9"/>
      <c r="AK53" s="9"/>
      <c r="AL53" s="14"/>
      <c r="AM53" s="14"/>
      <c r="AN53" s="14"/>
      <c r="AO53" s="15"/>
      <c r="AP53" s="16"/>
      <c r="AQ53" s="14"/>
    </row>
    <row r="54" spans="1:43">
      <c r="C54" s="3"/>
      <c r="W54" s="8"/>
      <c r="X54" s="9"/>
      <c r="Y54" s="3"/>
      <c r="Z54" s="9"/>
      <c r="AA54" s="9"/>
      <c r="AB54" s="9"/>
      <c r="AC54" s="10"/>
      <c r="AD54" s="9"/>
      <c r="AE54" s="11"/>
      <c r="AF54" s="9"/>
      <c r="AG54" s="12"/>
      <c r="AH54" s="3"/>
      <c r="AI54" s="17"/>
      <c r="AJ54" s="9"/>
      <c r="AK54" s="9"/>
      <c r="AL54" s="14"/>
      <c r="AM54" s="14"/>
      <c r="AN54" s="14"/>
      <c r="AO54" s="15"/>
      <c r="AP54" s="16"/>
      <c r="AQ54" s="14"/>
    </row>
    <row r="55" spans="1:43">
      <c r="C55" s="3"/>
      <c r="W55" s="8"/>
      <c r="X55" s="9"/>
      <c r="Y55" s="3"/>
      <c r="Z55" s="9"/>
      <c r="AA55" s="9"/>
      <c r="AB55" s="9"/>
      <c r="AC55" s="10"/>
      <c r="AD55" s="9"/>
      <c r="AE55" s="11"/>
      <c r="AF55" s="9"/>
      <c r="AG55" s="12"/>
      <c r="AH55" s="3"/>
      <c r="AI55" s="17"/>
      <c r="AJ55" s="9"/>
      <c r="AK55" s="9"/>
      <c r="AL55" s="14"/>
      <c r="AM55" s="14"/>
      <c r="AN55" s="14"/>
      <c r="AO55" s="15"/>
      <c r="AP55" s="16"/>
      <c r="AQ55" s="14"/>
    </row>
    <row r="56" spans="1:43">
      <c r="C56" s="3"/>
      <c r="W56" s="8"/>
      <c r="X56" s="9"/>
      <c r="Y56" s="3"/>
      <c r="Z56" s="9"/>
      <c r="AA56" s="9"/>
      <c r="AB56" s="9"/>
      <c r="AC56" s="10"/>
      <c r="AD56" s="9"/>
      <c r="AE56" s="11"/>
      <c r="AF56" s="9"/>
      <c r="AG56" s="12"/>
      <c r="AH56" s="3"/>
      <c r="AI56" s="17"/>
      <c r="AJ56" s="9"/>
      <c r="AK56" s="9"/>
      <c r="AL56" s="14"/>
      <c r="AM56" s="14"/>
      <c r="AN56" s="14"/>
      <c r="AO56" s="15"/>
      <c r="AP56" s="16"/>
      <c r="AQ56" s="14"/>
    </row>
    <row r="57" spans="1:43">
      <c r="C57" s="3"/>
      <c r="W57" s="8"/>
      <c r="X57" s="9"/>
      <c r="Y57" s="3"/>
      <c r="Z57" s="9"/>
      <c r="AA57" s="9"/>
      <c r="AB57" s="9"/>
      <c r="AC57" s="10"/>
      <c r="AD57" s="9"/>
      <c r="AE57" s="11"/>
      <c r="AF57" s="9"/>
      <c r="AG57" s="12"/>
      <c r="AH57" s="3"/>
      <c r="AI57" s="17"/>
      <c r="AJ57" s="9"/>
      <c r="AK57" s="9"/>
      <c r="AL57" s="14"/>
      <c r="AM57" s="14"/>
      <c r="AN57" s="14"/>
      <c r="AO57" s="15"/>
      <c r="AP57" s="16"/>
      <c r="AQ57" s="14"/>
    </row>
    <row r="58" spans="1:43">
      <c r="C58" s="3"/>
      <c r="W58" s="8"/>
      <c r="X58" s="9"/>
      <c r="Y58" s="3"/>
      <c r="Z58" s="9"/>
      <c r="AA58" s="9"/>
      <c r="AB58" s="9"/>
      <c r="AC58" s="10"/>
      <c r="AD58" s="9"/>
      <c r="AE58" s="11"/>
      <c r="AF58" s="9"/>
      <c r="AG58" s="12"/>
      <c r="AH58" s="3"/>
      <c r="AI58" s="17"/>
      <c r="AJ58" s="9"/>
      <c r="AK58" s="9"/>
      <c r="AL58" s="14"/>
      <c r="AM58" s="14"/>
      <c r="AN58" s="14"/>
      <c r="AO58" s="15"/>
      <c r="AP58" s="16"/>
      <c r="AQ58" s="14"/>
    </row>
    <row r="59" spans="1:43">
      <c r="C59" s="3"/>
      <c r="W59" s="8"/>
      <c r="X59" s="9"/>
      <c r="Y59" s="3"/>
      <c r="Z59" s="9"/>
      <c r="AA59" s="9"/>
      <c r="AB59" s="9"/>
      <c r="AC59" s="10"/>
      <c r="AD59" s="9"/>
      <c r="AE59" s="11"/>
      <c r="AF59" s="9"/>
      <c r="AG59" s="12"/>
      <c r="AH59" s="3"/>
      <c r="AI59" s="17"/>
      <c r="AJ59" s="9"/>
      <c r="AK59" s="9"/>
      <c r="AL59" s="14"/>
      <c r="AM59" s="14"/>
      <c r="AN59" s="14"/>
      <c r="AO59" s="15"/>
      <c r="AP59" s="16"/>
      <c r="AQ59" s="14"/>
    </row>
    <row r="60" spans="1:43">
      <c r="C60" s="3"/>
      <c r="W60" s="8"/>
      <c r="X60" s="9"/>
      <c r="Y60" s="3"/>
      <c r="Z60" s="9"/>
      <c r="AA60" s="9"/>
      <c r="AB60" s="9"/>
      <c r="AC60" s="10"/>
      <c r="AD60" s="9"/>
      <c r="AE60" s="11"/>
      <c r="AF60" s="9"/>
      <c r="AG60" s="12"/>
      <c r="AH60" s="3"/>
      <c r="AI60" s="17"/>
      <c r="AJ60" s="9"/>
      <c r="AK60" s="9"/>
      <c r="AL60" s="14"/>
      <c r="AM60" s="14"/>
      <c r="AN60" s="14"/>
      <c r="AO60" s="15"/>
      <c r="AP60" s="16"/>
      <c r="AQ60" s="14"/>
    </row>
    <row r="61" spans="1:43">
      <c r="C61" s="3"/>
      <c r="W61" s="8"/>
      <c r="X61" s="9"/>
      <c r="Y61" s="3"/>
      <c r="Z61" s="9"/>
      <c r="AA61" s="9"/>
      <c r="AB61" s="9"/>
      <c r="AC61" s="10"/>
      <c r="AD61" s="9"/>
      <c r="AE61" s="11"/>
      <c r="AF61" s="9"/>
      <c r="AG61" s="12"/>
      <c r="AH61" s="3"/>
      <c r="AI61" s="17"/>
      <c r="AJ61" s="9"/>
      <c r="AK61" s="9"/>
      <c r="AL61" s="14"/>
      <c r="AM61" s="14"/>
      <c r="AN61" s="14"/>
      <c r="AO61" s="15"/>
      <c r="AP61" s="16"/>
      <c r="AQ61" s="14"/>
    </row>
    <row r="62" spans="1:43">
      <c r="C62" s="3"/>
      <c r="W62" s="8"/>
      <c r="X62" s="9"/>
      <c r="Y62" s="3"/>
      <c r="Z62" s="9"/>
      <c r="AA62" s="9"/>
      <c r="AB62" s="9"/>
      <c r="AC62" s="10"/>
      <c r="AD62" s="9"/>
      <c r="AE62" s="11"/>
      <c r="AF62" s="9"/>
      <c r="AG62" s="12"/>
      <c r="AH62" s="3"/>
      <c r="AI62" s="17"/>
      <c r="AJ62" s="9"/>
      <c r="AK62" s="9"/>
      <c r="AL62" s="14"/>
      <c r="AM62" s="14"/>
      <c r="AN62" s="14"/>
      <c r="AO62" s="15"/>
      <c r="AP62" s="16"/>
      <c r="AQ62" s="14"/>
    </row>
    <row r="63" spans="1:43">
      <c r="C63" s="3"/>
      <c r="W63" s="8"/>
      <c r="X63" s="9"/>
      <c r="Y63" s="3"/>
      <c r="Z63" s="9"/>
      <c r="AA63" s="9"/>
      <c r="AB63" s="9"/>
      <c r="AC63" s="10"/>
      <c r="AD63" s="9"/>
      <c r="AE63" s="11"/>
      <c r="AF63" s="9"/>
      <c r="AG63" s="12"/>
      <c r="AH63" s="3"/>
      <c r="AI63" s="17"/>
      <c r="AJ63" s="9"/>
      <c r="AK63" s="9"/>
      <c r="AL63" s="14"/>
      <c r="AM63" s="14"/>
      <c r="AN63" s="14"/>
      <c r="AO63" s="15"/>
      <c r="AP63" s="16"/>
      <c r="AQ63" s="14"/>
    </row>
    <row r="64" spans="1:43">
      <c r="C64" s="3"/>
      <c r="W64" s="8"/>
      <c r="X64" s="9"/>
      <c r="Y64" s="3"/>
      <c r="Z64" s="9"/>
      <c r="AA64" s="9"/>
      <c r="AB64" s="9"/>
      <c r="AC64" s="10"/>
      <c r="AD64" s="9"/>
      <c r="AE64" s="11"/>
      <c r="AF64" s="9"/>
      <c r="AG64" s="12"/>
      <c r="AH64" s="3"/>
      <c r="AI64" s="17"/>
      <c r="AJ64" s="9"/>
      <c r="AK64" s="9"/>
      <c r="AL64" s="14"/>
      <c r="AM64" s="14"/>
      <c r="AN64" s="14"/>
      <c r="AO64" s="15"/>
      <c r="AP64" s="16"/>
      <c r="AQ64" s="14"/>
    </row>
    <row r="65" spans="3:43">
      <c r="C65" s="3"/>
      <c r="W65" s="8"/>
      <c r="X65" s="9"/>
      <c r="Y65" s="3"/>
      <c r="Z65" s="9"/>
      <c r="AA65" s="9"/>
      <c r="AB65" s="9"/>
      <c r="AC65" s="10"/>
      <c r="AD65" s="9"/>
      <c r="AE65" s="11"/>
      <c r="AF65" s="9"/>
      <c r="AG65" s="12"/>
      <c r="AH65" s="3"/>
      <c r="AI65" s="17"/>
      <c r="AJ65" s="9"/>
      <c r="AK65" s="9"/>
      <c r="AL65" s="14"/>
      <c r="AM65" s="14"/>
      <c r="AN65" s="14"/>
      <c r="AO65" s="15"/>
      <c r="AP65" s="16"/>
      <c r="AQ65" s="14"/>
    </row>
    <row r="66" spans="3:43">
      <c r="C66" s="3"/>
      <c r="W66" s="8"/>
      <c r="X66" s="9"/>
      <c r="Y66" s="3"/>
      <c r="Z66" s="9"/>
      <c r="AA66" s="9"/>
      <c r="AB66" s="9"/>
      <c r="AC66" s="10"/>
      <c r="AD66" s="9"/>
      <c r="AE66" s="11"/>
      <c r="AF66" s="9"/>
      <c r="AG66" s="12"/>
      <c r="AH66" s="3"/>
      <c r="AI66" s="17"/>
      <c r="AJ66" s="9"/>
      <c r="AK66" s="9"/>
      <c r="AL66" s="14"/>
      <c r="AM66" s="14"/>
      <c r="AN66" s="14"/>
      <c r="AO66" s="15"/>
      <c r="AP66" s="16"/>
      <c r="AQ66" s="14"/>
    </row>
    <row r="67" spans="3:43">
      <c r="C67" s="3"/>
      <c r="W67" s="8"/>
      <c r="X67" s="9"/>
      <c r="Y67" s="3"/>
      <c r="Z67" s="9"/>
      <c r="AA67" s="9"/>
      <c r="AB67" s="9"/>
      <c r="AC67" s="10"/>
      <c r="AD67" s="9"/>
      <c r="AE67" s="11"/>
      <c r="AF67" s="9"/>
      <c r="AG67" s="12"/>
      <c r="AH67" s="3"/>
      <c r="AI67" s="17"/>
      <c r="AJ67" s="9"/>
      <c r="AK67" s="9"/>
      <c r="AL67" s="14"/>
      <c r="AM67" s="14"/>
      <c r="AN67" s="14"/>
      <c r="AO67" s="15"/>
      <c r="AP67" s="16"/>
      <c r="AQ67" s="14"/>
    </row>
    <row r="68" spans="3:43">
      <c r="C68" s="3"/>
      <c r="W68" s="8"/>
      <c r="X68" s="9"/>
      <c r="Y68" s="3"/>
      <c r="Z68" s="9"/>
      <c r="AA68" s="9"/>
      <c r="AB68" s="9"/>
      <c r="AC68" s="10"/>
      <c r="AD68" s="9"/>
      <c r="AE68" s="11"/>
      <c r="AF68" s="9"/>
      <c r="AG68" s="12"/>
      <c r="AH68" s="3"/>
      <c r="AI68" s="17"/>
      <c r="AJ68" s="9"/>
      <c r="AK68" s="9"/>
      <c r="AL68" s="14"/>
      <c r="AM68" s="14"/>
      <c r="AN68" s="14"/>
      <c r="AO68" s="15"/>
      <c r="AP68" s="16"/>
      <c r="AQ68" s="14"/>
    </row>
    <row r="69" spans="3:43">
      <c r="C69" s="3"/>
      <c r="W69" s="8"/>
      <c r="X69" s="9"/>
      <c r="Y69" s="3"/>
      <c r="Z69" s="9"/>
      <c r="AA69" s="9"/>
      <c r="AB69" s="9"/>
      <c r="AC69" s="10"/>
      <c r="AD69" s="9"/>
      <c r="AE69" s="11"/>
      <c r="AF69" s="9"/>
      <c r="AG69" s="12"/>
      <c r="AH69" s="3"/>
      <c r="AI69" s="17"/>
      <c r="AJ69" s="9"/>
      <c r="AK69" s="9"/>
      <c r="AL69" s="14"/>
      <c r="AM69" s="14"/>
      <c r="AN69" s="14"/>
      <c r="AO69" s="15"/>
      <c r="AP69" s="16"/>
      <c r="AQ69" s="14"/>
    </row>
    <row r="70" spans="3:43">
      <c r="C70" s="3"/>
      <c r="W70" s="8"/>
      <c r="X70" s="9"/>
      <c r="Y70" s="3"/>
      <c r="Z70" s="9"/>
      <c r="AA70" s="9"/>
      <c r="AB70" s="9"/>
      <c r="AC70" s="10"/>
      <c r="AD70" s="9"/>
      <c r="AE70" s="11"/>
      <c r="AF70" s="9"/>
      <c r="AG70" s="12"/>
      <c r="AH70" s="3"/>
      <c r="AI70" s="17"/>
      <c r="AJ70" s="9"/>
      <c r="AK70" s="9"/>
      <c r="AL70" s="14"/>
      <c r="AM70" s="14"/>
      <c r="AN70" s="14"/>
      <c r="AO70" s="15"/>
      <c r="AP70" s="16"/>
      <c r="AQ70" s="14"/>
    </row>
    <row r="71" spans="3:43">
      <c r="C71" s="3"/>
      <c r="W71" s="8"/>
      <c r="X71" s="9"/>
      <c r="Y71" s="3"/>
      <c r="Z71" s="9"/>
      <c r="AA71" s="9"/>
      <c r="AB71" s="9"/>
      <c r="AC71" s="10"/>
      <c r="AD71" s="9"/>
      <c r="AE71" s="11"/>
      <c r="AF71" s="9"/>
      <c r="AG71" s="12"/>
      <c r="AH71" s="3"/>
      <c r="AI71" s="17"/>
      <c r="AJ71" s="9"/>
      <c r="AK71" s="9"/>
      <c r="AL71" s="14"/>
      <c r="AM71" s="14"/>
      <c r="AN71" s="14"/>
      <c r="AO71" s="15"/>
      <c r="AP71" s="16"/>
      <c r="AQ71" s="14"/>
    </row>
    <row r="72" spans="3:43">
      <c r="C72" s="3"/>
      <c r="W72" s="8"/>
      <c r="X72" s="9"/>
      <c r="Y72" s="3"/>
      <c r="Z72" s="9"/>
      <c r="AA72" s="9"/>
      <c r="AB72" s="9"/>
      <c r="AC72" s="10"/>
      <c r="AD72" s="9"/>
      <c r="AE72" s="11"/>
      <c r="AF72" s="9"/>
      <c r="AG72" s="12"/>
      <c r="AH72" s="3"/>
      <c r="AI72" s="17"/>
      <c r="AJ72" s="9"/>
      <c r="AK72" s="9"/>
      <c r="AL72" s="14"/>
      <c r="AM72" s="14"/>
      <c r="AN72" s="14"/>
      <c r="AO72" s="15"/>
      <c r="AP72" s="16"/>
      <c r="AQ72" s="14"/>
    </row>
    <row r="73" spans="3:43">
      <c r="C73" s="3"/>
      <c r="W73" s="8"/>
      <c r="X73" s="9"/>
      <c r="Y73" s="3"/>
      <c r="Z73" s="9"/>
      <c r="AA73" s="9"/>
      <c r="AB73" s="9"/>
      <c r="AC73" s="10"/>
      <c r="AD73" s="9"/>
      <c r="AE73" s="11"/>
      <c r="AF73" s="9"/>
      <c r="AG73" s="12"/>
      <c r="AH73" s="3"/>
      <c r="AI73" s="17"/>
      <c r="AJ73" s="9"/>
      <c r="AK73" s="9"/>
      <c r="AL73" s="14"/>
      <c r="AM73" s="14"/>
      <c r="AN73" s="14"/>
      <c r="AO73" s="15"/>
      <c r="AP73" s="16"/>
      <c r="AQ73" s="14"/>
    </row>
    <row r="74" spans="3:43">
      <c r="C74" s="3"/>
      <c r="W74" s="8"/>
      <c r="X74" s="9"/>
      <c r="Y74" s="3"/>
      <c r="Z74" s="9"/>
      <c r="AA74" s="9"/>
      <c r="AB74" s="9"/>
      <c r="AC74" s="10"/>
      <c r="AD74" s="9"/>
      <c r="AE74" s="11"/>
      <c r="AF74" s="9"/>
      <c r="AG74" s="12"/>
      <c r="AH74" s="3"/>
      <c r="AI74" s="17"/>
      <c r="AJ74" s="9"/>
      <c r="AK74" s="9"/>
      <c r="AL74" s="14"/>
      <c r="AM74" s="14"/>
      <c r="AN74" s="14"/>
      <c r="AO74" s="15"/>
      <c r="AP74" s="16"/>
      <c r="AQ74" s="14"/>
    </row>
    <row r="75" spans="3:43">
      <c r="C75" s="3"/>
      <c r="W75" s="8"/>
      <c r="X75" s="9"/>
      <c r="Y75" s="3"/>
      <c r="Z75" s="9"/>
      <c r="AA75" s="9"/>
      <c r="AB75" s="9"/>
      <c r="AC75" s="10"/>
      <c r="AD75" s="9"/>
      <c r="AE75" s="11"/>
      <c r="AF75" s="9"/>
      <c r="AG75" s="12"/>
      <c r="AH75" s="3"/>
      <c r="AI75" s="17"/>
      <c r="AJ75" s="9"/>
      <c r="AK75" s="9"/>
      <c r="AL75" s="14"/>
      <c r="AM75" s="14"/>
      <c r="AN75" s="14"/>
      <c r="AO75" s="15"/>
      <c r="AP75" s="16"/>
      <c r="AQ75" s="14"/>
    </row>
    <row r="76" spans="3:43">
      <c r="C76" s="3"/>
      <c r="W76" s="8"/>
      <c r="X76" s="9"/>
      <c r="Y76" s="3"/>
      <c r="Z76" s="9"/>
      <c r="AA76" s="9"/>
      <c r="AB76" s="9"/>
      <c r="AC76" s="10"/>
      <c r="AD76" s="9"/>
      <c r="AE76" s="11"/>
      <c r="AF76" s="9"/>
      <c r="AG76" s="12"/>
      <c r="AH76" s="3"/>
      <c r="AI76" s="17"/>
      <c r="AJ76" s="9"/>
      <c r="AK76" s="9"/>
      <c r="AL76" s="14"/>
      <c r="AM76" s="14"/>
      <c r="AN76" s="14"/>
      <c r="AO76" s="15"/>
      <c r="AP76" s="16"/>
      <c r="AQ76" s="14"/>
    </row>
    <row r="77" spans="3:43">
      <c r="C77" s="3"/>
      <c r="W77" s="8"/>
      <c r="X77" s="9"/>
      <c r="Y77" s="3"/>
      <c r="Z77" s="9"/>
      <c r="AA77" s="9"/>
      <c r="AB77" s="9"/>
      <c r="AC77" s="10"/>
      <c r="AD77" s="9"/>
      <c r="AE77" s="11"/>
      <c r="AF77" s="9"/>
      <c r="AG77" s="12"/>
      <c r="AH77" s="3"/>
      <c r="AI77" s="17"/>
      <c r="AJ77" s="9"/>
      <c r="AK77" s="9"/>
      <c r="AL77" s="14"/>
      <c r="AM77" s="14"/>
      <c r="AN77" s="14"/>
      <c r="AO77" s="15"/>
      <c r="AP77" s="16"/>
      <c r="AQ77" s="14"/>
    </row>
    <row r="78" spans="3:43">
      <c r="C78" s="3"/>
      <c r="W78" s="8"/>
      <c r="X78" s="9"/>
      <c r="Y78" s="3"/>
      <c r="Z78" s="9"/>
      <c r="AA78" s="9"/>
      <c r="AB78" s="9"/>
      <c r="AC78" s="10"/>
      <c r="AD78" s="9"/>
      <c r="AE78" s="11"/>
      <c r="AF78" s="9"/>
      <c r="AG78" s="12"/>
      <c r="AH78" s="3"/>
      <c r="AI78" s="17"/>
      <c r="AJ78" s="9"/>
      <c r="AK78" s="9"/>
      <c r="AL78" s="14"/>
      <c r="AM78" s="14"/>
      <c r="AN78" s="14"/>
      <c r="AO78" s="15"/>
      <c r="AP78" s="16"/>
      <c r="AQ78" s="14"/>
    </row>
    <row r="79" spans="3:43">
      <c r="C79" s="3"/>
      <c r="W79" s="8"/>
      <c r="X79" s="9"/>
      <c r="Y79" s="3"/>
      <c r="Z79" s="9"/>
      <c r="AA79" s="9"/>
      <c r="AB79" s="9"/>
      <c r="AC79" s="10"/>
      <c r="AD79" s="9"/>
      <c r="AE79" s="11"/>
      <c r="AF79" s="9"/>
      <c r="AG79" s="12"/>
      <c r="AH79" s="3"/>
      <c r="AI79" s="17"/>
      <c r="AJ79" s="9"/>
      <c r="AK79" s="9"/>
      <c r="AL79" s="14"/>
      <c r="AM79" s="14"/>
      <c r="AN79" s="14"/>
      <c r="AO79" s="15"/>
      <c r="AP79" s="16"/>
      <c r="AQ79" s="14"/>
    </row>
    <row r="80" spans="3:43">
      <c r="C80" s="3"/>
      <c r="W80" s="8"/>
      <c r="X80" s="9"/>
      <c r="Y80" s="3"/>
      <c r="Z80" s="9"/>
      <c r="AA80" s="9"/>
      <c r="AB80" s="9"/>
      <c r="AC80" s="10"/>
      <c r="AD80" s="9"/>
      <c r="AE80" s="11"/>
      <c r="AF80" s="9"/>
      <c r="AG80" s="12"/>
      <c r="AH80" s="3"/>
      <c r="AI80" s="17"/>
      <c r="AJ80" s="9"/>
      <c r="AK80" s="9"/>
      <c r="AL80" s="14"/>
      <c r="AM80" s="14"/>
      <c r="AN80" s="14"/>
      <c r="AO80" s="15"/>
      <c r="AP80" s="16"/>
      <c r="AQ80" s="14"/>
    </row>
    <row r="81" spans="3:43">
      <c r="C81" s="3"/>
      <c r="W81" s="8"/>
      <c r="X81" s="9"/>
      <c r="Y81" s="3"/>
      <c r="Z81" s="9"/>
      <c r="AA81" s="9"/>
      <c r="AB81" s="9"/>
      <c r="AC81" s="10"/>
      <c r="AD81" s="9"/>
      <c r="AE81" s="11"/>
      <c r="AF81" s="9"/>
      <c r="AG81" s="12"/>
      <c r="AH81" s="3"/>
      <c r="AI81" s="17"/>
      <c r="AJ81" s="9"/>
      <c r="AK81" s="9"/>
      <c r="AL81" s="14"/>
      <c r="AM81" s="14"/>
      <c r="AN81" s="14"/>
      <c r="AO81" s="15"/>
      <c r="AP81" s="16"/>
      <c r="AQ81" s="14"/>
    </row>
    <row r="82" spans="3:43">
      <c r="C82" s="3"/>
      <c r="W82" s="8"/>
      <c r="X82" s="9"/>
      <c r="Y82" s="3"/>
      <c r="Z82" s="9"/>
      <c r="AA82" s="9"/>
      <c r="AB82" s="9"/>
      <c r="AC82" s="10"/>
      <c r="AD82" s="9"/>
      <c r="AE82" s="11"/>
      <c r="AF82" s="9"/>
      <c r="AG82" s="12"/>
      <c r="AH82" s="3"/>
      <c r="AI82" s="17"/>
      <c r="AJ82" s="9"/>
      <c r="AK82" s="9"/>
      <c r="AL82" s="14"/>
      <c r="AM82" s="14"/>
      <c r="AN82" s="14"/>
      <c r="AO82" s="15"/>
      <c r="AP82" s="16"/>
      <c r="AQ82" s="14"/>
    </row>
    <row r="83" spans="3:43">
      <c r="C83" s="3"/>
      <c r="W83" s="8"/>
      <c r="X83" s="9"/>
      <c r="Y83" s="3"/>
      <c r="Z83" s="9"/>
      <c r="AA83" s="9"/>
      <c r="AB83" s="9"/>
      <c r="AC83" s="10"/>
      <c r="AD83" s="9"/>
      <c r="AE83" s="11"/>
      <c r="AF83" s="9"/>
      <c r="AG83" s="12"/>
      <c r="AH83" s="3"/>
      <c r="AI83" s="17"/>
      <c r="AJ83" s="9"/>
      <c r="AK83" s="9"/>
      <c r="AL83" s="14"/>
      <c r="AM83" s="14"/>
      <c r="AN83" s="14"/>
      <c r="AO83" s="15"/>
      <c r="AP83" s="16"/>
      <c r="AQ83" s="14"/>
    </row>
    <row r="84" spans="3:43">
      <c r="C84" s="3"/>
      <c r="W84" s="8"/>
      <c r="X84" s="9"/>
      <c r="Y84" s="3"/>
      <c r="Z84" s="9"/>
      <c r="AA84" s="9"/>
      <c r="AB84" s="9"/>
      <c r="AC84" s="10"/>
      <c r="AD84" s="9"/>
      <c r="AE84" s="11"/>
      <c r="AF84" s="9"/>
      <c r="AG84" s="12"/>
      <c r="AH84" s="3"/>
      <c r="AI84" s="17"/>
      <c r="AJ84" s="9"/>
      <c r="AK84" s="9"/>
      <c r="AL84" s="14"/>
      <c r="AM84" s="14"/>
      <c r="AN84" s="14"/>
      <c r="AO84" s="15"/>
      <c r="AP84" s="16"/>
      <c r="AQ84" s="14"/>
    </row>
    <row r="85" spans="3:43">
      <c r="C85" s="3"/>
      <c r="W85" s="8"/>
      <c r="X85" s="9"/>
      <c r="Y85" s="3"/>
      <c r="Z85" s="9"/>
      <c r="AA85" s="9"/>
      <c r="AB85" s="9"/>
      <c r="AC85" s="10"/>
      <c r="AD85" s="9"/>
      <c r="AE85" s="11"/>
      <c r="AF85" s="9"/>
      <c r="AG85" s="12"/>
      <c r="AH85" s="3"/>
      <c r="AI85" s="17"/>
      <c r="AJ85" s="9"/>
      <c r="AK85" s="9"/>
      <c r="AL85" s="14"/>
      <c r="AM85" s="14"/>
      <c r="AN85" s="14"/>
      <c r="AO85" s="15"/>
      <c r="AP85" s="16"/>
      <c r="AQ85" s="14"/>
    </row>
    <row r="86" spans="3:43">
      <c r="C86" s="3"/>
      <c r="W86" s="8"/>
      <c r="X86" s="9"/>
      <c r="Y86" s="3"/>
      <c r="Z86" s="9"/>
      <c r="AA86" s="9"/>
      <c r="AB86" s="9"/>
      <c r="AC86" s="10"/>
      <c r="AD86" s="9"/>
      <c r="AE86" s="11"/>
      <c r="AF86" s="9"/>
      <c r="AG86" s="12"/>
      <c r="AH86" s="3"/>
      <c r="AI86" s="17"/>
      <c r="AJ86" s="9"/>
      <c r="AK86" s="9"/>
      <c r="AL86" s="14"/>
      <c r="AM86" s="14"/>
      <c r="AN86" s="14"/>
      <c r="AO86" s="15"/>
      <c r="AP86" s="16"/>
      <c r="AQ86" s="1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61"/>
  <sheetViews>
    <sheetView topLeftCell="A4" workbookViewId="0">
      <selection activeCell="F14" sqref="F14"/>
    </sheetView>
  </sheetViews>
  <sheetFormatPr defaultRowHeight="16.5"/>
  <cols>
    <col min="1" max="1" width="2.375" customWidth="1"/>
    <col min="2" max="2" width="3.375" customWidth="1"/>
  </cols>
  <sheetData>
    <row r="1" spans="1:13">
      <c r="A1" t="s">
        <v>47</v>
      </c>
    </row>
    <row r="7" spans="1:13">
      <c r="A7" t="s">
        <v>45</v>
      </c>
    </row>
    <row r="8" spans="1:13">
      <c r="A8" t="s">
        <v>1</v>
      </c>
    </row>
    <row r="9" spans="1:13">
      <c r="A9" t="s">
        <v>46</v>
      </c>
    </row>
    <row r="10" spans="1:13">
      <c r="A10" t="s">
        <v>3</v>
      </c>
      <c r="M10" s="1"/>
    </row>
    <row r="11" spans="1:13">
      <c r="A11" t="s">
        <v>2</v>
      </c>
      <c r="M11" s="1"/>
    </row>
    <row r="12" spans="1:13">
      <c r="B12" t="s">
        <v>39</v>
      </c>
    </row>
    <row r="13" spans="1:13">
      <c r="B13" s="4" t="s">
        <v>40</v>
      </c>
    </row>
    <row r="14" spans="1:13">
      <c r="C14" t="s">
        <v>41</v>
      </c>
    </row>
    <row r="15" spans="1:13">
      <c r="C15" t="s">
        <v>4</v>
      </c>
    </row>
    <row r="16" spans="1:13">
      <c r="C16" t="s">
        <v>5</v>
      </c>
    </row>
    <row r="17" spans="1:3">
      <c r="C17" t="s">
        <v>6</v>
      </c>
    </row>
    <row r="18" spans="1:3">
      <c r="C18" t="s">
        <v>48</v>
      </c>
    </row>
    <row r="19" spans="1:3">
      <c r="C19" s="2" t="s">
        <v>44</v>
      </c>
    </row>
    <row r="20" spans="1:3">
      <c r="C20" t="s">
        <v>7</v>
      </c>
    </row>
    <row r="21" spans="1:3">
      <c r="B21" s="4" t="s">
        <v>8</v>
      </c>
    </row>
    <row r="22" spans="1:3">
      <c r="B22" t="s">
        <v>9</v>
      </c>
    </row>
    <row r="23" spans="1:3">
      <c r="A23" s="4"/>
      <c r="B23" s="4" t="s">
        <v>10</v>
      </c>
    </row>
    <row r="24" spans="1:3">
      <c r="C24" t="s">
        <v>11</v>
      </c>
    </row>
    <row r="25" spans="1:3">
      <c r="C25" t="s">
        <v>12</v>
      </c>
    </row>
    <row r="26" spans="1:3">
      <c r="C26" t="s">
        <v>22</v>
      </c>
    </row>
    <row r="27" spans="1:3">
      <c r="A27" s="5"/>
      <c r="B27" s="5" t="s">
        <v>23</v>
      </c>
    </row>
    <row r="28" spans="1:3">
      <c r="A28" s="5"/>
      <c r="B28" s="5" t="s">
        <v>10</v>
      </c>
    </row>
    <row r="29" spans="1:3">
      <c r="C29" t="s">
        <v>24</v>
      </c>
    </row>
    <row r="30" spans="1:3">
      <c r="C30" t="s">
        <v>13</v>
      </c>
    </row>
    <row r="31" spans="1:3">
      <c r="C31" t="s">
        <v>25</v>
      </c>
    </row>
    <row r="32" spans="1:3">
      <c r="A32" s="5"/>
      <c r="B32" s="5" t="s">
        <v>26</v>
      </c>
    </row>
    <row r="33" spans="1:3">
      <c r="A33" s="5"/>
      <c r="B33" s="5" t="s">
        <v>27</v>
      </c>
    </row>
    <row r="34" spans="1:3">
      <c r="C34" t="s">
        <v>14</v>
      </c>
    </row>
    <row r="35" spans="1:3">
      <c r="C35" t="s">
        <v>15</v>
      </c>
    </row>
    <row r="36" spans="1:3">
      <c r="C36" t="s">
        <v>16</v>
      </c>
    </row>
    <row r="37" spans="1:3">
      <c r="C37" t="s">
        <v>42</v>
      </c>
    </row>
    <row r="38" spans="1:3">
      <c r="C38" s="7" t="s">
        <v>43</v>
      </c>
    </row>
    <row r="39" spans="1:3">
      <c r="C39" t="s">
        <v>17</v>
      </c>
    </row>
    <row r="40" spans="1:3">
      <c r="C40" t="s">
        <v>28</v>
      </c>
    </row>
    <row r="41" spans="1:3">
      <c r="A41" s="5"/>
      <c r="B41" s="5" t="s">
        <v>29</v>
      </c>
    </row>
    <row r="42" spans="1:3">
      <c r="A42" s="5"/>
      <c r="B42" s="5" t="s">
        <v>30</v>
      </c>
    </row>
    <row r="43" spans="1:3">
      <c r="C43" t="s">
        <v>31</v>
      </c>
    </row>
    <row r="44" spans="1:3">
      <c r="C44" t="s">
        <v>18</v>
      </c>
    </row>
    <row r="45" spans="1:3">
      <c r="C45" t="s">
        <v>28</v>
      </c>
    </row>
    <row r="46" spans="1:3">
      <c r="A46" s="4"/>
      <c r="B46" s="4" t="s">
        <v>26</v>
      </c>
    </row>
    <row r="47" spans="1:3">
      <c r="A47" s="5"/>
      <c r="B47" s="5" t="s">
        <v>27</v>
      </c>
    </row>
    <row r="48" spans="1:3">
      <c r="C48" t="s">
        <v>32</v>
      </c>
    </row>
    <row r="49" spans="1:3">
      <c r="C49" t="s">
        <v>19</v>
      </c>
    </row>
    <row r="50" spans="1:3">
      <c r="C50" t="s">
        <v>33</v>
      </c>
    </row>
    <row r="51" spans="1:3">
      <c r="A51" s="4"/>
      <c r="B51" s="4" t="s">
        <v>34</v>
      </c>
    </row>
    <row r="52" spans="1:3">
      <c r="A52" s="5"/>
      <c r="B52" s="5" t="s">
        <v>30</v>
      </c>
    </row>
    <row r="53" spans="1:3">
      <c r="C53" t="s">
        <v>35</v>
      </c>
    </row>
    <row r="54" spans="1:3">
      <c r="C54" t="s">
        <v>20</v>
      </c>
    </row>
    <row r="55" spans="1:3">
      <c r="C55" t="s">
        <v>33</v>
      </c>
    </row>
    <row r="56" spans="1:3">
      <c r="A56" s="4"/>
      <c r="B56" s="4" t="s">
        <v>34</v>
      </c>
      <c r="C56" s="5"/>
    </row>
    <row r="57" spans="1:3">
      <c r="A57" s="5"/>
      <c r="B57" s="5" t="s">
        <v>30</v>
      </c>
      <c r="C57" s="5"/>
    </row>
    <row r="58" spans="1:3">
      <c r="C58" t="s">
        <v>36</v>
      </c>
    </row>
    <row r="59" spans="1:3">
      <c r="C59" t="s">
        <v>37</v>
      </c>
    </row>
    <row r="60" spans="1:3">
      <c r="A60" s="4"/>
      <c r="B60" s="4" t="s">
        <v>38</v>
      </c>
    </row>
    <row r="61" spans="1:3">
      <c r="A61" s="6" t="s">
        <v>21</v>
      </c>
      <c r="B61" s="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33"/>
  <sheetViews>
    <sheetView workbookViewId="0">
      <selection sqref="A1:A7"/>
    </sheetView>
  </sheetViews>
  <sheetFormatPr defaultRowHeight="16.5"/>
  <cols>
    <col min="1" max="1" width="36.75" customWidth="1"/>
    <col min="2" max="2" width="23.875" customWidth="1"/>
    <col min="3" max="3" width="19.5" customWidth="1"/>
    <col min="10" max="10" width="17.5" customWidth="1"/>
    <col min="12" max="12" width="46.5" customWidth="1"/>
    <col min="30" max="30" width="31.5" customWidth="1"/>
  </cols>
  <sheetData>
    <row r="1" spans="1:22">
      <c r="A1" t="s">
        <v>256</v>
      </c>
      <c r="B1" t="s">
        <v>255</v>
      </c>
      <c r="J1" t="s">
        <v>282</v>
      </c>
      <c r="K1" t="s">
        <v>401</v>
      </c>
      <c r="L1" t="s">
        <v>400</v>
      </c>
    </row>
    <row r="2" spans="1:22">
      <c r="A2" t="s">
        <v>257</v>
      </c>
      <c r="B2" t="s">
        <v>258</v>
      </c>
      <c r="J2" t="s">
        <v>283</v>
      </c>
      <c r="K2" t="s">
        <v>273</v>
      </c>
    </row>
    <row r="3" spans="1:22">
      <c r="A3" t="s">
        <v>259</v>
      </c>
      <c r="B3" t="s">
        <v>254</v>
      </c>
    </row>
    <row r="4" spans="1:22">
      <c r="A4" t="s">
        <v>260</v>
      </c>
      <c r="B4" t="s">
        <v>261</v>
      </c>
      <c r="J4" t="s">
        <v>399</v>
      </c>
      <c r="K4" t="s">
        <v>273</v>
      </c>
      <c r="M4" t="s">
        <v>398</v>
      </c>
      <c r="V4" t="s">
        <v>398</v>
      </c>
    </row>
    <row r="5" spans="1:22">
      <c r="A5" s="34" t="s">
        <v>263</v>
      </c>
      <c r="B5" t="s">
        <v>262</v>
      </c>
    </row>
    <row r="6" spans="1:22">
      <c r="A6" t="s">
        <v>265</v>
      </c>
      <c r="B6" t="s">
        <v>264</v>
      </c>
    </row>
    <row r="7" spans="1:22">
      <c r="A7" t="s">
        <v>267</v>
      </c>
      <c r="B7" t="s">
        <v>266</v>
      </c>
    </row>
    <row r="9" spans="1:22">
      <c r="A9" s="35" t="s">
        <v>271</v>
      </c>
      <c r="B9" s="35" t="s">
        <v>269</v>
      </c>
      <c r="C9" s="35" t="s">
        <v>270</v>
      </c>
      <c r="D9" s="35" t="s">
        <v>268</v>
      </c>
    </row>
    <row r="10" spans="1:22">
      <c r="A10" s="35" t="s">
        <v>276</v>
      </c>
      <c r="B10" s="35"/>
      <c r="C10" s="35"/>
      <c r="D10" s="35"/>
      <c r="E10" t="str">
        <f>V17</f>
        <v>hblNo:NSGS82512016</v>
      </c>
    </row>
    <row r="11" spans="1:22">
      <c r="A11" t="s">
        <v>272</v>
      </c>
      <c r="B11" t="s">
        <v>277</v>
      </c>
      <c r="C11" s="2"/>
    </row>
    <row r="12" spans="1:22">
      <c r="B12" t="s">
        <v>283</v>
      </c>
    </row>
    <row r="13" spans="1:22">
      <c r="A13" t="s">
        <v>281</v>
      </c>
      <c r="B13" t="s">
        <v>396</v>
      </c>
    </row>
    <row r="14" spans="1:22">
      <c r="B14" t="s">
        <v>395</v>
      </c>
    </row>
    <row r="15" spans="1:22">
      <c r="A15" t="s">
        <v>397</v>
      </c>
      <c r="B15">
        <v>18</v>
      </c>
    </row>
    <row r="16" spans="1:22">
      <c r="B16" t="s">
        <v>273</v>
      </c>
    </row>
    <row r="17" spans="2:40">
      <c r="B17" t="s">
        <v>274</v>
      </c>
      <c r="C17" t="s">
        <v>284</v>
      </c>
      <c r="D17" t="s">
        <v>285</v>
      </c>
      <c r="E17" t="s">
        <v>286</v>
      </c>
      <c r="F17" t="s">
        <v>287</v>
      </c>
      <c r="G17" t="s">
        <v>288</v>
      </c>
      <c r="H17" t="s">
        <v>289</v>
      </c>
      <c r="I17" t="s">
        <v>290</v>
      </c>
      <c r="J17" t="s">
        <v>291</v>
      </c>
      <c r="K17" t="s">
        <v>292</v>
      </c>
      <c r="L17" t="s">
        <v>293</v>
      </c>
      <c r="M17" t="s">
        <v>294</v>
      </c>
      <c r="N17" t="s">
        <v>295</v>
      </c>
      <c r="O17" t="s">
        <v>296</v>
      </c>
      <c r="P17" t="s">
        <v>297</v>
      </c>
      <c r="Q17" t="s">
        <v>298</v>
      </c>
      <c r="R17" t="s">
        <v>299</v>
      </c>
      <c r="S17" t="s">
        <v>300</v>
      </c>
      <c r="T17" t="s">
        <v>301</v>
      </c>
      <c r="U17" t="s">
        <v>302</v>
      </c>
      <c r="V17" t="s">
        <v>303</v>
      </c>
      <c r="W17" t="s">
        <v>304</v>
      </c>
      <c r="X17" t="s">
        <v>305</v>
      </c>
      <c r="Y17" t="s">
        <v>279</v>
      </c>
      <c r="Z17" t="s">
        <v>306</v>
      </c>
      <c r="AA17" t="s">
        <v>307</v>
      </c>
      <c r="AB17" t="s">
        <v>308</v>
      </c>
      <c r="AC17" t="s">
        <v>309</v>
      </c>
      <c r="AD17" t="s">
        <v>310</v>
      </c>
      <c r="AE17" t="s">
        <v>311</v>
      </c>
      <c r="AF17" t="s">
        <v>312</v>
      </c>
      <c r="AG17" t="s">
        <v>313</v>
      </c>
      <c r="AH17" t="s">
        <v>314</v>
      </c>
      <c r="AI17" t="s">
        <v>315</v>
      </c>
      <c r="AJ17" t="s">
        <v>316</v>
      </c>
      <c r="AK17" t="s">
        <v>317</v>
      </c>
      <c r="AL17" t="s">
        <v>318</v>
      </c>
      <c r="AM17" t="s">
        <v>319</v>
      </c>
      <c r="AN17" t="s">
        <v>320</v>
      </c>
    </row>
    <row r="18" spans="2:40">
      <c r="B18" t="s">
        <v>275</v>
      </c>
      <c r="C18" t="s">
        <v>321</v>
      </c>
    </row>
    <row r="19" spans="2:40">
      <c r="B19" t="s">
        <v>278</v>
      </c>
      <c r="C19" t="s">
        <v>322</v>
      </c>
      <c r="D19" t="s">
        <v>304</v>
      </c>
      <c r="E19" t="s">
        <v>323</v>
      </c>
      <c r="F19" t="s">
        <v>324</v>
      </c>
      <c r="G19" t="s">
        <v>325</v>
      </c>
      <c r="H19" t="s">
        <v>326</v>
      </c>
      <c r="I19" t="s">
        <v>327</v>
      </c>
      <c r="J19" t="s">
        <v>295</v>
      </c>
      <c r="K19" t="s">
        <v>300</v>
      </c>
      <c r="L19" t="s">
        <v>328</v>
      </c>
      <c r="M19" t="s">
        <v>317</v>
      </c>
      <c r="N19" t="s">
        <v>329</v>
      </c>
      <c r="O19" t="s">
        <v>330</v>
      </c>
    </row>
    <row r="20" spans="2:40">
      <c r="B20" t="s">
        <v>278</v>
      </c>
      <c r="C20" t="s">
        <v>322</v>
      </c>
      <c r="D20" t="s">
        <v>331</v>
      </c>
      <c r="E20" t="s">
        <v>332</v>
      </c>
      <c r="F20" t="s">
        <v>333</v>
      </c>
      <c r="G20" t="s">
        <v>325</v>
      </c>
      <c r="H20" t="s">
        <v>334</v>
      </c>
      <c r="I20" t="s">
        <v>327</v>
      </c>
      <c r="J20" t="s">
        <v>295</v>
      </c>
      <c r="K20" t="s">
        <v>300</v>
      </c>
      <c r="L20" t="s">
        <v>335</v>
      </c>
      <c r="M20" t="s">
        <v>317</v>
      </c>
      <c r="N20" t="s">
        <v>336</v>
      </c>
      <c r="O20" t="s">
        <v>330</v>
      </c>
    </row>
    <row r="21" spans="2:40">
      <c r="B21" t="s">
        <v>278</v>
      </c>
      <c r="C21" t="s">
        <v>322</v>
      </c>
      <c r="D21" t="s">
        <v>337</v>
      </c>
      <c r="E21" t="s">
        <v>332</v>
      </c>
      <c r="F21" t="s">
        <v>333</v>
      </c>
      <c r="G21" t="s">
        <v>325</v>
      </c>
      <c r="H21" t="s">
        <v>334</v>
      </c>
      <c r="I21" t="s">
        <v>327</v>
      </c>
      <c r="J21" t="s">
        <v>295</v>
      </c>
      <c r="K21" t="s">
        <v>300</v>
      </c>
      <c r="L21" t="s">
        <v>338</v>
      </c>
      <c r="M21" t="s">
        <v>317</v>
      </c>
      <c r="N21" t="s">
        <v>336</v>
      </c>
      <c r="O21" t="s">
        <v>330</v>
      </c>
    </row>
    <row r="22" spans="2:40">
      <c r="B22" t="s">
        <v>278</v>
      </c>
      <c r="C22" t="s">
        <v>322</v>
      </c>
      <c r="D22" t="s">
        <v>339</v>
      </c>
      <c r="E22" t="s">
        <v>332</v>
      </c>
      <c r="F22" t="s">
        <v>333</v>
      </c>
      <c r="G22" t="s">
        <v>325</v>
      </c>
      <c r="H22" t="s">
        <v>340</v>
      </c>
      <c r="I22" t="s">
        <v>327</v>
      </c>
      <c r="J22" t="s">
        <v>295</v>
      </c>
      <c r="K22" t="s">
        <v>300</v>
      </c>
      <c r="L22" t="s">
        <v>341</v>
      </c>
      <c r="M22" t="s">
        <v>317</v>
      </c>
      <c r="N22" t="s">
        <v>336</v>
      </c>
      <c r="O22" t="s">
        <v>330</v>
      </c>
    </row>
    <row r="23" spans="2:40">
      <c r="B23" t="s">
        <v>278</v>
      </c>
      <c r="C23" t="s">
        <v>322</v>
      </c>
      <c r="D23" t="s">
        <v>342</v>
      </c>
      <c r="E23" t="s">
        <v>343</v>
      </c>
      <c r="F23" t="s">
        <v>344</v>
      </c>
      <c r="G23" t="s">
        <v>345</v>
      </c>
      <c r="H23" t="s">
        <v>346</v>
      </c>
      <c r="I23" t="s">
        <v>347</v>
      </c>
      <c r="J23" t="s">
        <v>295</v>
      </c>
      <c r="K23" t="s">
        <v>348</v>
      </c>
      <c r="L23" t="s">
        <v>349</v>
      </c>
      <c r="M23" t="s">
        <v>280</v>
      </c>
      <c r="N23" t="s">
        <v>336</v>
      </c>
      <c r="O23" t="s">
        <v>330</v>
      </c>
    </row>
    <row r="24" spans="2:40">
      <c r="B24" t="s">
        <v>278</v>
      </c>
      <c r="C24" t="s">
        <v>322</v>
      </c>
      <c r="D24" t="s">
        <v>350</v>
      </c>
      <c r="E24" t="s">
        <v>351</v>
      </c>
      <c r="F24" t="s">
        <v>352</v>
      </c>
      <c r="G24" t="s">
        <v>325</v>
      </c>
      <c r="H24" t="s">
        <v>353</v>
      </c>
      <c r="I24" t="s">
        <v>354</v>
      </c>
      <c r="J24" t="s">
        <v>295</v>
      </c>
      <c r="K24" t="s">
        <v>300</v>
      </c>
      <c r="L24" t="s">
        <v>355</v>
      </c>
      <c r="M24" t="s">
        <v>317</v>
      </c>
      <c r="N24" t="s">
        <v>356</v>
      </c>
      <c r="O24" t="s">
        <v>357</v>
      </c>
    </row>
    <row r="25" spans="2:40">
      <c r="B25" t="s">
        <v>278</v>
      </c>
      <c r="C25" t="s">
        <v>358</v>
      </c>
      <c r="D25" t="s">
        <v>359</v>
      </c>
      <c r="E25" t="s">
        <v>360</v>
      </c>
      <c r="F25" t="s">
        <v>361</v>
      </c>
      <c r="G25" t="s">
        <v>325</v>
      </c>
      <c r="H25" t="s">
        <v>353</v>
      </c>
      <c r="I25" t="s">
        <v>327</v>
      </c>
      <c r="J25" t="s">
        <v>295</v>
      </c>
      <c r="K25" t="s">
        <v>300</v>
      </c>
      <c r="L25" t="s">
        <v>328</v>
      </c>
      <c r="M25" t="s">
        <v>317</v>
      </c>
      <c r="N25" t="s">
        <v>362</v>
      </c>
      <c r="O25" t="s">
        <v>363</v>
      </c>
    </row>
    <row r="26" spans="2:40">
      <c r="B26" t="s">
        <v>278</v>
      </c>
      <c r="C26" t="s">
        <v>358</v>
      </c>
      <c r="D26" t="s">
        <v>364</v>
      </c>
      <c r="E26" t="s">
        <v>365</v>
      </c>
      <c r="F26" t="s">
        <v>366</v>
      </c>
      <c r="G26" t="s">
        <v>325</v>
      </c>
      <c r="H26" t="s">
        <v>334</v>
      </c>
      <c r="I26" t="s">
        <v>367</v>
      </c>
      <c r="J26" t="s">
        <v>295</v>
      </c>
      <c r="K26" t="s">
        <v>300</v>
      </c>
      <c r="L26" t="s">
        <v>355</v>
      </c>
      <c r="M26" t="s">
        <v>317</v>
      </c>
      <c r="N26" t="s">
        <v>368</v>
      </c>
      <c r="O26" t="s">
        <v>363</v>
      </c>
    </row>
    <row r="27" spans="2:40">
      <c r="B27" t="s">
        <v>278</v>
      </c>
      <c r="C27" t="s">
        <v>369</v>
      </c>
      <c r="D27" t="s">
        <v>370</v>
      </c>
      <c r="E27" t="s">
        <v>371</v>
      </c>
      <c r="F27" t="s">
        <v>333</v>
      </c>
      <c r="G27" t="s">
        <v>372</v>
      </c>
      <c r="H27" t="s">
        <v>334</v>
      </c>
      <c r="I27" t="s">
        <v>327</v>
      </c>
      <c r="J27" t="s">
        <v>295</v>
      </c>
      <c r="K27" t="s">
        <v>348</v>
      </c>
      <c r="L27" t="s">
        <v>373</v>
      </c>
      <c r="M27" t="s">
        <v>280</v>
      </c>
      <c r="N27" t="s">
        <v>336</v>
      </c>
      <c r="O27" t="s">
        <v>374</v>
      </c>
    </row>
    <row r="28" spans="2:40">
      <c r="B28" t="s">
        <v>278</v>
      </c>
      <c r="C28" t="s">
        <v>369</v>
      </c>
      <c r="D28" t="s">
        <v>370</v>
      </c>
      <c r="E28" t="s">
        <v>375</v>
      </c>
      <c r="F28" t="s">
        <v>333</v>
      </c>
      <c r="G28" t="s">
        <v>372</v>
      </c>
      <c r="H28" t="s">
        <v>334</v>
      </c>
      <c r="I28" t="s">
        <v>327</v>
      </c>
      <c r="J28" t="s">
        <v>295</v>
      </c>
      <c r="K28" t="s">
        <v>348</v>
      </c>
      <c r="L28" t="s">
        <v>376</v>
      </c>
      <c r="M28" t="s">
        <v>280</v>
      </c>
      <c r="N28" t="s">
        <v>336</v>
      </c>
      <c r="O28" t="s">
        <v>374</v>
      </c>
    </row>
    <row r="29" spans="2:40">
      <c r="B29" t="s">
        <v>278</v>
      </c>
      <c r="C29" t="s">
        <v>358</v>
      </c>
      <c r="D29" t="s">
        <v>377</v>
      </c>
      <c r="E29" t="s">
        <v>378</v>
      </c>
      <c r="F29" t="s">
        <v>333</v>
      </c>
      <c r="G29" t="s">
        <v>325</v>
      </c>
      <c r="H29" t="s">
        <v>379</v>
      </c>
      <c r="I29" t="s">
        <v>327</v>
      </c>
      <c r="J29" t="s">
        <v>295</v>
      </c>
      <c r="K29" t="s">
        <v>300</v>
      </c>
      <c r="L29" t="s">
        <v>380</v>
      </c>
      <c r="M29" t="s">
        <v>317</v>
      </c>
      <c r="N29" t="s">
        <v>336</v>
      </c>
      <c r="O29" t="s">
        <v>363</v>
      </c>
    </row>
    <row r="30" spans="2:40">
      <c r="B30" t="s">
        <v>278</v>
      </c>
      <c r="C30" t="s">
        <v>358</v>
      </c>
      <c r="D30" t="s">
        <v>381</v>
      </c>
      <c r="E30" t="s">
        <v>382</v>
      </c>
      <c r="F30" t="s">
        <v>383</v>
      </c>
      <c r="G30" t="s">
        <v>325</v>
      </c>
      <c r="H30" t="s">
        <v>384</v>
      </c>
      <c r="I30" t="s">
        <v>327</v>
      </c>
      <c r="J30" t="s">
        <v>295</v>
      </c>
      <c r="K30" t="s">
        <v>300</v>
      </c>
      <c r="L30" t="s">
        <v>385</v>
      </c>
      <c r="M30" t="s">
        <v>317</v>
      </c>
      <c r="N30" t="s">
        <v>336</v>
      </c>
      <c r="O30" t="s">
        <v>386</v>
      </c>
    </row>
    <row r="31" spans="2:40">
      <c r="B31" t="s">
        <v>278</v>
      </c>
      <c r="C31" t="s">
        <v>358</v>
      </c>
      <c r="D31" t="s">
        <v>387</v>
      </c>
      <c r="E31" t="s">
        <v>382</v>
      </c>
      <c r="F31" t="s">
        <v>333</v>
      </c>
      <c r="G31" t="s">
        <v>325</v>
      </c>
      <c r="H31" t="s">
        <v>334</v>
      </c>
      <c r="I31" t="s">
        <v>327</v>
      </c>
      <c r="J31" t="s">
        <v>295</v>
      </c>
      <c r="K31" t="s">
        <v>300</v>
      </c>
      <c r="L31" t="s">
        <v>388</v>
      </c>
      <c r="M31" t="s">
        <v>317</v>
      </c>
      <c r="N31" t="s">
        <v>336</v>
      </c>
      <c r="O31" t="s">
        <v>386</v>
      </c>
    </row>
    <row r="32" spans="2:40">
      <c r="B32" t="s">
        <v>278</v>
      </c>
      <c r="C32" t="s">
        <v>358</v>
      </c>
      <c r="D32" t="s">
        <v>389</v>
      </c>
      <c r="E32" t="s">
        <v>390</v>
      </c>
      <c r="F32" t="s">
        <v>333</v>
      </c>
      <c r="G32" t="s">
        <v>325</v>
      </c>
      <c r="H32" t="s">
        <v>391</v>
      </c>
      <c r="I32" t="s">
        <v>327</v>
      </c>
      <c r="J32" t="s">
        <v>295</v>
      </c>
      <c r="K32" t="s">
        <v>300</v>
      </c>
      <c r="L32" t="s">
        <v>392</v>
      </c>
      <c r="M32" t="s">
        <v>317</v>
      </c>
      <c r="N32" t="s">
        <v>336</v>
      </c>
      <c r="O32" t="s">
        <v>363</v>
      </c>
    </row>
    <row r="33" spans="2:15">
      <c r="B33" t="s">
        <v>278</v>
      </c>
      <c r="C33" t="s">
        <v>358</v>
      </c>
      <c r="D33" t="s">
        <v>393</v>
      </c>
      <c r="E33" t="s">
        <v>390</v>
      </c>
      <c r="F33" t="s">
        <v>333</v>
      </c>
      <c r="G33" t="s">
        <v>325</v>
      </c>
      <c r="H33" t="s">
        <v>334</v>
      </c>
      <c r="I33" t="s">
        <v>327</v>
      </c>
      <c r="J33" t="s">
        <v>295</v>
      </c>
      <c r="K33" t="s">
        <v>300</v>
      </c>
      <c r="L33" t="s">
        <v>394</v>
      </c>
      <c r="M33" t="s">
        <v>317</v>
      </c>
      <c r="N33" t="s">
        <v>336</v>
      </c>
      <c r="O33" t="s">
        <v>363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7"/>
  <sheetViews>
    <sheetView workbookViewId="0">
      <selection activeCell="I7" sqref="I7"/>
    </sheetView>
  </sheetViews>
  <sheetFormatPr defaultRowHeight="16.5"/>
  <cols>
    <col min="1" max="1" width="20.875" customWidth="1"/>
    <col min="2" max="2" width="6.75" customWidth="1"/>
    <col min="3" max="3" width="7.5" customWidth="1"/>
    <col min="4" max="5" width="19.625" customWidth="1"/>
    <col min="6" max="6" width="21.875" customWidth="1"/>
    <col min="7" max="7" width="6.75" customWidth="1"/>
    <col min="8" max="8" width="6.25" customWidth="1"/>
    <col min="9" max="11" width="13.5" customWidth="1"/>
    <col min="12" max="12" width="12.5" customWidth="1"/>
    <col min="13" max="13" width="17" customWidth="1"/>
  </cols>
  <sheetData>
    <row r="1" spans="1:16">
      <c r="A1" t="s">
        <v>402</v>
      </c>
      <c r="D1" t="s">
        <v>404</v>
      </c>
      <c r="E1" t="s">
        <v>403</v>
      </c>
      <c r="F1" s="25" t="s">
        <v>53</v>
      </c>
      <c r="G1" s="26" t="s">
        <v>55</v>
      </c>
      <c r="H1" s="27" t="s">
        <v>57</v>
      </c>
      <c r="I1" s="28" t="s">
        <v>59</v>
      </c>
      <c r="J1" s="29" t="s">
        <v>60</v>
      </c>
      <c r="K1" s="25" t="s">
        <v>62</v>
      </c>
      <c r="L1" s="25" t="s">
        <v>63</v>
      </c>
      <c r="M1" s="25" t="s">
        <v>0</v>
      </c>
      <c r="N1" s="30" t="s">
        <v>64</v>
      </c>
      <c r="O1" s="31" t="s">
        <v>65</v>
      </c>
      <c r="P1" s="25" t="s">
        <v>66</v>
      </c>
    </row>
    <row r="2" spans="1:16">
      <c r="A2" t="s">
        <v>256</v>
      </c>
      <c r="H2" s="39"/>
      <c r="I2" s="37"/>
      <c r="J2" s="38"/>
    </row>
    <row r="3" spans="1:16">
      <c r="A3" t="s">
        <v>259</v>
      </c>
      <c r="C3" t="s">
        <v>416</v>
      </c>
      <c r="D3" t="s">
        <v>257</v>
      </c>
      <c r="E3" t="s">
        <v>259</v>
      </c>
      <c r="F3" s="33" t="s">
        <v>428</v>
      </c>
      <c r="G3">
        <v>900</v>
      </c>
      <c r="H3" s="39">
        <v>46009</v>
      </c>
      <c r="I3" s="37">
        <v>46010.22152777778</v>
      </c>
      <c r="J3" s="38" t="s">
        <v>442</v>
      </c>
      <c r="K3" t="s">
        <v>259</v>
      </c>
      <c r="L3" t="s">
        <v>407</v>
      </c>
      <c r="M3" s="32" t="s">
        <v>437</v>
      </c>
      <c r="N3">
        <v>900</v>
      </c>
      <c r="O3">
        <v>10800</v>
      </c>
      <c r="P3" s="33" t="s">
        <v>73</v>
      </c>
    </row>
    <row r="4" spans="1:16">
      <c r="A4" t="s">
        <v>259</v>
      </c>
      <c r="C4" t="s">
        <v>416</v>
      </c>
      <c r="D4" t="s">
        <v>257</v>
      </c>
      <c r="E4" t="s">
        <v>259</v>
      </c>
      <c r="F4" s="33" t="s">
        <v>428</v>
      </c>
      <c r="G4">
        <v>900</v>
      </c>
      <c r="H4" s="39">
        <v>46009</v>
      </c>
      <c r="I4" s="37">
        <v>46010.22152777778</v>
      </c>
      <c r="J4" s="38" t="s">
        <v>442</v>
      </c>
      <c r="K4" t="s">
        <v>259</v>
      </c>
      <c r="L4" t="s">
        <v>407</v>
      </c>
      <c r="M4" s="32" t="s">
        <v>437</v>
      </c>
      <c r="N4">
        <v>900</v>
      </c>
      <c r="O4">
        <v>10800</v>
      </c>
      <c r="P4" s="33" t="s">
        <v>73</v>
      </c>
    </row>
    <row r="5" spans="1:16">
      <c r="A5" t="s">
        <v>260</v>
      </c>
      <c r="C5" t="s">
        <v>417</v>
      </c>
      <c r="D5" t="s">
        <v>260</v>
      </c>
      <c r="E5" t="s">
        <v>260</v>
      </c>
      <c r="F5" s="32" t="s">
        <v>429</v>
      </c>
      <c r="G5">
        <v>1800</v>
      </c>
      <c r="H5" s="39">
        <v>45983</v>
      </c>
      <c r="I5" s="37">
        <v>45985.662673611114</v>
      </c>
      <c r="J5" s="38" t="s">
        <v>438</v>
      </c>
      <c r="K5" t="s">
        <v>260</v>
      </c>
      <c r="L5" t="s">
        <v>408</v>
      </c>
      <c r="M5" s="32" t="s">
        <v>434</v>
      </c>
      <c r="N5">
        <v>1800</v>
      </c>
      <c r="O5">
        <v>21000</v>
      </c>
      <c r="P5" s="33" t="s">
        <v>413</v>
      </c>
    </row>
    <row r="6" spans="1:16">
      <c r="A6" s="34" t="s">
        <v>265</v>
      </c>
      <c r="C6" t="s">
        <v>419</v>
      </c>
      <c r="D6" t="s">
        <v>426</v>
      </c>
      <c r="E6" t="s">
        <v>418</v>
      </c>
      <c r="F6" s="32" t="s">
        <v>432</v>
      </c>
      <c r="H6" s="39">
        <v>45981</v>
      </c>
      <c r="I6" s="37">
        <v>45982.622037037036</v>
      </c>
      <c r="J6" s="38" t="s">
        <v>439</v>
      </c>
      <c r="K6" t="s">
        <v>418</v>
      </c>
      <c r="L6" t="s">
        <v>421</v>
      </c>
      <c r="M6" s="32" t="s">
        <v>430</v>
      </c>
      <c r="N6">
        <v>15730</v>
      </c>
      <c r="O6">
        <v>170940</v>
      </c>
      <c r="P6" s="33" t="s">
        <v>422</v>
      </c>
    </row>
    <row r="7" spans="1:16">
      <c r="A7" t="s">
        <v>265</v>
      </c>
      <c r="C7" t="s">
        <v>420</v>
      </c>
      <c r="D7" t="s">
        <v>263</v>
      </c>
      <c r="E7" t="s">
        <v>265</v>
      </c>
      <c r="F7" s="32" t="s">
        <v>433</v>
      </c>
      <c r="H7" s="39">
        <v>45981</v>
      </c>
      <c r="I7" s="37">
        <v>45982.622037037036</v>
      </c>
      <c r="J7" s="38" t="s">
        <v>440</v>
      </c>
      <c r="K7" t="s">
        <v>265</v>
      </c>
      <c r="L7" t="s">
        <v>406</v>
      </c>
      <c r="M7" s="32" t="s">
        <v>431</v>
      </c>
      <c r="N7">
        <v>15730</v>
      </c>
      <c r="O7">
        <v>170940</v>
      </c>
      <c r="P7" t="s">
        <v>414</v>
      </c>
    </row>
    <row r="8" spans="1:16">
      <c r="A8" t="s">
        <v>243</v>
      </c>
      <c r="C8" t="s">
        <v>423</v>
      </c>
      <c r="D8" t="s">
        <v>243</v>
      </c>
      <c r="F8" s="32" t="s">
        <v>242</v>
      </c>
      <c r="G8">
        <v>1600</v>
      </c>
      <c r="H8" s="39">
        <v>46012</v>
      </c>
      <c r="I8" s="37">
        <v>46015.415625000001</v>
      </c>
      <c r="J8" s="38" t="s">
        <v>441</v>
      </c>
      <c r="K8" t="s">
        <v>243</v>
      </c>
      <c r="L8" t="s">
        <v>145</v>
      </c>
      <c r="M8" s="32" t="s">
        <v>435</v>
      </c>
      <c r="N8">
        <v>1600</v>
      </c>
      <c r="O8">
        <v>6720</v>
      </c>
      <c r="P8" t="s">
        <v>71</v>
      </c>
    </row>
    <row r="9" spans="1:16">
      <c r="A9" s="3" t="s">
        <v>405</v>
      </c>
      <c r="C9" t="s">
        <v>424</v>
      </c>
      <c r="D9" t="s">
        <v>405</v>
      </c>
      <c r="F9" t="s">
        <v>427</v>
      </c>
      <c r="G9">
        <v>1728</v>
      </c>
      <c r="H9" s="39">
        <v>46020</v>
      </c>
      <c r="I9" s="37"/>
      <c r="J9" s="38"/>
      <c r="K9" t="s">
        <v>405</v>
      </c>
      <c r="L9" t="s">
        <v>425</v>
      </c>
      <c r="M9" t="s">
        <v>436</v>
      </c>
      <c r="N9">
        <v>1728</v>
      </c>
      <c r="O9">
        <v>24537.599999999999</v>
      </c>
      <c r="P9" t="s">
        <v>415</v>
      </c>
    </row>
    <row r="10" spans="1:16">
      <c r="H10" s="39"/>
      <c r="I10" s="37"/>
      <c r="J10" s="38"/>
    </row>
    <row r="11" spans="1:16">
      <c r="H11" s="39"/>
      <c r="I11" s="37"/>
      <c r="J11" s="38"/>
    </row>
    <row r="12" spans="1:16">
      <c r="H12" s="39"/>
      <c r="I12" s="37"/>
      <c r="J12" s="38"/>
    </row>
    <row r="13" spans="1:16">
      <c r="H13" s="39"/>
      <c r="I13" s="37"/>
      <c r="J13" s="38"/>
    </row>
    <row r="14" spans="1:16">
      <c r="H14" s="39"/>
      <c r="I14" s="37"/>
      <c r="J14" s="38"/>
    </row>
    <row r="15" spans="1:16">
      <c r="H15" s="39"/>
      <c r="I15" s="37"/>
      <c r="J15" s="38"/>
    </row>
    <row r="16" spans="1:16">
      <c r="H16" s="39"/>
      <c r="I16" s="37"/>
      <c r="J16" s="38"/>
    </row>
    <row r="17" spans="8:10">
      <c r="H17" s="39"/>
      <c r="I17" s="37"/>
      <c r="J17" s="38"/>
    </row>
    <row r="18" spans="8:10">
      <c r="I18" s="37"/>
      <c r="J18" s="38"/>
    </row>
    <row r="19" spans="8:10">
      <c r="I19" s="37"/>
      <c r="J19" s="38"/>
    </row>
    <row r="20" spans="8:10">
      <c r="I20" s="37"/>
    </row>
    <row r="21" spans="8:10">
      <c r="I21" s="37"/>
    </row>
    <row r="22" spans="8:10">
      <c r="I22" s="37"/>
    </row>
    <row r="23" spans="8:10">
      <c r="I23" s="37"/>
    </row>
    <row r="24" spans="8:10">
      <c r="I24" s="37"/>
    </row>
    <row r="25" spans="8:10">
      <c r="I25" s="37"/>
    </row>
    <row r="26" spans="8:10">
      <c r="I26" s="37"/>
    </row>
    <row r="27" spans="8:10">
      <c r="I27" s="37"/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6:A16"/>
  <sheetViews>
    <sheetView tabSelected="1" workbookViewId="0">
      <selection activeCell="G20" sqref="G20"/>
    </sheetView>
  </sheetViews>
  <sheetFormatPr defaultRowHeight="16.5"/>
  <sheetData>
    <row r="6" spans="1:1">
      <c r="A6" t="s">
        <v>508</v>
      </c>
    </row>
    <row r="8" spans="1:1">
      <c r="A8" t="s">
        <v>509</v>
      </c>
    </row>
    <row r="9" spans="1:1">
      <c r="A9" t="s">
        <v>510</v>
      </c>
    </row>
    <row r="10" spans="1:1">
      <c r="A10" t="s">
        <v>511</v>
      </c>
    </row>
    <row r="11" spans="1:1">
      <c r="A11" t="s">
        <v>512</v>
      </c>
    </row>
    <row r="12" spans="1:1">
      <c r="A12" t="s">
        <v>513</v>
      </c>
    </row>
    <row r="13" spans="1:1">
      <c r="A13" t="s">
        <v>516</v>
      </c>
    </row>
    <row r="14" spans="1:1">
      <c r="A14" t="s">
        <v>514</v>
      </c>
    </row>
    <row r="15" spans="1:1">
      <c r="A15" t="s">
        <v>515</v>
      </c>
    </row>
    <row r="16" spans="1:1">
      <c r="A16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리스트</vt:lpstr>
      <vt:lpstr>XML컨1개</vt:lpstr>
      <vt:lpstr>연습</vt:lpstr>
      <vt:lpstr>연습2</vt:lpstr>
      <vt:lpstr>보관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dcterms:created xsi:type="dcterms:W3CDTF">2025-12-23T01:38:32Z</dcterms:created>
  <dcterms:modified xsi:type="dcterms:W3CDTF">2026-01-02T04:23:38Z</dcterms:modified>
</cp:coreProperties>
</file>