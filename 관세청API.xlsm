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10613CD9-D68B-412C-A62F-CDCACA50146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예정" sheetId="4" r:id="rId1"/>
    <sheet name="리스트" sheetId="11" r:id="rId2"/>
    <sheet name="입항관리" sheetId="5" r:id="rId3"/>
    <sheet name="XML컨1개" sheetId="6" r:id="rId4"/>
    <sheet name="진행정보와XML매칭" sheetId="7" r:id="rId5"/>
    <sheet name="정리정보" sheetId="8" r:id="rId6"/>
    <sheet name="상황" sheetId="9" r:id="rId7"/>
    <sheet name="Sheet5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5" l="1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E10" i="5"/>
  <c r="E8" i="5"/>
  <c r="J2" i="5"/>
  <c r="K1" i="5"/>
  <c r="F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<sst xmlns="http://schemas.openxmlformats.org/spreadsheetml/2006/main" count="1750" uniqueCount="705">
  <si>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</si>
  <si>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</si>
  <si>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</si>
  <si>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</si>
  <si>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</si>
  <si>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</si>
  <si>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</si>
  <si>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</si>
  <si>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</si>
  <si>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</si>
  <si>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</si>
  <si>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</si>
  <si>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</si>
  <si>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</si>
  <si>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</si>
  <si>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</si>
  <si>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</si>
  <si>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</si>
  <si>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</si>
  <si>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</si>
  <si>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</si>
  <si>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</si>
  <si>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</si>
  <si>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</si>
  <si>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</si>
  <si>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</si>
  <si>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</si>
  <si>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</si>
  <si>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</si>
  <si>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</si>
  <si>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</si>
  <si>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</si>
  <si>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</si>
  <si>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</si>
  <si>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</si>
  <si>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</si>
  <si>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</si>
  <si>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</si>
  <si>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</si>
  <si>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</si>
  <si>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</si>
  <si>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</si>
  <si>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</si>
  <si>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</si>
  <si>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</si>
  <si>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</si>
  <si>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상황</t>
    <phoneticPr fontId="1" type="noConversion"/>
  </si>
  <si>
    <t>상황1</t>
    <phoneticPr fontId="1" type="noConversion"/>
  </si>
  <si>
    <t>MATER BL 없음, 년도 없음</t>
    <phoneticPr fontId="1" type="noConversion"/>
  </si>
  <si>
    <t>&lt;cargCsclPrgsInfoQryVo&gt;</t>
    <phoneticPr fontId="1" type="noConversion"/>
  </si>
  <si>
    <t>&lt;cargCsclPrgsInfoQryRtnVo&gt;&lt;ntceInfo&gt;&lt;/ntceInfo&gt;&lt;cargCsclPrgsInfoQryVo&gt;&lt;cntrNo&gt;SEGU9786733&lt;/cntrNo&gt;&lt;mblNo&gt;HASLS21251200826&lt;/mblNo&gt;&lt;/cargCsclPrgsInfoQryVo&gt;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</si>
  <si>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</si>
  <si>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</si>
  <si>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</si>
  <si>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</si>
  <si>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</si>
  <si>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</si>
  <si>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</si>
  <si>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</si>
  <si>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</si>
  <si>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</si>
  <si>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</si>
  <si>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</si>
  <si>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</si>
  <si>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</si>
  <si>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</si>
  <si>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</si>
  <si>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</si>
  <si>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</si>
  <si>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</si>
  <si>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</si>
  <si>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</si>
  <si>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</si>
  <si>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</si>
  <si>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</si>
  <si>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</si>
  <si>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</si>
  <si>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</si>
  <si>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</si>
  <si>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</si>
  <si>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</si>
  <si>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</si>
  <si>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</si>
  <si>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</si>
  <si>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</si>
  <si>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</si>
  <si>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</si>
  <si>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</si>
  <si>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</si>
  <si>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</si>
  <si>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</si>
  <si>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</si>
  <si>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</si>
  <si>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</si>
  <si>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</si>
  <si>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</si>
  <si>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</si>
  <si>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</si>
  <si>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</si>
  <si>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</si>
  <si>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</si>
  <si>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</si>
  <si>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</si>
  <si>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</si>
  <si>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</si>
  <si>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</si>
  <si>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</si>
  <si>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</si>
  <si>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</si>
  <si>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</si>
  <si>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</si>
  <si>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</si>
  <si>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</si>
  <si>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</si>
  <si>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</si>
  <si>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</si>
  <si>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</si>
  <si>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</si>
  <si>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</si>
  <si>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</si>
  <si>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</si>
  <si>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</si>
  <si>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KMTCBKK3786030</t>
  </si>
  <si>
    <t>한국축지</t>
  </si>
  <si>
    <t>SEGU9684290</t>
    <phoneticPr fontId="1" type="noConversion"/>
  </si>
  <si>
    <t>CORCOVADO</t>
  </si>
  <si>
    <t>KOTA CANTIK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</si>
  <si>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</si>
  <si>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</si>
  <si>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</si>
  <si>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</si>
  <si>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</si>
  <si>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</si>
  <si>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</si>
  <si>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</si>
  <si>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</si>
  <si>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</si>
  <si>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</si>
  <si>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</si>
  <si>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</si>
  <si>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</si>
  <si>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</si>
  <si>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</si>
  <si>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</si>
  <si>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</si>
  <si>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</si>
  <si>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</si>
  <si>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</si>
  <si>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</si>
  <si>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</si>
  <si>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</si>
  <si>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</si>
  <si>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</si>
  <si>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</si>
  <si>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</si>
  <si>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</si>
  <si>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</si>
  <si>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</si>
  <si>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</si>
  <si>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</si>
  <si>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</si>
  <si>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</si>
  <si>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</si>
  <si>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</si>
  <si>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</si>
  <si>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</si>
  <si>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</si>
  <si>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</si>
  <si>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</si>
  <si>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</si>
  <si>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</si>
  <si>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</si>
  <si>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</si>
  <si>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</si>
  <si>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</si>
  <si>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</si>
  <si>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</si>
  <si>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</si>
  <si>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</si>
  <si>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</si>
  <si>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</si>
  <si>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YM COOPERATION</t>
  </si>
  <si>
    <t>EVER VIVE</t>
  </si>
  <si>
    <t>HYUNDAI HONGKONG</t>
  </si>
  <si>
    <t>POS HOCHIMINH</t>
  </si>
  <si>
    <t>MOL EARNEST</t>
  </si>
  <si>
    <t>EVER VERT</t>
  </si>
  <si>
    <t>HYUNDAI SHANGHAI</t>
  </si>
  <si>
    <t>PANCON BRIDGE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</si>
  <si>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</si>
  <si>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</si>
  <si>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</si>
  <si>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</si>
  <si>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</si>
  <si>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</si>
  <si>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</si>
  <si>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</si>
  <si>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</si>
  <si>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</si>
  <si>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</si>
  <si>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</si>
  <si>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</si>
  <si>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</si>
  <si>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</si>
  <si>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</si>
  <si>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</si>
  <si>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</si>
  <si>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</si>
  <si>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</si>
  <si>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</si>
  <si>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</si>
  <si>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</si>
  <si>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</si>
  <si>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</si>
  <si>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</si>
  <si>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</si>
  <si>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</si>
  <si>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</si>
  <si>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</si>
  <si>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</si>
  <si>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</si>
  <si>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</si>
  <si>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</si>
  <si>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</si>
  <si>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</si>
  <si>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</si>
  <si>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</si>
  <si>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</si>
  <si>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</si>
  <si>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</si>
  <si>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</si>
  <si>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</si>
  <si>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</si>
  <si>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</si>
  <si>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</si>
  <si>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</si>
  <si>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</si>
  <si>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</si>
  <si>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</si>
  <si>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</si>
  <si>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</si>
  <si>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</si>
  <si>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</si>
  <si>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</si>
  <si>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</si>
  <si>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</si>
  <si>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</si>
  <si>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</si>
  <si>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</si>
  <si>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</si>
  <si>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</si>
  <si>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</si>
  <si>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</si>
  <si>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</si>
  <si>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</si>
  <si>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</si>
  <si>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</si>
  <si>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</si>
  <si>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</si>
  <si>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</si>
  <si>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</si>
  <si>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</si>
  <si>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</si>
  <si>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</si>
  <si>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</si>
  <si>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</si>
  <si>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</si>
  <si>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</si>
  <si>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</si>
  <si>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</si>
  <si>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</si>
  <si>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</si>
  <si>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</si>
  <si>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</si>
  <si>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</si>
  <si>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</si>
  <si>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</si>
  <si>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</si>
  <si>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</si>
  <si>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</si>
  <si>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</si>
  <si>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</si>
  <si>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</si>
  <si>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</si>
  <si>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</si>
  <si>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</si>
  <si>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</si>
  <si>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</si>
  <si>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</si>
  <si>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</si>
  <si>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</si>
  <si>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</si>
  <si>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</si>
  <si>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</si>
  <si>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</si>
  <si>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</si>
  <si>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</si>
  <si>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</si>
  <si>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</si>
  <si>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</si>
  <si>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</si>
  <si>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</si>
  <si>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</si>
  <si>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</si>
  <si>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</si>
  <si>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</si>
  <si>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</si>
  <si>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</si>
  <si>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</si>
  <si>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</si>
  <si>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</si>
  <si>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</si>
  <si>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</si>
  <si>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</si>
  <si>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</si>
  <si>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</si>
  <si>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</si>
  <si>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</si>
  <si>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</si>
  <si>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</si>
  <si>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</si>
  <si>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</si>
  <si>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</si>
  <si>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</si>
  <si>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</si>
  <si>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</si>
  <si>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</si>
  <si>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</si>
  <si>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</si>
  <si>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</si>
  <si>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</si>
  <si>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</si>
  <si>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</si>
  <si>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</si>
  <si>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</si>
  <si>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</si>
  <si>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</si>
  <si>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</si>
  <si>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</si>
  <si>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</si>
  <si>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</si>
  <si>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</si>
  <si>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</si>
  <si>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</si>
  <si>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</si>
  <si>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</si>
  <si>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</si>
  <si>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</si>
  <si>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</si>
  <si>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</si>
  <si>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</si>
  <si>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</si>
  <si>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</si>
  <si>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</si>
  <si>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</si>
  <si>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</si>
  <si>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</si>
  <si>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</si>
  <si>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</si>
  <si>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</si>
  <si>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</si>
  <si>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</si>
  <si>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</si>
  <si>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</si>
  <si>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</si>
  <si>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</si>
  <si>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</si>
  <si>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</si>
  <si>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</si>
  <si>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</si>
  <si>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</si>
  <si>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</si>
  <si>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</si>
  <si>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</si>
  <si>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</si>
  <si>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</si>
  <si>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</si>
  <si>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</si>
  <si>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</si>
  <si>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</si>
  <si>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</si>
  <si>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</si>
  <si>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</si>
  <si>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</si>
  <si>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</si>
  <si>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</si>
  <si>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</si>
  <si>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</si>
  <si>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</si>
  <si>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</si>
  <si>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</si>
  <si>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</si>
  <si>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</si>
  <si>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</si>
  <si>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</si>
  <si>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</si>
  <si>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</si>
  <si>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</si>
  <si>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</si>
  <si>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</si>
  <si>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</si>
  <si>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</si>
  <si>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</si>
  <si>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</si>
  <si>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</si>
  <si>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</si>
  <si>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</si>
  <si>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</si>
  <si>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</si>
  <si>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</si>
  <si>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</si>
  <si>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</si>
  <si>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</si>
  <si>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</si>
  <si>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</si>
  <si>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</si>
  <si>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</si>
  <si>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</si>
  <si>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</si>
  <si>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</si>
  <si>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</si>
  <si>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</si>
  <si>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</si>
  <si>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</si>
  <si>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</si>
  <si>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</si>
  <si>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</si>
  <si>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</si>
  <si>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</si>
  <si>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</si>
  <si>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</si>
  <si>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</si>
  <si>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</si>
  <si>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</si>
  <si>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</si>
  <si>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</si>
  <si>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</si>
  <si>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</si>
  <si>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</si>
  <si>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</si>
  <si>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</si>
  <si>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</si>
  <si>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</si>
  <si>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</si>
  <si>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</si>
  <si>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</si>
  <si>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</si>
  <si>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</si>
  <si>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</si>
  <si>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</si>
  <si>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</si>
  <si>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</si>
  <si>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</si>
  <si>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</si>
  <si>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</si>
  <si>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</si>
  <si>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</si>
  <si>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</si>
  <si>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</si>
  <si>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</si>
  <si>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</si>
  <si>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</si>
  <si>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</si>
  <si>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</si>
  <si>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</si>
  <si>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</si>
  <si>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</si>
  <si>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</si>
  <si>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</si>
  <si>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</si>
  <si>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</si>
  <si>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</si>
  <si>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</si>
  <si>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</si>
  <si>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</si>
  <si>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</si>
  <si>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</si>
  <si>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</si>
  <si>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</si>
  <si>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</si>
  <si>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</si>
  <si>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</si>
  <si>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</si>
  <si>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</si>
  <si>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</si>
  <si>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</si>
  <si>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</si>
  <si>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</si>
  <si>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</si>
  <si>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</si>
  <si>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</si>
  <si>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</si>
  <si>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</si>
  <si>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</si>
  <si>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</si>
  <si>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</si>
  <si>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</si>
  <si>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</si>
  <si>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</si>
  <si>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</si>
  <si>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</si>
  <si>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</si>
  <si>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</si>
  <si>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</si>
  <si>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</si>
  <si>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</si>
  <si>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</si>
  <si>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</si>
  <si>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</si>
  <si>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</si>
  <si>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</si>
  <si>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</si>
  <si>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</si>
  <si>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</si>
  <si>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</si>
  <si>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</si>
  <si>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</si>
  <si>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</si>
  <si>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</si>
  <si>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</si>
  <si>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</si>
  <si>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</si>
  <si>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</si>
  <si>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</si>
  <si>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</si>
  <si>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</si>
  <si>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</si>
  <si>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</si>
  <si>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</si>
  <si>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</si>
  <si>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</si>
  <si>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</si>
  <si>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</si>
  <si>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</si>
  <si>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</si>
  <si>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</si>
  <si>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</si>
  <si>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</si>
  <si>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</si>
  <si>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</si>
  <si>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</si>
  <si>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</si>
  <si>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</si>
  <si>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</si>
  <si>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</si>
  <si>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</si>
  <si>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</si>
  <si>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</si>
  <si>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</si>
  <si>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</si>
  <si>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</si>
  <si>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</si>
  <si>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</si>
  <si>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</si>
  <si>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</si>
  <si>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</si>
  <si>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</si>
  <si>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</si>
  <si>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</si>
  <si>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</si>
  <si>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</si>
  <si>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</si>
  <si>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</si>
  <si>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</si>
  <si>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</si>
  <si>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</si>
  <si>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</si>
  <si>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</si>
  <si>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</si>
  <si>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HMMU5202811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</si>
  <si>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</si>
  <si>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</si>
  <si>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</si>
  <si>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</si>
  <si>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</si>
  <si>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</si>
  <si>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</si>
  <si>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</si>
  <si>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</si>
  <si>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</si>
  <si>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</si>
  <si>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</si>
  <si>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</si>
  <si>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</si>
  <si>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</si>
  <si>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</si>
  <si>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</si>
  <si>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</si>
  <si>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</si>
  <si>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</si>
  <si>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</si>
  <si>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</si>
  <si>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</si>
  <si>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</si>
  <si>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</si>
  <si>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</si>
  <si>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</si>
  <si>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</si>
  <si>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</si>
  <si>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</si>
  <si>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</si>
  <si>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</si>
  <si>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</si>
  <si>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</si>
  <si>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</si>
  <si>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</si>
  <si>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</si>
  <si>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</si>
  <si>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</si>
  <si>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</si>
  <si>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</si>
  <si>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</si>
  <si>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</si>
  <si>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</si>
  <si>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</si>
  <si>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</si>
  <si>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</si>
  <si>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</si>
  <si>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</si>
  <si>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</si>
  <si>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</si>
  <si>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</si>
  <si>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</si>
  <si>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</si>
  <si>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</si>
  <si>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</si>
  <si>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</si>
  <si>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</si>
  <si>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</si>
  <si>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</si>
  <si>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</si>
  <si>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</si>
  <si>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</si>
  <si>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</si>
  <si>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</si>
  <si>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</si>
  <si>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</si>
  <si>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</si>
  <si>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</si>
  <si>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</si>
  <si>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</si>
  <si>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</si>
  <si>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</si>
  <si>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</si>
  <si>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</si>
  <si>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</si>
  <si>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</si>
  <si>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</si>
  <si>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</si>
  <si>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</si>
  <si>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</si>
  <si>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</si>
  <si>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</si>
  <si>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</si>
  <si>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</si>
  <si>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</si>
  <si>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</si>
  <si>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</si>
  <si>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</si>
  <si>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</si>
  <si>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</si>
  <si>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</si>
  <si>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</si>
  <si>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</si>
  <si>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</si>
  <si>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</si>
  <si>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</si>
  <si>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</si>
  <si>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</si>
  <si>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</si>
  <si>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</si>
  <si>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</si>
  <si>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</si>
  <si>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(주)에스에스물류</t>
  </si>
  <si>
    <t>면허?</t>
  </si>
  <si>
    <t>에이치엠엠피에스에이신항만(주)</t>
  </si>
  <si>
    <t>(주)천경</t>
  </si>
  <si>
    <t>동원글로벌터미널부산(주)</t>
  </si>
  <si>
    <t>(주)나모티엘에스</t>
  </si>
  <si>
    <t>신감만 한국허치슨(주) 컨테이너 보세창고</t>
  </si>
  <si>
    <t>LAEM CHABANG VOYAGER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</si>
  <si>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</si>
  <si>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</si>
  <si>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</si>
  <si>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</si>
  <si>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</si>
  <si>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</si>
  <si>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STARSHIP MERCURY</t>
  </si>
  <si>
    <t>KMTC NINGBO</t>
  </si>
  <si>
    <t>한진부산컨테이너터미널(주)</t>
  </si>
  <si>
    <t>CY</t>
    <phoneticPr fontId="1" type="noConversion"/>
  </si>
  <si>
    <t>25HDMUA653I-0210-</t>
    <phoneticPr fontId="1" type="noConversion"/>
  </si>
  <si>
    <t xml:space="preserve">(주)에스에스물류, CY : 에이치엠엠피에스에이신항만(주), 진행상황 : 반입완료, 선사 : 에이치엠엠(주), 포딩 : </t>
    <phoneticPr fontId="1" type="noConversion"/>
  </si>
  <si>
    <t>10:58</t>
  </si>
  <si>
    <t>SNKO190251102713</t>
    <phoneticPr fontId="1" type="noConversion"/>
  </si>
  <si>
    <t>25POBUSH56I-7026-</t>
    <phoneticPr fontId="1" type="noConversion"/>
  </si>
  <si>
    <t>MEDUFX853510</t>
    <phoneticPr fontId="1" type="noConversion"/>
  </si>
  <si>
    <t>25MSCU6317I-0040-</t>
    <phoneticPr fontId="1" type="noConversion"/>
  </si>
  <si>
    <t>25YMJA0222I-5029-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</si>
  <si>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</si>
  <si>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</si>
  <si>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</si>
  <si>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25PCLUBK15I-8001-</t>
    <phoneticPr fontId="1" type="noConversion"/>
  </si>
  <si>
    <t>PCSLLCBSC2500049</t>
    <phoneticPr fontId="1" type="noConversion"/>
  </si>
  <si>
    <t>25PCLUBK15I-8002-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</si>
</sst>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20</xdr:row>
      <xdr:rowOff>28575</xdr:rowOff>
    </xdr:from>
    <xdr:to>
      <xdr:col>20</xdr:col>
      <xdr:colOff>171450</xdr:colOff>
      <xdr:row>27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47625</xdr:rowOff>
    </xdr:from>
    <xdr:to>
      <xdr:col>9</xdr:col>
      <xdr:colOff>28575</xdr:colOff>
      <xdr:row>13</xdr:row>
      <xdr:rowOff>104775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5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81"/>
  <sheetViews>
    <sheetView topLeftCell="K1" workbookViewId="0">
      <selection activeCell="N10" sqref="N10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338</v>
      </c>
      <c r="B1" s="35" t="s">
        <v>339</v>
      </c>
      <c r="C1" s="36" t="s">
        <v>64</v>
      </c>
      <c r="D1" s="37" t="s">
        <v>340</v>
      </c>
      <c r="E1" s="36" t="s">
        <v>341</v>
      </c>
      <c r="F1" s="38" t="s">
        <v>342</v>
      </c>
      <c r="G1" s="39" t="s">
        <v>343</v>
      </c>
      <c r="H1" s="40" t="s">
        <v>344</v>
      </c>
      <c r="I1" s="41" t="s">
        <v>345</v>
      </c>
      <c r="J1" s="42" t="s">
        <v>346</v>
      </c>
      <c r="K1" s="43" t="s">
        <v>347</v>
      </c>
      <c r="L1" s="41" t="s">
        <v>348</v>
      </c>
      <c r="M1" s="44" t="s">
        <v>349</v>
      </c>
      <c r="N1" s="45" t="s">
        <v>350</v>
      </c>
      <c r="O1" s="46" t="s">
        <v>351</v>
      </c>
      <c r="P1" s="47" t="s">
        <v>352</v>
      </c>
      <c r="Q1" s="48" t="s">
        <v>353</v>
      </c>
      <c r="R1" s="49" t="s">
        <v>354</v>
      </c>
      <c r="S1" s="50" t="s">
        <v>355</v>
      </c>
      <c r="T1" s="46" t="s">
        <v>356</v>
      </c>
      <c r="U1" s="51" t="s">
        <v>74</v>
      </c>
      <c r="V1" s="51" t="s">
        <v>357</v>
      </c>
      <c r="W1" s="51" t="s">
        <v>358</v>
      </c>
      <c r="X1" s="52" t="s">
        <v>76</v>
      </c>
      <c r="Y1" s="53" t="s">
        <v>77</v>
      </c>
      <c r="Z1" s="51" t="s">
        <v>78</v>
      </c>
      <c r="AA1" s="126" t="s">
        <v>504</v>
      </c>
    </row>
    <row r="2" spans="1:30">
      <c r="A2" s="54">
        <v>0</v>
      </c>
      <c r="B2" s="54">
        <v>3</v>
      </c>
      <c r="C2" s="55" t="s">
        <v>359</v>
      </c>
      <c r="D2" s="56" t="s">
        <v>360</v>
      </c>
      <c r="E2" s="55" t="s">
        <v>476</v>
      </c>
      <c r="F2" s="57">
        <v>1917</v>
      </c>
      <c r="G2" s="58">
        <v>23004</v>
      </c>
      <c r="H2" s="59"/>
      <c r="I2" s="60">
        <v>46014</v>
      </c>
      <c r="J2" s="61" t="s">
        <v>361</v>
      </c>
      <c r="K2" s="62">
        <v>1</v>
      </c>
      <c r="L2" s="60">
        <v>46001</v>
      </c>
      <c r="M2" s="63"/>
      <c r="N2" s="64" t="s">
        <v>362</v>
      </c>
      <c r="O2" s="65" t="s">
        <v>363</v>
      </c>
      <c r="P2" s="66" t="s">
        <v>364</v>
      </c>
      <c r="Q2" s="67" t="s">
        <v>365</v>
      </c>
      <c r="R2" s="68" t="s">
        <v>366</v>
      </c>
      <c r="S2" s="69" t="s">
        <v>367</v>
      </c>
      <c r="T2" s="65" t="s">
        <v>478</v>
      </c>
      <c r="U2" s="70" t="s">
        <v>498</v>
      </c>
      <c r="V2" s="71" t="s">
        <v>368</v>
      </c>
      <c r="W2" s="72" t="s">
        <v>477</v>
      </c>
      <c r="X2" s="73">
        <v>1917</v>
      </c>
      <c r="Y2" s="74">
        <v>23962.5</v>
      </c>
      <c r="Z2" s="72" t="s">
        <v>369</v>
      </c>
      <c r="AA2" s="127">
        <v>46013.56722222222</v>
      </c>
      <c r="AD2" s="9"/>
    </row>
    <row r="3" spans="1:30">
      <c r="A3" s="54">
        <v>0</v>
      </c>
      <c r="B3" s="54">
        <v>4</v>
      </c>
      <c r="C3" s="55" t="s">
        <v>359</v>
      </c>
      <c r="D3" s="56" t="s">
        <v>370</v>
      </c>
      <c r="E3" s="55" t="s">
        <v>479</v>
      </c>
      <c r="F3" s="57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362</v>
      </c>
      <c r="O3" s="65" t="s">
        <v>363</v>
      </c>
      <c r="P3" s="66" t="s">
        <v>364</v>
      </c>
      <c r="Q3" s="67" t="s">
        <v>365</v>
      </c>
      <c r="R3" s="68" t="s">
        <v>366</v>
      </c>
      <c r="S3" s="69" t="s">
        <v>371</v>
      </c>
      <c r="T3" s="65" t="s">
        <v>478</v>
      </c>
      <c r="U3" s="70" t="s">
        <v>499</v>
      </c>
      <c r="V3" s="71" t="s">
        <v>368</v>
      </c>
      <c r="W3" s="72" t="s">
        <v>480</v>
      </c>
      <c r="X3" s="73">
        <v>1960</v>
      </c>
      <c r="Y3" s="74">
        <v>24500</v>
      </c>
      <c r="Z3" s="72" t="s">
        <v>369</v>
      </c>
      <c r="AA3" s="127">
        <v>46013.560439814813</v>
      </c>
    </row>
    <row r="4" spans="1:30">
      <c r="A4" s="54">
        <v>0</v>
      </c>
      <c r="B4" s="54">
        <v>7</v>
      </c>
      <c r="C4" s="75" t="s">
        <v>359</v>
      </c>
      <c r="D4" s="76" t="s">
        <v>372</v>
      </c>
      <c r="E4" s="75" t="s">
        <v>481</v>
      </c>
      <c r="F4" s="77">
        <v>1917</v>
      </c>
      <c r="G4" s="78">
        <v>23004</v>
      </c>
      <c r="H4" s="79"/>
      <c r="I4" s="80">
        <v>46014</v>
      </c>
      <c r="J4" s="61" t="s">
        <v>373</v>
      </c>
      <c r="K4" s="62">
        <v>2</v>
      </c>
      <c r="L4" s="80">
        <v>46003</v>
      </c>
      <c r="M4" s="81"/>
      <c r="N4" s="64" t="s">
        <v>362</v>
      </c>
      <c r="O4" s="65" t="s">
        <v>363</v>
      </c>
      <c r="P4" s="66" t="s">
        <v>364</v>
      </c>
      <c r="Q4" s="67" t="s">
        <v>365</v>
      </c>
      <c r="R4" s="68" t="s">
        <v>366</v>
      </c>
      <c r="S4" s="69" t="s">
        <v>374</v>
      </c>
      <c r="T4" s="65" t="s">
        <v>484</v>
      </c>
      <c r="U4" s="70" t="s">
        <v>500</v>
      </c>
      <c r="V4" s="71" t="s">
        <v>482</v>
      </c>
      <c r="W4" s="72" t="s">
        <v>483</v>
      </c>
      <c r="X4" s="73">
        <v>1917</v>
      </c>
      <c r="Y4" s="74">
        <v>23962.5</v>
      </c>
      <c r="Z4" s="72" t="s">
        <v>375</v>
      </c>
      <c r="AA4" s="127">
        <v>46014.426550925928</v>
      </c>
    </row>
    <row r="5" spans="1:30">
      <c r="A5" s="54">
        <v>0</v>
      </c>
      <c r="B5" s="54">
        <v>1</v>
      </c>
      <c r="C5" s="82" t="s">
        <v>376</v>
      </c>
      <c r="D5" s="82" t="s">
        <v>377</v>
      </c>
      <c r="E5" s="82" t="s">
        <v>485</v>
      </c>
      <c r="F5" s="57">
        <v>1566</v>
      </c>
      <c r="G5" s="83">
        <v>23490</v>
      </c>
      <c r="H5" s="82"/>
      <c r="I5" s="80">
        <v>46014</v>
      </c>
      <c r="J5" s="61" t="s">
        <v>378</v>
      </c>
      <c r="K5" s="62">
        <v>2</v>
      </c>
      <c r="L5" s="60">
        <v>46009</v>
      </c>
      <c r="M5" s="82"/>
      <c r="N5" s="82" t="s">
        <v>379</v>
      </c>
      <c r="O5" s="82" t="s">
        <v>363</v>
      </c>
      <c r="P5" s="82" t="s">
        <v>380</v>
      </c>
      <c r="Q5" s="82"/>
      <c r="R5" s="82" t="s">
        <v>366</v>
      </c>
      <c r="S5" s="82" t="s">
        <v>381</v>
      </c>
      <c r="T5" s="65" t="s">
        <v>487</v>
      </c>
      <c r="U5" s="70" t="s">
        <v>501</v>
      </c>
      <c r="V5" s="84" t="s">
        <v>88</v>
      </c>
      <c r="W5" s="85" t="s">
        <v>486</v>
      </c>
      <c r="X5" s="73">
        <v>1566</v>
      </c>
      <c r="Y5" s="74">
        <v>24278.6</v>
      </c>
      <c r="Z5" s="85" t="s">
        <v>89</v>
      </c>
      <c r="AA5" s="127">
        <v>46013.612986111111</v>
      </c>
    </row>
    <row r="6" spans="1:30">
      <c r="A6" s="54">
        <v>0</v>
      </c>
      <c r="B6" s="54">
        <v>2</v>
      </c>
      <c r="C6" s="75" t="s">
        <v>382</v>
      </c>
      <c r="D6" s="76" t="s">
        <v>383</v>
      </c>
      <c r="E6" s="75" t="s">
        <v>488</v>
      </c>
      <c r="F6" s="57">
        <v>1980</v>
      </c>
      <c r="G6" s="78">
        <v>23760</v>
      </c>
      <c r="H6" s="79" t="s">
        <v>384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385</v>
      </c>
      <c r="O6" s="65" t="s">
        <v>363</v>
      </c>
      <c r="P6" s="66" t="s">
        <v>386</v>
      </c>
      <c r="Q6" s="67"/>
      <c r="R6" s="68" t="s">
        <v>366</v>
      </c>
      <c r="S6" s="69" t="s">
        <v>387</v>
      </c>
      <c r="T6" s="65" t="s">
        <v>487</v>
      </c>
      <c r="U6" s="70" t="s">
        <v>502</v>
      </c>
      <c r="V6" s="71" t="s">
        <v>88</v>
      </c>
      <c r="W6" s="72" t="s">
        <v>489</v>
      </c>
      <c r="X6" s="73">
        <v>1980</v>
      </c>
      <c r="Y6" s="74">
        <v>24948</v>
      </c>
      <c r="Z6" s="85" t="s">
        <v>89</v>
      </c>
      <c r="AA6" s="127">
        <v>46013.463194444441</v>
      </c>
    </row>
    <row r="7" spans="1:30">
      <c r="A7" s="86">
        <v>0</v>
      </c>
      <c r="B7" s="54">
        <v>13</v>
      </c>
      <c r="C7" s="55" t="s">
        <v>388</v>
      </c>
      <c r="D7" s="56" t="s">
        <v>389</v>
      </c>
      <c r="E7" s="55" t="s">
        <v>490</v>
      </c>
      <c r="F7" s="57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390</v>
      </c>
      <c r="O7" s="65" t="s">
        <v>363</v>
      </c>
      <c r="P7" s="66" t="s">
        <v>391</v>
      </c>
      <c r="Q7" s="67"/>
      <c r="R7" s="68" t="s">
        <v>392</v>
      </c>
      <c r="S7" s="69" t="s">
        <v>393</v>
      </c>
      <c r="T7" s="65" t="s">
        <v>484</v>
      </c>
      <c r="U7" s="70" t="s">
        <v>503</v>
      </c>
      <c r="V7" s="71" t="s">
        <v>491</v>
      </c>
      <c r="W7" s="72" t="s">
        <v>492</v>
      </c>
      <c r="X7" s="73">
        <v>1925</v>
      </c>
      <c r="Y7" s="74">
        <v>24640</v>
      </c>
      <c r="Z7" s="85" t="s">
        <v>83</v>
      </c>
      <c r="AA7" s="127">
        <v>46014.5234375</v>
      </c>
    </row>
    <row r="8" spans="1:30">
      <c r="A8" s="54"/>
      <c r="B8" s="54">
        <v>5</v>
      </c>
      <c r="C8" s="55" t="s">
        <v>359</v>
      </c>
      <c r="D8" s="56" t="s">
        <v>136</v>
      </c>
      <c r="E8" s="55" t="s">
        <v>274</v>
      </c>
      <c r="F8" s="57">
        <v>1960</v>
      </c>
      <c r="G8" s="58">
        <v>23520</v>
      </c>
      <c r="H8" s="59"/>
      <c r="I8" s="60"/>
      <c r="J8" s="61" t="s">
        <v>394</v>
      </c>
      <c r="K8" s="62"/>
      <c r="L8" s="60">
        <v>46002</v>
      </c>
      <c r="M8" s="63"/>
      <c r="N8" s="64" t="s">
        <v>362</v>
      </c>
      <c r="O8" s="65" t="s">
        <v>363</v>
      </c>
      <c r="P8" s="66" t="s">
        <v>364</v>
      </c>
      <c r="Q8" s="67" t="s">
        <v>365</v>
      </c>
      <c r="R8" s="68" t="s">
        <v>366</v>
      </c>
      <c r="S8" s="69" t="s">
        <v>395</v>
      </c>
      <c r="T8" s="65" t="s">
        <v>330</v>
      </c>
      <c r="U8" s="70" t="s">
        <v>275</v>
      </c>
      <c r="V8" s="71" t="s">
        <v>276</v>
      </c>
      <c r="W8" s="72" t="s">
        <v>277</v>
      </c>
      <c r="X8" s="73">
        <v>1960</v>
      </c>
      <c r="Y8" s="74">
        <v>24500</v>
      </c>
      <c r="Z8" s="72" t="s">
        <v>278</v>
      </c>
    </row>
    <row r="9" spans="1:30">
      <c r="A9" s="54"/>
      <c r="B9" s="54">
        <v>6</v>
      </c>
      <c r="C9" s="75" t="s">
        <v>359</v>
      </c>
      <c r="D9" s="76" t="s">
        <v>137</v>
      </c>
      <c r="E9" s="75" t="s">
        <v>279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362</v>
      </c>
      <c r="O9" s="65" t="s">
        <v>363</v>
      </c>
      <c r="P9" s="66" t="s">
        <v>364</v>
      </c>
      <c r="Q9" s="67" t="s">
        <v>365</v>
      </c>
      <c r="R9" s="68" t="s">
        <v>366</v>
      </c>
      <c r="S9" s="69" t="s">
        <v>396</v>
      </c>
      <c r="T9" s="65" t="s">
        <v>330</v>
      </c>
      <c r="U9" s="70" t="s">
        <v>280</v>
      </c>
      <c r="V9" s="71" t="s">
        <v>276</v>
      </c>
      <c r="W9" s="72" t="s">
        <v>281</v>
      </c>
      <c r="X9" s="73">
        <v>1960</v>
      </c>
      <c r="Y9" s="74">
        <v>24500</v>
      </c>
      <c r="Z9" s="72" t="s">
        <v>278</v>
      </c>
    </row>
    <row r="10" spans="1:30">
      <c r="A10" s="54"/>
      <c r="B10" s="54">
        <v>8</v>
      </c>
      <c r="C10" s="75" t="s">
        <v>359</v>
      </c>
      <c r="D10" s="76" t="s">
        <v>138</v>
      </c>
      <c r="E10" s="75" t="s">
        <v>282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397</v>
      </c>
      <c r="O10" s="65" t="s">
        <v>363</v>
      </c>
      <c r="P10" s="66" t="s">
        <v>364</v>
      </c>
      <c r="Q10" s="67" t="s">
        <v>365</v>
      </c>
      <c r="R10" s="68" t="s">
        <v>366</v>
      </c>
      <c r="S10" s="69" t="s">
        <v>398</v>
      </c>
      <c r="T10" s="65" t="s">
        <v>331</v>
      </c>
      <c r="U10" s="70" t="s">
        <v>283</v>
      </c>
      <c r="V10" s="71" t="s">
        <v>219</v>
      </c>
      <c r="W10" s="72" t="s">
        <v>284</v>
      </c>
      <c r="X10" s="73">
        <v>1960</v>
      </c>
      <c r="Y10" s="74">
        <v>24500</v>
      </c>
      <c r="Z10" s="72" t="s">
        <v>285</v>
      </c>
    </row>
    <row r="11" spans="1:30">
      <c r="A11" s="54"/>
      <c r="B11" s="54">
        <v>9</v>
      </c>
      <c r="C11" s="55" t="s">
        <v>359</v>
      </c>
      <c r="D11" s="56" t="s">
        <v>139</v>
      </c>
      <c r="E11" s="55" t="s">
        <v>286</v>
      </c>
      <c r="F11" s="57">
        <v>1960</v>
      </c>
      <c r="G11" s="58">
        <v>23520</v>
      </c>
      <c r="H11" s="59"/>
      <c r="I11" s="60"/>
      <c r="J11" s="61" t="s">
        <v>399</v>
      </c>
      <c r="K11" s="62"/>
      <c r="L11" s="60">
        <v>46006</v>
      </c>
      <c r="M11" s="63"/>
      <c r="N11" s="64" t="s">
        <v>397</v>
      </c>
      <c r="O11" s="65" t="s">
        <v>363</v>
      </c>
      <c r="P11" s="66" t="s">
        <v>364</v>
      </c>
      <c r="Q11" s="67" t="s">
        <v>365</v>
      </c>
      <c r="R11" s="68" t="s">
        <v>366</v>
      </c>
      <c r="S11" s="69" t="s">
        <v>400</v>
      </c>
      <c r="T11" s="65" t="s">
        <v>331</v>
      </c>
      <c r="U11" s="70" t="s">
        <v>287</v>
      </c>
      <c r="V11" s="71" t="s">
        <v>219</v>
      </c>
      <c r="W11" s="72" t="s">
        <v>288</v>
      </c>
      <c r="X11" s="73">
        <v>1960</v>
      </c>
      <c r="Y11" s="74">
        <v>24500</v>
      </c>
      <c r="Z11" s="72" t="s">
        <v>285</v>
      </c>
    </row>
    <row r="12" spans="1:30">
      <c r="A12" s="54"/>
      <c r="B12" s="54">
        <v>10</v>
      </c>
      <c r="C12" s="55" t="s">
        <v>359</v>
      </c>
      <c r="D12" s="56" t="s">
        <v>141</v>
      </c>
      <c r="E12" s="55" t="s">
        <v>290</v>
      </c>
      <c r="F12" s="57">
        <v>1917</v>
      </c>
      <c r="G12" s="58">
        <v>23004</v>
      </c>
      <c r="H12" s="59"/>
      <c r="I12" s="60"/>
      <c r="J12" s="61" t="s">
        <v>401</v>
      </c>
      <c r="K12" s="62"/>
      <c r="L12" s="60">
        <v>46008</v>
      </c>
      <c r="M12" s="63"/>
      <c r="N12" s="64" t="s">
        <v>397</v>
      </c>
      <c r="O12" s="65" t="s">
        <v>363</v>
      </c>
      <c r="P12" s="66" t="s">
        <v>364</v>
      </c>
      <c r="Q12" s="87" t="s">
        <v>365</v>
      </c>
      <c r="R12" s="68" t="s">
        <v>366</v>
      </c>
      <c r="S12" s="69" t="s">
        <v>402</v>
      </c>
      <c r="T12" s="65" t="s">
        <v>333</v>
      </c>
      <c r="U12" s="70" t="s">
        <v>291</v>
      </c>
      <c r="V12" s="71" t="s">
        <v>292</v>
      </c>
      <c r="W12" s="72" t="s">
        <v>293</v>
      </c>
      <c r="X12" s="73">
        <v>1917</v>
      </c>
      <c r="Y12" s="74">
        <v>23962.5</v>
      </c>
      <c r="Z12" s="72" t="s">
        <v>209</v>
      </c>
    </row>
    <row r="13" spans="1:30">
      <c r="A13" s="54"/>
      <c r="B13" s="54">
        <v>11</v>
      </c>
      <c r="C13" s="55" t="s">
        <v>388</v>
      </c>
      <c r="D13" s="56" t="s">
        <v>131</v>
      </c>
      <c r="E13" s="55" t="s">
        <v>261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403</v>
      </c>
      <c r="O13" s="65" t="s">
        <v>363</v>
      </c>
      <c r="P13" s="66" t="s">
        <v>404</v>
      </c>
      <c r="Q13" s="67" t="s">
        <v>405</v>
      </c>
      <c r="R13" s="68" t="s">
        <v>392</v>
      </c>
      <c r="S13" s="69"/>
      <c r="T13" s="65" t="s">
        <v>322</v>
      </c>
      <c r="U13" s="70" t="s">
        <v>206</v>
      </c>
      <c r="V13" s="71" t="s">
        <v>207</v>
      </c>
      <c r="W13" s="72" t="s">
        <v>208</v>
      </c>
      <c r="X13" s="73">
        <v>1925</v>
      </c>
      <c r="Y13" s="74">
        <v>24640</v>
      </c>
      <c r="Z13" s="72" t="s">
        <v>209</v>
      </c>
    </row>
    <row r="14" spans="1:30">
      <c r="A14" s="54"/>
      <c r="B14" s="54">
        <v>12</v>
      </c>
      <c r="C14" s="55" t="s">
        <v>406</v>
      </c>
      <c r="D14" s="56" t="s">
        <v>91</v>
      </c>
      <c r="E14" s="55" t="s">
        <v>493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403</v>
      </c>
      <c r="O14" s="65" t="s">
        <v>363</v>
      </c>
      <c r="P14" s="66" t="s">
        <v>227</v>
      </c>
      <c r="Q14" s="67"/>
      <c r="R14" s="68" t="s">
        <v>392</v>
      </c>
      <c r="S14" s="69"/>
      <c r="T14" s="65" t="s">
        <v>494</v>
      </c>
      <c r="U14" s="70" t="s">
        <v>93</v>
      </c>
      <c r="V14" s="71" t="s">
        <v>94</v>
      </c>
      <c r="W14" s="72" t="s">
        <v>95</v>
      </c>
      <c r="X14" s="73">
        <v>1872</v>
      </c>
      <c r="Y14" s="74">
        <v>23587.200000000001</v>
      </c>
      <c r="Z14" s="72" t="s">
        <v>83</v>
      </c>
      <c r="AA14" s="127">
        <v>46014.568749999999</v>
      </c>
    </row>
    <row r="15" spans="1:30" ht="22.5">
      <c r="A15" s="54"/>
      <c r="B15" s="54">
        <v>14</v>
      </c>
      <c r="C15" s="55" t="s">
        <v>376</v>
      </c>
      <c r="D15" s="76" t="s">
        <v>109</v>
      </c>
      <c r="E15" s="75" t="s">
        <v>262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407</v>
      </c>
      <c r="O15" s="65" t="s">
        <v>363</v>
      </c>
      <c r="P15" s="66" t="s">
        <v>408</v>
      </c>
      <c r="Q15" s="67"/>
      <c r="R15" s="68" t="s">
        <v>366</v>
      </c>
      <c r="S15" s="69" t="s">
        <v>409</v>
      </c>
      <c r="T15" s="65" t="s">
        <v>323</v>
      </c>
      <c r="U15" s="70" t="s">
        <v>112</v>
      </c>
      <c r="V15" s="71" t="s">
        <v>113</v>
      </c>
      <c r="W15" s="72" t="s">
        <v>114</v>
      </c>
      <c r="X15" s="73">
        <v>1875</v>
      </c>
      <c r="Y15" s="74">
        <v>23197.5</v>
      </c>
      <c r="Z15" s="72" t="s">
        <v>102</v>
      </c>
      <c r="AA15" s="127">
        <v>46016.414074074077</v>
      </c>
    </row>
    <row r="16" spans="1:30">
      <c r="A16" s="54"/>
      <c r="B16" s="54">
        <v>15</v>
      </c>
      <c r="C16" s="55" t="s">
        <v>410</v>
      </c>
      <c r="D16" s="56" t="s">
        <v>96</v>
      </c>
      <c r="E16" s="55" t="s">
        <v>495</v>
      </c>
      <c r="F16" s="57">
        <v>1947</v>
      </c>
      <c r="G16" s="58">
        <v>23364</v>
      </c>
      <c r="H16" s="59" t="s">
        <v>384</v>
      </c>
      <c r="I16" s="60"/>
      <c r="J16" s="61"/>
      <c r="K16" s="62"/>
      <c r="L16" s="60">
        <v>46013</v>
      </c>
      <c r="M16" s="63"/>
      <c r="N16" s="64" t="s">
        <v>379</v>
      </c>
      <c r="O16" s="65" t="s">
        <v>363</v>
      </c>
      <c r="P16" s="66" t="s">
        <v>411</v>
      </c>
      <c r="Q16" s="67"/>
      <c r="R16" s="68" t="s">
        <v>366</v>
      </c>
      <c r="S16" s="69" t="s">
        <v>412</v>
      </c>
      <c r="T16" s="65" t="s">
        <v>496</v>
      </c>
      <c r="U16" s="70" t="s">
        <v>99</v>
      </c>
      <c r="V16" s="71" t="s">
        <v>100</v>
      </c>
      <c r="W16" s="72" t="s">
        <v>101</v>
      </c>
      <c r="X16" s="73">
        <v>1947</v>
      </c>
      <c r="Y16" s="74">
        <v>24349.14</v>
      </c>
      <c r="Z16" s="72" t="s">
        <v>102</v>
      </c>
      <c r="AA16" s="127">
        <v>46015.186863425923</v>
      </c>
    </row>
    <row r="17" spans="1:27">
      <c r="A17" s="54">
        <v>1</v>
      </c>
      <c r="B17" s="54">
        <v>16</v>
      </c>
      <c r="C17" s="75" t="s">
        <v>410</v>
      </c>
      <c r="D17" s="76" t="s">
        <v>103</v>
      </c>
      <c r="E17" s="75" t="s">
        <v>266</v>
      </c>
      <c r="F17" s="77">
        <v>1958</v>
      </c>
      <c r="G17" s="78">
        <v>23496</v>
      </c>
      <c r="H17" s="79" t="s">
        <v>384</v>
      </c>
      <c r="I17" s="80"/>
      <c r="J17" s="61"/>
      <c r="K17" s="62"/>
      <c r="L17" s="80">
        <v>46013</v>
      </c>
      <c r="M17" s="81"/>
      <c r="N17" s="64" t="s">
        <v>413</v>
      </c>
      <c r="O17" s="65" t="s">
        <v>363</v>
      </c>
      <c r="P17" s="66" t="s">
        <v>411</v>
      </c>
      <c r="Q17" s="67"/>
      <c r="R17" s="68" t="s">
        <v>366</v>
      </c>
      <c r="S17" s="69" t="s">
        <v>414</v>
      </c>
      <c r="T17" s="65" t="s">
        <v>325</v>
      </c>
      <c r="U17" s="70" t="s">
        <v>104</v>
      </c>
      <c r="V17" s="71" t="s">
        <v>100</v>
      </c>
      <c r="W17" s="72" t="s">
        <v>105</v>
      </c>
      <c r="X17" s="73">
        <v>1958</v>
      </c>
      <c r="Y17" s="74">
        <v>24486.83</v>
      </c>
      <c r="Z17" s="72" t="s">
        <v>102</v>
      </c>
      <c r="AA17" s="127">
        <v>46015.741354166668</v>
      </c>
    </row>
    <row r="18" spans="1:27">
      <c r="A18" s="54">
        <v>1</v>
      </c>
      <c r="B18" s="54">
        <v>17</v>
      </c>
      <c r="C18" s="75" t="s">
        <v>410</v>
      </c>
      <c r="D18" s="56" t="s">
        <v>106</v>
      </c>
      <c r="E18" s="55" t="s">
        <v>497</v>
      </c>
      <c r="F18" s="57">
        <v>1953</v>
      </c>
      <c r="G18" s="78">
        <v>23436</v>
      </c>
      <c r="H18" s="59" t="s">
        <v>384</v>
      </c>
      <c r="I18" s="60"/>
      <c r="J18" s="61"/>
      <c r="K18" s="62"/>
      <c r="L18" s="60">
        <v>46013</v>
      </c>
      <c r="M18" s="63"/>
      <c r="N18" s="64" t="s">
        <v>413</v>
      </c>
      <c r="O18" s="65" t="s">
        <v>363</v>
      </c>
      <c r="P18" s="66" t="s">
        <v>411</v>
      </c>
      <c r="Q18" s="67"/>
      <c r="R18" s="68" t="s">
        <v>366</v>
      </c>
      <c r="S18" s="69" t="s">
        <v>415</v>
      </c>
      <c r="T18" s="65" t="s">
        <v>496</v>
      </c>
      <c r="U18" s="70" t="s">
        <v>107</v>
      </c>
      <c r="V18" s="71" t="s">
        <v>100</v>
      </c>
      <c r="W18" s="72" t="s">
        <v>108</v>
      </c>
      <c r="X18" s="73">
        <v>1953</v>
      </c>
      <c r="Y18" s="74">
        <v>24424.28</v>
      </c>
      <c r="Z18" s="72" t="s">
        <v>102</v>
      </c>
      <c r="AA18" s="127">
        <v>46015.185624999998</v>
      </c>
    </row>
    <row r="19" spans="1:27">
      <c r="A19" s="54"/>
      <c r="B19" s="54">
        <v>18</v>
      </c>
      <c r="C19" s="55" t="s">
        <v>410</v>
      </c>
      <c r="D19" s="56" t="s">
        <v>118</v>
      </c>
      <c r="E19" s="55" t="s">
        <v>268</v>
      </c>
      <c r="F19" s="57">
        <v>1953</v>
      </c>
      <c r="G19" s="58">
        <v>23436</v>
      </c>
      <c r="H19" s="59" t="s">
        <v>384</v>
      </c>
      <c r="I19" s="60"/>
      <c r="J19" s="88"/>
      <c r="K19" s="62"/>
      <c r="L19" s="60">
        <v>46013</v>
      </c>
      <c r="M19" s="63"/>
      <c r="N19" s="64" t="s">
        <v>413</v>
      </c>
      <c r="O19" s="65" t="s">
        <v>363</v>
      </c>
      <c r="P19" s="66" t="s">
        <v>411</v>
      </c>
      <c r="Q19" s="67"/>
      <c r="R19" s="68" t="s">
        <v>366</v>
      </c>
      <c r="S19" s="69" t="s">
        <v>415</v>
      </c>
      <c r="T19" s="65" t="s">
        <v>325</v>
      </c>
      <c r="U19" s="70" t="s">
        <v>119</v>
      </c>
      <c r="V19" s="71" t="s">
        <v>100</v>
      </c>
      <c r="W19" s="72" t="s">
        <v>120</v>
      </c>
      <c r="X19" s="73">
        <v>1953</v>
      </c>
      <c r="Y19" s="74">
        <v>24424.29</v>
      </c>
      <c r="Z19" s="85" t="s">
        <v>102</v>
      </c>
      <c r="AA19" s="127">
        <v>46015.643854166665</v>
      </c>
    </row>
    <row r="20" spans="1:27">
      <c r="A20" s="54"/>
      <c r="B20" s="54">
        <v>19</v>
      </c>
      <c r="C20" s="55" t="s">
        <v>388</v>
      </c>
      <c r="D20" s="56" t="s">
        <v>133</v>
      </c>
      <c r="E20" s="55" t="s">
        <v>270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403</v>
      </c>
      <c r="O20" s="65" t="s">
        <v>363</v>
      </c>
      <c r="P20" s="66" t="s">
        <v>404</v>
      </c>
      <c r="Q20" s="67"/>
      <c r="R20" s="68" t="s">
        <v>392</v>
      </c>
      <c r="S20" s="69"/>
      <c r="T20" s="65" t="s">
        <v>326</v>
      </c>
      <c r="U20" s="70" t="s">
        <v>213</v>
      </c>
      <c r="V20" s="84" t="s">
        <v>214</v>
      </c>
      <c r="W20" s="72" t="s">
        <v>215</v>
      </c>
      <c r="X20" s="73">
        <v>1925</v>
      </c>
      <c r="Y20" s="74">
        <v>24640</v>
      </c>
      <c r="Z20" s="85" t="s">
        <v>86</v>
      </c>
    </row>
    <row r="21" spans="1:27">
      <c r="A21" s="54"/>
      <c r="B21" s="54">
        <v>20</v>
      </c>
      <c r="C21" s="55" t="s">
        <v>406</v>
      </c>
      <c r="D21" s="56" t="s">
        <v>135</v>
      </c>
      <c r="E21" s="55" t="s">
        <v>271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416</v>
      </c>
      <c r="O21" s="65" t="s">
        <v>363</v>
      </c>
      <c r="P21" s="66" t="s">
        <v>417</v>
      </c>
      <c r="Q21" s="67"/>
      <c r="R21" s="68" t="s">
        <v>366</v>
      </c>
      <c r="S21" s="69" t="s">
        <v>418</v>
      </c>
      <c r="T21" s="65" t="s">
        <v>327</v>
      </c>
      <c r="U21" s="70" t="s">
        <v>272</v>
      </c>
      <c r="V21" s="71" t="s">
        <v>211</v>
      </c>
      <c r="W21" s="72" t="s">
        <v>273</v>
      </c>
      <c r="X21" s="73">
        <v>1568</v>
      </c>
      <c r="Y21" s="74">
        <v>24202.080000000002</v>
      </c>
      <c r="Z21" s="72" t="s">
        <v>265</v>
      </c>
    </row>
    <row r="22" spans="1:27">
      <c r="A22" s="54"/>
      <c r="B22" s="54">
        <v>21</v>
      </c>
      <c r="C22" s="55" t="s">
        <v>376</v>
      </c>
      <c r="D22" s="56" t="s">
        <v>144</v>
      </c>
      <c r="E22" s="55" t="s">
        <v>297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419</v>
      </c>
      <c r="O22" s="65" t="s">
        <v>363</v>
      </c>
      <c r="P22" s="66" t="s">
        <v>420</v>
      </c>
      <c r="Q22" s="67"/>
      <c r="R22" s="68" t="s">
        <v>366</v>
      </c>
      <c r="S22" s="69" t="s">
        <v>421</v>
      </c>
      <c r="T22" s="65" t="s">
        <v>330</v>
      </c>
      <c r="U22" s="70" t="s">
        <v>298</v>
      </c>
      <c r="V22" s="71" t="s">
        <v>299</v>
      </c>
      <c r="W22" s="72" t="s">
        <v>300</v>
      </c>
      <c r="X22" s="73">
        <v>1950</v>
      </c>
      <c r="Y22" s="74">
        <v>24219</v>
      </c>
      <c r="Z22" s="72" t="s">
        <v>265</v>
      </c>
    </row>
    <row r="23" spans="1:27">
      <c r="A23" s="54"/>
      <c r="B23" s="54">
        <v>22</v>
      </c>
      <c r="C23" s="55" t="s">
        <v>359</v>
      </c>
      <c r="D23" s="56" t="s">
        <v>146</v>
      </c>
      <c r="E23" s="55" t="s">
        <v>301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397</v>
      </c>
      <c r="O23" s="65" t="s">
        <v>363</v>
      </c>
      <c r="P23" s="66" t="s">
        <v>364</v>
      </c>
      <c r="Q23" s="67"/>
      <c r="R23" s="68" t="s">
        <v>366</v>
      </c>
      <c r="S23" s="69" t="s">
        <v>422</v>
      </c>
      <c r="T23" s="65" t="s">
        <v>331</v>
      </c>
      <c r="U23" s="70" t="s">
        <v>302</v>
      </c>
      <c r="V23" s="84" t="s">
        <v>225</v>
      </c>
      <c r="W23" s="72" t="s">
        <v>303</v>
      </c>
      <c r="X23" s="73">
        <v>1960</v>
      </c>
      <c r="Y23" s="74">
        <v>24500</v>
      </c>
      <c r="Z23" s="85" t="s">
        <v>202</v>
      </c>
    </row>
    <row r="24" spans="1:27">
      <c r="A24" s="54"/>
      <c r="B24" s="54">
        <v>23</v>
      </c>
      <c r="C24" s="55" t="s">
        <v>423</v>
      </c>
      <c r="D24" s="56" t="s">
        <v>148</v>
      </c>
      <c r="E24" s="55" t="s">
        <v>226</v>
      </c>
      <c r="F24" s="57">
        <v>1500</v>
      </c>
      <c r="G24" s="58">
        <v>22500</v>
      </c>
      <c r="H24" s="59" t="s">
        <v>424</v>
      </c>
      <c r="I24" s="60"/>
      <c r="J24" s="61"/>
      <c r="K24" s="62"/>
      <c r="L24" s="60">
        <v>46016</v>
      </c>
      <c r="M24" s="63"/>
      <c r="N24" s="64" t="s">
        <v>407</v>
      </c>
      <c r="O24" s="65" t="s">
        <v>363</v>
      </c>
      <c r="P24" s="66" t="s">
        <v>425</v>
      </c>
      <c r="Q24" s="67"/>
      <c r="R24" s="68" t="s">
        <v>366</v>
      </c>
      <c r="S24" s="69" t="s">
        <v>426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7">
      <c r="A25" s="54"/>
      <c r="B25" s="54">
        <v>24</v>
      </c>
      <c r="C25" s="55" t="s">
        <v>359</v>
      </c>
      <c r="D25" s="56" t="s">
        <v>161</v>
      </c>
      <c r="E25" s="55" t="s">
        <v>234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427</v>
      </c>
      <c r="O25" s="65" t="s">
        <v>363</v>
      </c>
      <c r="P25" s="66" t="s">
        <v>364</v>
      </c>
      <c r="Q25" s="67"/>
      <c r="R25" s="68" t="s">
        <v>366</v>
      </c>
      <c r="S25" s="69" t="s">
        <v>428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7">
      <c r="A26" s="54"/>
      <c r="B26" s="54">
        <v>25</v>
      </c>
      <c r="C26" s="75" t="s">
        <v>376</v>
      </c>
      <c r="D26" s="89" t="s">
        <v>160</v>
      </c>
      <c r="E26" s="75" t="s">
        <v>232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379</v>
      </c>
      <c r="O26" s="65" t="s">
        <v>363</v>
      </c>
      <c r="P26" s="66" t="s">
        <v>380</v>
      </c>
      <c r="Q26" s="67"/>
      <c r="R26" s="68" t="s">
        <v>366</v>
      </c>
      <c r="S26" s="69" t="s">
        <v>429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7">
      <c r="A27" s="54"/>
      <c r="B27" s="54">
        <v>26</v>
      </c>
      <c r="C27" s="75" t="s">
        <v>376</v>
      </c>
      <c r="D27" s="56" t="s">
        <v>163</v>
      </c>
      <c r="E27" s="55" t="s">
        <v>237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430</v>
      </c>
      <c r="O27" s="65" t="s">
        <v>363</v>
      </c>
      <c r="P27" s="66" t="s">
        <v>425</v>
      </c>
      <c r="Q27" s="67"/>
      <c r="R27" s="68" t="s">
        <v>366</v>
      </c>
      <c r="S27" s="69" t="s">
        <v>431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7">
      <c r="A28" s="54"/>
      <c r="B28" s="54">
        <v>27</v>
      </c>
      <c r="C28" s="75" t="s">
        <v>359</v>
      </c>
      <c r="D28" s="56" t="s">
        <v>167</v>
      </c>
      <c r="E28" s="55" t="s">
        <v>241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432</v>
      </c>
      <c r="N28" s="64" t="s">
        <v>397</v>
      </c>
      <c r="O28" s="65" t="s">
        <v>363</v>
      </c>
      <c r="P28" s="66" t="s">
        <v>364</v>
      </c>
      <c r="Q28" s="67"/>
      <c r="R28" s="68" t="s">
        <v>366</v>
      </c>
      <c r="S28" s="69" t="s">
        <v>433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7">
      <c r="A29" s="54"/>
      <c r="B29" s="54">
        <v>28</v>
      </c>
      <c r="C29" s="75" t="s">
        <v>423</v>
      </c>
      <c r="D29" s="76" t="s">
        <v>168</v>
      </c>
      <c r="E29" s="75" t="s">
        <v>242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434</v>
      </c>
      <c r="O29" s="65" t="s">
        <v>363</v>
      </c>
      <c r="P29" s="66" t="s">
        <v>364</v>
      </c>
      <c r="Q29" s="67"/>
      <c r="R29" s="68" t="s">
        <v>366</v>
      </c>
      <c r="S29" s="69" t="s">
        <v>435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7">
      <c r="A30" s="54"/>
      <c r="B30" s="54">
        <v>29</v>
      </c>
      <c r="C30" s="55" t="s">
        <v>423</v>
      </c>
      <c r="D30" s="56" t="s">
        <v>169</v>
      </c>
      <c r="E30" s="55" t="s">
        <v>243</v>
      </c>
      <c r="F30" s="57">
        <v>1500</v>
      </c>
      <c r="G30" s="58">
        <v>22500</v>
      </c>
      <c r="H30" s="59" t="s">
        <v>436</v>
      </c>
      <c r="I30" s="60"/>
      <c r="J30" s="61"/>
      <c r="K30" s="62"/>
      <c r="L30" s="60">
        <v>46022</v>
      </c>
      <c r="M30" s="63"/>
      <c r="N30" s="64" t="s">
        <v>407</v>
      </c>
      <c r="O30" s="65" t="s">
        <v>363</v>
      </c>
      <c r="P30" s="66" t="s">
        <v>425</v>
      </c>
      <c r="Q30" s="67"/>
      <c r="R30" s="68" t="s">
        <v>366</v>
      </c>
      <c r="S30" s="69" t="s">
        <v>437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7">
      <c r="A31" s="86"/>
      <c r="B31" s="54">
        <v>30</v>
      </c>
      <c r="C31" s="55" t="s">
        <v>423</v>
      </c>
      <c r="D31" s="76" t="s">
        <v>170</v>
      </c>
      <c r="E31" s="55" t="s">
        <v>244</v>
      </c>
      <c r="F31" s="57">
        <v>1500</v>
      </c>
      <c r="G31" s="58">
        <v>22500</v>
      </c>
      <c r="H31" s="59" t="s">
        <v>436</v>
      </c>
      <c r="I31" s="60"/>
      <c r="J31" s="61"/>
      <c r="K31" s="62"/>
      <c r="L31" s="60">
        <v>46022</v>
      </c>
      <c r="M31" s="63"/>
      <c r="N31" s="64" t="s">
        <v>407</v>
      </c>
      <c r="O31" s="65" t="s">
        <v>363</v>
      </c>
      <c r="P31" s="66" t="s">
        <v>425</v>
      </c>
      <c r="Q31" s="67"/>
      <c r="R31" s="68" t="s">
        <v>366</v>
      </c>
      <c r="S31" s="69" t="s">
        <v>438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7">
      <c r="A32" s="54"/>
      <c r="B32" s="54">
        <v>31</v>
      </c>
      <c r="C32" s="75" t="s">
        <v>406</v>
      </c>
      <c r="D32" s="76" t="s">
        <v>156</v>
      </c>
      <c r="E32" s="90" t="s">
        <v>311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439</v>
      </c>
      <c r="O32" s="65" t="s">
        <v>363</v>
      </c>
      <c r="P32" s="66" t="s">
        <v>440</v>
      </c>
      <c r="Q32" s="87"/>
      <c r="R32" s="68" t="s">
        <v>392</v>
      </c>
      <c r="S32" s="69" t="s">
        <v>441</v>
      </c>
      <c r="T32" s="65" t="s">
        <v>337</v>
      </c>
      <c r="U32" s="70" t="s">
        <v>312</v>
      </c>
      <c r="V32" s="71" t="s">
        <v>228</v>
      </c>
      <c r="W32" s="72" t="s">
        <v>313</v>
      </c>
      <c r="X32" s="73">
        <v>1872</v>
      </c>
      <c r="Y32" s="74">
        <v>23587.200000000001</v>
      </c>
      <c r="Z32" s="72" t="s">
        <v>309</v>
      </c>
    </row>
    <row r="33" spans="1:26">
      <c r="A33" s="54"/>
      <c r="B33" s="54">
        <v>32</v>
      </c>
      <c r="C33" s="75" t="s">
        <v>376</v>
      </c>
      <c r="D33" s="76" t="s">
        <v>442</v>
      </c>
      <c r="E33" s="75" t="s">
        <v>443</v>
      </c>
      <c r="F33" s="57">
        <v>1980</v>
      </c>
      <c r="G33" s="78">
        <v>23760</v>
      </c>
      <c r="H33" s="79"/>
      <c r="I33" s="60"/>
      <c r="J33" s="61"/>
      <c r="K33" s="62"/>
      <c r="L33" s="80" t="s">
        <v>444</v>
      </c>
      <c r="M33" s="81"/>
      <c r="N33" s="64" t="s">
        <v>445</v>
      </c>
      <c r="O33" s="65" t="s">
        <v>363</v>
      </c>
      <c r="P33" s="66" t="s">
        <v>446</v>
      </c>
      <c r="Q33" s="67"/>
      <c r="R33" s="68" t="s">
        <v>366</v>
      </c>
      <c r="S33" s="69" t="s">
        <v>447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359</v>
      </c>
      <c r="D34" s="76" t="s">
        <v>177</v>
      </c>
      <c r="E34" s="75" t="s">
        <v>251</v>
      </c>
      <c r="F34" s="77">
        <v>1863</v>
      </c>
      <c r="G34" s="78">
        <v>22356</v>
      </c>
      <c r="H34" s="79"/>
      <c r="I34" s="80"/>
      <c r="J34" s="61"/>
      <c r="K34" s="62"/>
      <c r="L34" s="80" t="s">
        <v>444</v>
      </c>
      <c r="M34" s="81" t="s">
        <v>448</v>
      </c>
      <c r="N34" s="64" t="s">
        <v>379</v>
      </c>
      <c r="O34" s="65" t="s">
        <v>363</v>
      </c>
      <c r="P34" s="66" t="s">
        <v>411</v>
      </c>
      <c r="Q34" s="67"/>
      <c r="R34" s="68" t="s">
        <v>366</v>
      </c>
      <c r="S34" s="69" t="s">
        <v>449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359</v>
      </c>
      <c r="D35" s="76" t="s">
        <v>450</v>
      </c>
      <c r="E35" s="75" t="s">
        <v>253</v>
      </c>
      <c r="F35" s="57">
        <v>1957</v>
      </c>
      <c r="G35" s="78">
        <v>23484</v>
      </c>
      <c r="H35" s="79"/>
      <c r="I35" s="80"/>
      <c r="J35" s="61"/>
      <c r="K35" s="62"/>
      <c r="L35" s="80" t="s">
        <v>444</v>
      </c>
      <c r="M35" s="81" t="s">
        <v>451</v>
      </c>
      <c r="N35" s="64" t="s">
        <v>452</v>
      </c>
      <c r="O35" s="65" t="s">
        <v>363</v>
      </c>
      <c r="P35" s="66" t="s">
        <v>453</v>
      </c>
      <c r="Q35" s="67"/>
      <c r="R35" s="68" t="s">
        <v>366</v>
      </c>
      <c r="S35" s="69" t="s">
        <v>454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406</v>
      </c>
      <c r="D36" s="76" t="s">
        <v>173</v>
      </c>
      <c r="E36" s="75" t="s">
        <v>248</v>
      </c>
      <c r="F36" s="77">
        <v>1567</v>
      </c>
      <c r="G36" s="78">
        <v>23505</v>
      </c>
      <c r="H36" s="79"/>
      <c r="I36" s="80"/>
      <c r="J36" s="61"/>
      <c r="K36" s="62"/>
      <c r="L36" s="80" t="s">
        <v>444</v>
      </c>
      <c r="M36" s="81"/>
      <c r="N36" s="64" t="s">
        <v>455</v>
      </c>
      <c r="O36" s="65" t="s">
        <v>363</v>
      </c>
      <c r="P36" s="66" t="s">
        <v>456</v>
      </c>
      <c r="Q36" s="67"/>
      <c r="R36" s="68" t="s">
        <v>366</v>
      </c>
      <c r="S36" s="69" t="s">
        <v>457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406</v>
      </c>
      <c r="D37" s="56" t="s">
        <v>172</v>
      </c>
      <c r="E37" s="55" t="s">
        <v>246</v>
      </c>
      <c r="F37" s="57">
        <v>1567</v>
      </c>
      <c r="G37" s="58">
        <v>23505</v>
      </c>
      <c r="H37" s="59"/>
      <c r="I37" s="60"/>
      <c r="J37" s="61"/>
      <c r="K37" s="62"/>
      <c r="L37" s="60" t="s">
        <v>444</v>
      </c>
      <c r="M37" s="63"/>
      <c r="N37" s="64" t="s">
        <v>434</v>
      </c>
      <c r="O37" s="65" t="s">
        <v>363</v>
      </c>
      <c r="P37" s="66" t="s">
        <v>458</v>
      </c>
      <c r="Q37" s="67"/>
      <c r="R37" s="68" t="s">
        <v>366</v>
      </c>
      <c r="S37" s="69" t="s">
        <v>459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460</v>
      </c>
      <c r="D38" s="56" t="s">
        <v>162</v>
      </c>
      <c r="E38" s="55" t="s">
        <v>236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461</v>
      </c>
      <c r="O38" s="65" t="s">
        <v>363</v>
      </c>
      <c r="P38" s="66" t="s">
        <v>462</v>
      </c>
      <c r="Q38" s="87"/>
      <c r="R38" s="68" t="s">
        <v>366</v>
      </c>
      <c r="S38" s="69" t="s">
        <v>463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460</v>
      </c>
      <c r="D39" s="76" t="s">
        <v>150</v>
      </c>
      <c r="E39" s="75" t="s">
        <v>305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464</v>
      </c>
      <c r="O39" s="65" t="s">
        <v>363</v>
      </c>
      <c r="P39" s="66" t="s">
        <v>420</v>
      </c>
      <c r="Q39" s="87"/>
      <c r="R39" s="68" t="s">
        <v>366</v>
      </c>
      <c r="S39" s="69" t="s">
        <v>465</v>
      </c>
      <c r="T39" s="65" t="s">
        <v>336</v>
      </c>
      <c r="U39" s="70" t="s">
        <v>306</v>
      </c>
      <c r="V39" s="84" t="s">
        <v>211</v>
      </c>
      <c r="W39" s="72" t="s">
        <v>307</v>
      </c>
      <c r="X39" s="73">
        <v>1950</v>
      </c>
      <c r="Y39" s="74">
        <v>24219</v>
      </c>
      <c r="Z39" s="85" t="s">
        <v>265</v>
      </c>
    </row>
    <row r="40" spans="1:26">
      <c r="A40" s="54"/>
      <c r="B40" s="54">
        <v>39</v>
      </c>
      <c r="C40" s="55" t="s">
        <v>423</v>
      </c>
      <c r="D40" s="56" t="s">
        <v>171</v>
      </c>
      <c r="E40" s="82" t="s">
        <v>245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407</v>
      </c>
      <c r="O40" s="65" t="s">
        <v>363</v>
      </c>
      <c r="P40" s="66" t="s">
        <v>425</v>
      </c>
      <c r="Q40" s="87"/>
      <c r="R40" s="68" t="s">
        <v>366</v>
      </c>
      <c r="S40" s="69" t="s">
        <v>466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406</v>
      </c>
      <c r="D41" s="76" t="s">
        <v>467</v>
      </c>
      <c r="E41" s="55" t="s">
        <v>468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469</v>
      </c>
      <c r="O41" s="65" t="s">
        <v>363</v>
      </c>
      <c r="P41" s="64" t="s">
        <v>470</v>
      </c>
      <c r="Q41" s="87"/>
      <c r="R41" s="68" t="s">
        <v>471</v>
      </c>
      <c r="S41" s="69" t="s">
        <v>472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406</v>
      </c>
      <c r="D42" s="82" t="s">
        <v>473</v>
      </c>
      <c r="E42" s="55" t="s">
        <v>474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469</v>
      </c>
      <c r="O42" s="65" t="s">
        <v>363</v>
      </c>
      <c r="P42" s="64" t="s">
        <v>470</v>
      </c>
      <c r="Q42" s="91"/>
      <c r="R42" s="68" t="s">
        <v>471</v>
      </c>
      <c r="S42" s="82" t="s">
        <v>475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Q86"/>
  <sheetViews>
    <sheetView workbookViewId="0">
      <selection activeCell="C24" sqref="C24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61</v>
      </c>
      <c r="B1" s="11" t="s">
        <v>62</v>
      </c>
      <c r="C1" s="11" t="s">
        <v>63</v>
      </c>
      <c r="D1" s="11" t="s">
        <v>64</v>
      </c>
      <c r="E1" s="27" t="s">
        <v>65</v>
      </c>
      <c r="F1" s="11" t="s">
        <v>66</v>
      </c>
      <c r="G1" s="28" t="s">
        <v>67</v>
      </c>
      <c r="H1" s="11" t="s">
        <v>68</v>
      </c>
      <c r="I1" s="29" t="s">
        <v>69</v>
      </c>
      <c r="J1" s="11" t="s">
        <v>70</v>
      </c>
      <c r="K1" s="30" t="s">
        <v>71</v>
      </c>
      <c r="L1" s="31" t="s">
        <v>72</v>
      </c>
      <c r="M1" s="15" t="s">
        <v>70</v>
      </c>
      <c r="N1" s="11" t="s">
        <v>73</v>
      </c>
      <c r="O1" s="15" t="str">
        <f ca="1">TEXT(NOW(),"mm/dd aaa hh:mm")</f>
        <v>12/25 목 21:35</v>
      </c>
      <c r="P1" s="27" t="s">
        <v>74</v>
      </c>
      <c r="Q1" s="27" t="s">
        <v>75</v>
      </c>
      <c r="R1" s="27" t="s">
        <v>0</v>
      </c>
      <c r="S1" s="32" t="s">
        <v>76</v>
      </c>
      <c r="T1" s="33" t="s">
        <v>77</v>
      </c>
      <c r="U1" s="27" t="s">
        <v>78</v>
      </c>
      <c r="V1" t="s">
        <v>318</v>
      </c>
      <c r="W1" s="10" t="s">
        <v>61</v>
      </c>
      <c r="X1" s="11" t="s">
        <v>62</v>
      </c>
      <c r="Y1" s="11" t="s">
        <v>63</v>
      </c>
      <c r="Z1" s="11" t="s">
        <v>64</v>
      </c>
      <c r="AA1" s="11" t="s">
        <v>65</v>
      </c>
      <c r="AB1" s="11" t="s">
        <v>66</v>
      </c>
      <c r="AC1" s="12" t="s">
        <v>67</v>
      </c>
      <c r="AD1" s="11" t="s">
        <v>68</v>
      </c>
      <c r="AE1" s="13" t="s">
        <v>69</v>
      </c>
      <c r="AF1" s="11" t="s">
        <v>70</v>
      </c>
      <c r="AG1" s="14" t="s">
        <v>71</v>
      </c>
      <c r="AH1" s="3" t="s">
        <v>72</v>
      </c>
      <c r="AI1" s="15" t="s">
        <v>70</v>
      </c>
      <c r="AJ1" s="11" t="s">
        <v>73</v>
      </c>
      <c r="AK1" s="15" t="str">
        <f ca="1">TEXT(NOW(),"mm/dd aaa hh:mm")</f>
        <v>12/25 목 21:35</v>
      </c>
      <c r="AL1" s="16" t="s">
        <v>74</v>
      </c>
      <c r="AM1" s="16" t="s">
        <v>75</v>
      </c>
      <c r="AN1" s="16" t="s">
        <v>0</v>
      </c>
      <c r="AO1" s="17" t="s">
        <v>76</v>
      </c>
      <c r="AP1" s="18" t="s">
        <v>77</v>
      </c>
      <c r="AQ1" s="16" t="s">
        <v>78</v>
      </c>
    </row>
    <row r="2" spans="1:43">
      <c r="A2" s="20">
        <v>1</v>
      </c>
      <c r="B2" s="21" t="s">
        <v>79</v>
      </c>
      <c r="C2" s="34" t="s">
        <v>567</v>
      </c>
      <c r="D2" s="21" t="s">
        <v>87</v>
      </c>
      <c r="E2" s="21" t="s">
        <v>563</v>
      </c>
      <c r="F2" s="21"/>
      <c r="G2" s="23">
        <v>1600</v>
      </c>
      <c r="H2" s="21"/>
      <c r="I2" s="24">
        <v>46012</v>
      </c>
      <c r="J2" s="21"/>
      <c r="K2" s="25">
        <v>46015</v>
      </c>
      <c r="L2" s="3" t="s">
        <v>693</v>
      </c>
      <c r="M2" s="26"/>
      <c r="N2" s="21"/>
      <c r="O2" s="21" t="s">
        <v>692</v>
      </c>
      <c r="P2" s="16" t="s">
        <v>567</v>
      </c>
      <c r="Q2" s="16" t="s">
        <v>193</v>
      </c>
      <c r="R2" s="16" t="s">
        <v>691</v>
      </c>
      <c r="S2" s="17">
        <v>1600</v>
      </c>
      <c r="T2" s="18">
        <v>6720</v>
      </c>
      <c r="U2" s="16" t="s">
        <v>86</v>
      </c>
      <c r="W2" s="10"/>
      <c r="X2" s="11"/>
      <c r="Y2" s="3"/>
      <c r="Z2" s="11"/>
      <c r="AA2" s="11"/>
      <c r="AB2" s="11"/>
      <c r="AC2" s="12"/>
      <c r="AD2" s="11" t="s">
        <v>190</v>
      </c>
      <c r="AE2" s="13">
        <v>46012</v>
      </c>
      <c r="AF2" s="11">
        <v>1</v>
      </c>
      <c r="AG2" s="14">
        <v>46015</v>
      </c>
      <c r="AH2" s="3" t="s">
        <v>191</v>
      </c>
      <c r="AI2" s="19">
        <v>20</v>
      </c>
      <c r="AJ2" s="11" t="s">
        <v>190</v>
      </c>
      <c r="AK2" s="11"/>
      <c r="AL2" s="16" t="s">
        <v>192</v>
      </c>
      <c r="AM2" s="16" t="s">
        <v>193</v>
      </c>
      <c r="AN2" s="16" t="s">
        <v>194</v>
      </c>
      <c r="AO2" s="17">
        <v>834</v>
      </c>
      <c r="AP2" s="18">
        <v>9174</v>
      </c>
      <c r="AQ2" s="16" t="s">
        <v>86</v>
      </c>
    </row>
    <row r="3" spans="1:43">
      <c r="A3" s="10">
        <v>1</v>
      </c>
      <c r="B3" s="11" t="s">
        <v>79</v>
      </c>
      <c r="C3" s="3" t="s">
        <v>128</v>
      </c>
      <c r="D3" s="11" t="s">
        <v>82</v>
      </c>
      <c r="E3" s="11" t="s">
        <v>254</v>
      </c>
      <c r="F3" s="11"/>
      <c r="G3" s="12">
        <v>834</v>
      </c>
      <c r="H3" s="11"/>
      <c r="I3" s="13">
        <v>46012</v>
      </c>
      <c r="J3" s="11"/>
      <c r="K3" s="14">
        <v>46015</v>
      </c>
      <c r="L3" s="3" t="s">
        <v>255</v>
      </c>
      <c r="M3" s="19"/>
      <c r="N3" s="11"/>
      <c r="O3" s="11" t="s">
        <v>319</v>
      </c>
      <c r="P3" s="16" t="s">
        <v>192</v>
      </c>
      <c r="Q3" s="16" t="s">
        <v>193</v>
      </c>
      <c r="R3" s="16" t="s">
        <v>194</v>
      </c>
      <c r="S3" s="17">
        <v>834</v>
      </c>
      <c r="T3" s="18">
        <v>9174</v>
      </c>
      <c r="U3" s="16" t="s">
        <v>86</v>
      </c>
      <c r="W3" s="10"/>
      <c r="X3" s="11"/>
      <c r="Y3" s="3"/>
      <c r="Z3" s="11"/>
      <c r="AA3" s="11"/>
      <c r="AB3" s="11"/>
      <c r="AC3" s="12"/>
      <c r="AD3" s="11" t="s">
        <v>190</v>
      </c>
      <c r="AE3" s="13">
        <v>46012</v>
      </c>
      <c r="AF3" s="11">
        <v>1</v>
      </c>
      <c r="AG3" s="14"/>
      <c r="AH3" s="3"/>
      <c r="AI3" s="19">
        <v>20</v>
      </c>
      <c r="AJ3" s="11" t="s">
        <v>190</v>
      </c>
      <c r="AK3" s="11"/>
      <c r="AL3" s="16" t="s">
        <v>195</v>
      </c>
      <c r="AM3" s="16" t="s">
        <v>193</v>
      </c>
      <c r="AN3" s="16" t="s">
        <v>196</v>
      </c>
      <c r="AO3" s="17">
        <v>750</v>
      </c>
      <c r="AP3" s="18">
        <v>6000</v>
      </c>
      <c r="AQ3" s="16" t="s">
        <v>86</v>
      </c>
    </row>
    <row r="4" spans="1:43">
      <c r="A4" s="10">
        <v>1</v>
      </c>
      <c r="B4" s="11" t="s">
        <v>79</v>
      </c>
      <c r="C4" s="3" t="s">
        <v>129</v>
      </c>
      <c r="D4" s="11" t="s">
        <v>81</v>
      </c>
      <c r="E4" s="11" t="s">
        <v>256</v>
      </c>
      <c r="F4" s="11"/>
      <c r="G4" s="12">
        <v>750</v>
      </c>
      <c r="H4" s="11"/>
      <c r="I4" s="13">
        <v>46012</v>
      </c>
      <c r="J4" s="11"/>
      <c r="K4" s="14">
        <v>46015</v>
      </c>
      <c r="L4" s="3" t="s">
        <v>257</v>
      </c>
      <c r="M4" s="19"/>
      <c r="N4" s="11"/>
      <c r="O4" s="11" t="s">
        <v>319</v>
      </c>
      <c r="P4" s="16" t="s">
        <v>195</v>
      </c>
      <c r="Q4" s="16" t="s">
        <v>193</v>
      </c>
      <c r="R4" s="16" t="s">
        <v>196</v>
      </c>
      <c r="S4" s="17">
        <v>750</v>
      </c>
      <c r="T4" s="18">
        <v>6000</v>
      </c>
      <c r="U4" s="16" t="s">
        <v>86</v>
      </c>
      <c r="W4" s="10"/>
      <c r="X4" s="11"/>
      <c r="Y4" s="3"/>
      <c r="Z4" s="11"/>
      <c r="AA4" s="11"/>
      <c r="AB4" s="11"/>
      <c r="AC4" s="12"/>
      <c r="AD4" s="11" t="s">
        <v>190</v>
      </c>
      <c r="AE4" s="13">
        <v>46012</v>
      </c>
      <c r="AF4" s="11">
        <v>1</v>
      </c>
      <c r="AG4" s="14">
        <v>46015</v>
      </c>
      <c r="AH4" s="3" t="s">
        <v>197</v>
      </c>
      <c r="AI4" s="19">
        <v>20</v>
      </c>
      <c r="AJ4" s="11" t="s">
        <v>190</v>
      </c>
      <c r="AK4" s="11"/>
      <c r="AL4" s="16" t="s">
        <v>198</v>
      </c>
      <c r="AM4" s="16" t="s">
        <v>193</v>
      </c>
      <c r="AN4" s="16" t="s">
        <v>199</v>
      </c>
      <c r="AO4" s="17">
        <v>952</v>
      </c>
      <c r="AP4" s="18">
        <v>7616</v>
      </c>
      <c r="AQ4" s="16" t="s">
        <v>86</v>
      </c>
    </row>
    <row r="5" spans="1:43">
      <c r="A5" s="10">
        <v>1</v>
      </c>
      <c r="B5" s="11" t="s">
        <v>79</v>
      </c>
      <c r="C5" s="3" t="s">
        <v>130</v>
      </c>
      <c r="D5" s="11" t="s">
        <v>82</v>
      </c>
      <c r="E5" s="11" t="s">
        <v>258</v>
      </c>
      <c r="F5" s="11"/>
      <c r="G5" s="12">
        <v>952</v>
      </c>
      <c r="H5" s="11"/>
      <c r="I5" s="13">
        <v>46012</v>
      </c>
      <c r="J5" s="11"/>
      <c r="K5" s="14">
        <v>46015</v>
      </c>
      <c r="L5" s="3" t="s">
        <v>259</v>
      </c>
      <c r="M5" s="19"/>
      <c r="N5" s="11"/>
      <c r="O5" s="11" t="s">
        <v>319</v>
      </c>
      <c r="P5" s="16" t="s">
        <v>198</v>
      </c>
      <c r="Q5" s="16" t="s">
        <v>193</v>
      </c>
      <c r="R5" s="16" t="s">
        <v>199</v>
      </c>
      <c r="S5" s="17">
        <v>952</v>
      </c>
      <c r="T5" s="18">
        <v>7616</v>
      </c>
      <c r="U5" s="16" t="s">
        <v>86</v>
      </c>
      <c r="W5" s="10"/>
      <c r="X5" s="11"/>
      <c r="Y5" s="3"/>
      <c r="Z5" s="11"/>
      <c r="AA5" s="11"/>
      <c r="AB5" s="11"/>
      <c r="AC5" s="12"/>
      <c r="AD5" s="11" t="s">
        <v>62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127</v>
      </c>
      <c r="AM5" s="16" t="s">
        <v>200</v>
      </c>
      <c r="AN5" s="16" t="s">
        <v>201</v>
      </c>
      <c r="AO5" s="17">
        <v>1800</v>
      </c>
      <c r="AP5" s="18">
        <v>21000</v>
      </c>
      <c r="AQ5" s="16" t="s">
        <v>202</v>
      </c>
    </row>
    <row r="6" spans="1:43">
      <c r="A6" s="10">
        <v>1</v>
      </c>
      <c r="B6" s="11" t="s">
        <v>79</v>
      </c>
      <c r="C6" s="3" t="s">
        <v>127</v>
      </c>
      <c r="D6" s="11" t="s">
        <v>121</v>
      </c>
      <c r="E6" s="11" t="s">
        <v>124</v>
      </c>
      <c r="F6" s="11"/>
      <c r="G6" s="12">
        <v>1800</v>
      </c>
      <c r="H6" s="11"/>
      <c r="I6" s="13">
        <v>46015</v>
      </c>
      <c r="J6" s="11"/>
      <c r="K6" s="14"/>
      <c r="L6" s="3"/>
      <c r="M6" s="19"/>
      <c r="N6" s="11"/>
      <c r="O6" s="11" t="s">
        <v>320</v>
      </c>
      <c r="P6" s="16" t="s">
        <v>127</v>
      </c>
      <c r="Q6" s="16" t="s">
        <v>200</v>
      </c>
      <c r="R6" s="16" t="s">
        <v>201</v>
      </c>
      <c r="S6" s="17">
        <v>1800</v>
      </c>
      <c r="T6" s="18">
        <v>21000</v>
      </c>
      <c r="U6" s="16" t="s">
        <v>202</v>
      </c>
      <c r="W6" s="10"/>
      <c r="X6" s="11"/>
      <c r="Y6" s="3"/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203</v>
      </c>
      <c r="AM6" s="16" t="s">
        <v>200</v>
      </c>
      <c r="AN6" s="16" t="s">
        <v>204</v>
      </c>
      <c r="AO6" s="17">
        <v>1100</v>
      </c>
      <c r="AP6" s="18">
        <v>10520</v>
      </c>
      <c r="AQ6" s="16" t="s">
        <v>202</v>
      </c>
    </row>
    <row r="7" spans="1:43">
      <c r="A7" s="10">
        <v>1</v>
      </c>
      <c r="B7" s="11" t="s">
        <v>79</v>
      </c>
      <c r="C7" s="3" t="s">
        <v>122</v>
      </c>
      <c r="D7" s="11" t="s">
        <v>123</v>
      </c>
      <c r="E7" s="11" t="s">
        <v>260</v>
      </c>
      <c r="F7" s="11"/>
      <c r="G7" s="12">
        <v>1100</v>
      </c>
      <c r="H7" s="11"/>
      <c r="I7" s="13">
        <v>46015</v>
      </c>
      <c r="J7" s="11"/>
      <c r="K7" s="14"/>
      <c r="L7" s="3"/>
      <c r="M7" s="19"/>
      <c r="N7" s="11"/>
      <c r="O7" s="11" t="s">
        <v>321</v>
      </c>
      <c r="P7" s="16" t="s">
        <v>203</v>
      </c>
      <c r="Q7" s="16" t="s">
        <v>200</v>
      </c>
      <c r="R7" s="16" t="s">
        <v>204</v>
      </c>
      <c r="S7" s="17">
        <v>1100</v>
      </c>
      <c r="T7" s="18">
        <v>10520</v>
      </c>
      <c r="U7" s="16" t="s">
        <v>202</v>
      </c>
      <c r="W7" s="10"/>
      <c r="X7" s="11"/>
      <c r="Y7" s="3"/>
      <c r="Z7" s="11"/>
      <c r="AA7" s="11"/>
      <c r="AB7" s="11"/>
      <c r="AC7" s="12"/>
      <c r="AD7" s="11" t="s">
        <v>205</v>
      </c>
      <c r="AE7" s="13">
        <v>46008</v>
      </c>
      <c r="AF7" s="11">
        <v>2</v>
      </c>
      <c r="AG7" s="14"/>
      <c r="AH7" s="3"/>
      <c r="AI7" s="19" t="s">
        <v>85</v>
      </c>
      <c r="AJ7" s="11" t="s">
        <v>205</v>
      </c>
      <c r="AK7" s="11"/>
      <c r="AL7" s="16" t="s">
        <v>206</v>
      </c>
      <c r="AM7" s="16" t="s">
        <v>207</v>
      </c>
      <c r="AN7" s="16" t="s">
        <v>208</v>
      </c>
      <c r="AO7" s="17">
        <v>1925</v>
      </c>
      <c r="AP7" s="18">
        <v>24640</v>
      </c>
      <c r="AQ7" s="16" t="s">
        <v>209</v>
      </c>
    </row>
    <row r="8" spans="1:43">
      <c r="A8" s="10">
        <v>1</v>
      </c>
      <c r="B8" s="11" t="s">
        <v>79</v>
      </c>
      <c r="C8" s="3" t="s">
        <v>131</v>
      </c>
      <c r="D8" s="11" t="s">
        <v>132</v>
      </c>
      <c r="E8" s="11" t="s">
        <v>261</v>
      </c>
      <c r="F8" s="11"/>
      <c r="G8" s="12">
        <v>1925</v>
      </c>
      <c r="H8" s="11"/>
      <c r="I8" s="13">
        <v>46008</v>
      </c>
      <c r="J8" s="11"/>
      <c r="K8" s="14"/>
      <c r="L8" s="3"/>
      <c r="M8" s="19"/>
      <c r="N8" s="11"/>
      <c r="O8" s="11" t="s">
        <v>322</v>
      </c>
      <c r="P8" s="16" t="s">
        <v>206</v>
      </c>
      <c r="Q8" s="16" t="s">
        <v>207</v>
      </c>
      <c r="R8" s="16" t="s">
        <v>208</v>
      </c>
      <c r="S8" s="17">
        <v>1925</v>
      </c>
      <c r="T8" s="18">
        <v>24640</v>
      </c>
      <c r="U8" s="16" t="s">
        <v>209</v>
      </c>
      <c r="W8" s="10"/>
      <c r="X8" s="11"/>
      <c r="Y8" s="3"/>
      <c r="Z8" s="11"/>
      <c r="AA8" s="11"/>
      <c r="AB8" s="11"/>
      <c r="AC8" s="12"/>
      <c r="AD8" s="11" t="s">
        <v>111</v>
      </c>
      <c r="AE8" s="13">
        <v>46013</v>
      </c>
      <c r="AF8" s="11">
        <v>2</v>
      </c>
      <c r="AG8" s="14"/>
      <c r="AH8" s="3"/>
      <c r="AI8" s="19"/>
      <c r="AJ8" s="11" t="s">
        <v>111</v>
      </c>
      <c r="AK8" s="11"/>
      <c r="AL8" s="16" t="s">
        <v>112</v>
      </c>
      <c r="AM8" s="16" t="s">
        <v>113</v>
      </c>
      <c r="AN8" s="16" t="s">
        <v>114</v>
      </c>
      <c r="AO8" s="17">
        <v>1875</v>
      </c>
      <c r="AP8" s="18">
        <v>23197.5</v>
      </c>
      <c r="AQ8" s="16" t="s">
        <v>102</v>
      </c>
    </row>
    <row r="9" spans="1:43">
      <c r="A9" s="10">
        <v>1</v>
      </c>
      <c r="B9" s="11" t="s">
        <v>79</v>
      </c>
      <c r="C9" s="3" t="s">
        <v>109</v>
      </c>
      <c r="D9" s="11" t="s">
        <v>110</v>
      </c>
      <c r="E9" s="11" t="s">
        <v>262</v>
      </c>
      <c r="F9" s="11"/>
      <c r="G9" s="12">
        <v>1875</v>
      </c>
      <c r="H9" s="11"/>
      <c r="I9" s="13">
        <v>46013</v>
      </c>
      <c r="J9" s="11"/>
      <c r="K9" s="14">
        <v>46016</v>
      </c>
      <c r="L9" s="3" t="s">
        <v>263</v>
      </c>
      <c r="M9" s="19"/>
      <c r="N9" s="11"/>
      <c r="O9" s="11" t="s">
        <v>323</v>
      </c>
      <c r="P9" s="16" t="s">
        <v>112</v>
      </c>
      <c r="Q9" s="16" t="s">
        <v>113</v>
      </c>
      <c r="R9" s="16" t="s">
        <v>114</v>
      </c>
      <c r="S9" s="17">
        <v>1875</v>
      </c>
      <c r="T9" s="18">
        <v>23197.5</v>
      </c>
      <c r="U9" s="16" t="s">
        <v>102</v>
      </c>
      <c r="W9" s="10"/>
      <c r="X9" s="11"/>
      <c r="Y9" s="3"/>
      <c r="Z9" s="11"/>
      <c r="AA9" s="11"/>
      <c r="AB9" s="11"/>
      <c r="AC9" s="12"/>
      <c r="AD9" s="11" t="s">
        <v>62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210</v>
      </c>
      <c r="AM9" s="16" t="s">
        <v>211</v>
      </c>
      <c r="AN9" s="16" t="s">
        <v>212</v>
      </c>
      <c r="AO9" s="17">
        <v>1980</v>
      </c>
      <c r="AP9" s="18">
        <v>24948</v>
      </c>
      <c r="AQ9" s="16" t="s">
        <v>202</v>
      </c>
    </row>
    <row r="10" spans="1:43">
      <c r="A10" s="10">
        <v>1</v>
      </c>
      <c r="B10" s="11" t="s">
        <v>79</v>
      </c>
      <c r="C10" s="3" t="s">
        <v>115</v>
      </c>
      <c r="D10" s="11" t="s">
        <v>110</v>
      </c>
      <c r="E10" s="11" t="s">
        <v>264</v>
      </c>
      <c r="F10" s="11"/>
      <c r="G10" s="12">
        <v>1980</v>
      </c>
      <c r="H10" s="11"/>
      <c r="I10" s="13">
        <v>46016</v>
      </c>
      <c r="J10" s="11"/>
      <c r="K10" s="14"/>
      <c r="L10" s="3"/>
      <c r="M10" s="19"/>
      <c r="N10" s="11"/>
      <c r="O10" s="11" t="s">
        <v>324</v>
      </c>
      <c r="P10" s="16" t="s">
        <v>210</v>
      </c>
      <c r="Q10" s="16" t="s">
        <v>211</v>
      </c>
      <c r="R10" s="16" t="s">
        <v>212</v>
      </c>
      <c r="S10" s="17">
        <v>1980</v>
      </c>
      <c r="T10" s="18">
        <v>24948</v>
      </c>
      <c r="U10" s="16" t="s">
        <v>265</v>
      </c>
      <c r="W10" s="10"/>
      <c r="X10" s="11"/>
      <c r="Y10" s="3"/>
      <c r="Z10" s="11"/>
      <c r="AA10" s="11"/>
      <c r="AB10" s="11"/>
      <c r="AC10" s="12"/>
      <c r="AD10" s="11" t="s">
        <v>98</v>
      </c>
      <c r="AE10" s="13">
        <v>46015</v>
      </c>
      <c r="AF10" s="11">
        <v>2</v>
      </c>
      <c r="AG10" s="14"/>
      <c r="AH10" s="3"/>
      <c r="AI10" s="19" t="s">
        <v>85</v>
      </c>
      <c r="AJ10" s="11" t="s">
        <v>98</v>
      </c>
      <c r="AK10" s="11"/>
      <c r="AL10" s="16" t="s">
        <v>104</v>
      </c>
      <c r="AM10" s="16" t="s">
        <v>100</v>
      </c>
      <c r="AN10" s="16" t="s">
        <v>105</v>
      </c>
      <c r="AO10" s="17">
        <v>1958</v>
      </c>
      <c r="AP10" s="18">
        <v>24486.83</v>
      </c>
      <c r="AQ10" s="16" t="s">
        <v>102</v>
      </c>
    </row>
    <row r="11" spans="1:43">
      <c r="A11" s="10">
        <v>1</v>
      </c>
      <c r="B11" s="11" t="s">
        <v>79</v>
      </c>
      <c r="C11" s="3" t="s">
        <v>103</v>
      </c>
      <c r="D11" s="11" t="s">
        <v>97</v>
      </c>
      <c r="E11" s="11" t="s">
        <v>266</v>
      </c>
      <c r="F11" s="11"/>
      <c r="G11" s="12">
        <v>1958</v>
      </c>
      <c r="H11" s="11"/>
      <c r="I11" s="13">
        <v>46013</v>
      </c>
      <c r="J11" s="11"/>
      <c r="K11" s="14">
        <v>46015</v>
      </c>
      <c r="L11" s="3" t="s">
        <v>267</v>
      </c>
      <c r="M11" s="19"/>
      <c r="N11" s="11"/>
      <c r="O11" s="11" t="s">
        <v>325</v>
      </c>
      <c r="P11" s="16" t="s">
        <v>104</v>
      </c>
      <c r="Q11" s="16" t="s">
        <v>100</v>
      </c>
      <c r="R11" s="16" t="s">
        <v>105</v>
      </c>
      <c r="S11" s="17">
        <v>1958</v>
      </c>
      <c r="T11" s="18">
        <v>24486.83</v>
      </c>
      <c r="U11" s="16" t="s">
        <v>102</v>
      </c>
      <c r="W11" s="10"/>
      <c r="X11" s="11"/>
      <c r="Y11" s="3"/>
      <c r="Z11" s="11"/>
      <c r="AA11" s="11"/>
      <c r="AB11" s="11"/>
      <c r="AC11" s="12"/>
      <c r="AD11" s="11" t="s">
        <v>98</v>
      </c>
      <c r="AE11" s="13">
        <v>46015</v>
      </c>
      <c r="AF11" s="11">
        <v>2</v>
      </c>
      <c r="AG11" s="14"/>
      <c r="AH11" s="3"/>
      <c r="AI11" s="19" t="s">
        <v>85</v>
      </c>
      <c r="AJ11" s="11" t="s">
        <v>98</v>
      </c>
      <c r="AK11" s="11"/>
      <c r="AL11" s="16" t="s">
        <v>119</v>
      </c>
      <c r="AM11" s="16" t="s">
        <v>100</v>
      </c>
      <c r="AN11" s="16" t="s">
        <v>120</v>
      </c>
      <c r="AO11" s="17">
        <v>1953</v>
      </c>
      <c r="AP11" s="18">
        <v>24424.29</v>
      </c>
      <c r="AQ11" s="16" t="s">
        <v>102</v>
      </c>
    </row>
    <row r="12" spans="1:43">
      <c r="A12" s="10">
        <v>1</v>
      </c>
      <c r="B12" s="11" t="s">
        <v>79</v>
      </c>
      <c r="C12" s="3" t="s">
        <v>118</v>
      </c>
      <c r="D12" s="11" t="s">
        <v>97</v>
      </c>
      <c r="E12" s="11" t="s">
        <v>268</v>
      </c>
      <c r="F12" s="11"/>
      <c r="G12" s="12">
        <v>1953</v>
      </c>
      <c r="H12" s="11"/>
      <c r="I12" s="13">
        <v>46013</v>
      </c>
      <c r="J12" s="11"/>
      <c r="K12" s="14">
        <v>46015</v>
      </c>
      <c r="L12" s="3" t="s">
        <v>269</v>
      </c>
      <c r="M12" s="19"/>
      <c r="N12" s="11"/>
      <c r="O12" s="11" t="s">
        <v>325</v>
      </c>
      <c r="P12" s="16" t="s">
        <v>119</v>
      </c>
      <c r="Q12" s="16" t="s">
        <v>100</v>
      </c>
      <c r="R12" s="16" t="s">
        <v>120</v>
      </c>
      <c r="S12" s="17">
        <v>1953</v>
      </c>
      <c r="T12" s="18">
        <v>24424.29</v>
      </c>
      <c r="U12" s="16" t="s">
        <v>102</v>
      </c>
      <c r="W12" s="20"/>
      <c r="X12" s="21"/>
      <c r="Y12" s="22"/>
      <c r="Z12" s="21"/>
      <c r="AA12" s="21"/>
      <c r="AB12" s="21"/>
      <c r="AC12" s="23"/>
      <c r="AD12" s="21" t="s">
        <v>205</v>
      </c>
      <c r="AE12" s="24">
        <v>46012</v>
      </c>
      <c r="AF12" s="21">
        <v>2</v>
      </c>
      <c r="AG12" s="25"/>
      <c r="AH12" s="22"/>
      <c r="AI12" s="26"/>
      <c r="AJ12" s="21" t="s">
        <v>205</v>
      </c>
      <c r="AK12" s="21"/>
      <c r="AL12" s="16" t="s">
        <v>213</v>
      </c>
      <c r="AM12" s="16" t="s">
        <v>214</v>
      </c>
      <c r="AN12" s="16" t="s">
        <v>215</v>
      </c>
      <c r="AO12" s="17">
        <v>1925</v>
      </c>
      <c r="AP12" s="18">
        <v>24640</v>
      </c>
      <c r="AQ12" s="16" t="s">
        <v>86</v>
      </c>
    </row>
    <row r="13" spans="1:43">
      <c r="A13" s="20">
        <v>1</v>
      </c>
      <c r="B13" s="21" t="s">
        <v>79</v>
      </c>
      <c r="C13" s="22" t="s">
        <v>133</v>
      </c>
      <c r="D13" s="21" t="s">
        <v>134</v>
      </c>
      <c r="E13" s="21" t="s">
        <v>270</v>
      </c>
      <c r="F13" s="21"/>
      <c r="G13" s="23">
        <v>1925</v>
      </c>
      <c r="H13" s="21"/>
      <c r="I13" s="24">
        <v>46012</v>
      </c>
      <c r="J13" s="21"/>
      <c r="K13" s="25"/>
      <c r="L13" s="3"/>
      <c r="M13" s="26"/>
      <c r="N13" s="21"/>
      <c r="O13" s="21" t="s">
        <v>326</v>
      </c>
      <c r="P13" s="16" t="s">
        <v>213</v>
      </c>
      <c r="Q13" s="16" t="s">
        <v>214</v>
      </c>
      <c r="R13" s="16" t="s">
        <v>215</v>
      </c>
      <c r="S13" s="17">
        <v>1925</v>
      </c>
      <c r="T13" s="18">
        <v>24640</v>
      </c>
      <c r="U13" s="16" t="s">
        <v>86</v>
      </c>
      <c r="W13" s="20"/>
      <c r="X13" s="21"/>
      <c r="Y13" s="22"/>
      <c r="Z13" s="21"/>
      <c r="AA13" s="21"/>
      <c r="AB13" s="21"/>
      <c r="AC13" s="23"/>
      <c r="AD13" s="21" t="s">
        <v>216</v>
      </c>
      <c r="AE13" s="24">
        <v>46016</v>
      </c>
      <c r="AF13" s="21">
        <v>2</v>
      </c>
      <c r="AG13" s="25"/>
      <c r="AH13" s="22"/>
      <c r="AI13" s="26"/>
      <c r="AJ13" s="21" t="s">
        <v>216</v>
      </c>
      <c r="AK13" s="21"/>
      <c r="AL13" s="16" t="s">
        <v>135</v>
      </c>
      <c r="AM13" s="16" t="s">
        <v>116</v>
      </c>
      <c r="AN13" s="16" t="s">
        <v>189</v>
      </c>
      <c r="AO13" s="17">
        <v>1568</v>
      </c>
      <c r="AP13" s="18">
        <v>24202.080000000002</v>
      </c>
      <c r="AQ13" s="16" t="s">
        <v>117</v>
      </c>
    </row>
    <row r="14" spans="1:43">
      <c r="A14" s="20">
        <v>1</v>
      </c>
      <c r="B14" s="21" t="s">
        <v>79</v>
      </c>
      <c r="C14" s="22" t="s">
        <v>135</v>
      </c>
      <c r="D14" s="21" t="s">
        <v>92</v>
      </c>
      <c r="E14" s="21" t="s">
        <v>271</v>
      </c>
      <c r="F14" s="21"/>
      <c r="G14" s="23">
        <v>1568</v>
      </c>
      <c r="H14" s="21"/>
      <c r="I14" s="24">
        <v>46016</v>
      </c>
      <c r="J14" s="21"/>
      <c r="K14" s="25"/>
      <c r="L14" s="3"/>
      <c r="M14" s="26"/>
      <c r="N14" s="21"/>
      <c r="O14" s="21" t="s">
        <v>327</v>
      </c>
      <c r="P14" s="16" t="s">
        <v>272</v>
      </c>
      <c r="Q14" s="16" t="s">
        <v>211</v>
      </c>
      <c r="R14" s="16" t="s">
        <v>273</v>
      </c>
      <c r="S14" s="17">
        <v>1568</v>
      </c>
      <c r="T14" s="18">
        <v>24202.080000000002</v>
      </c>
      <c r="U14" s="16" t="s">
        <v>265</v>
      </c>
      <c r="W14" s="20"/>
      <c r="X14" s="21"/>
      <c r="Y14" s="22"/>
      <c r="Z14" s="21"/>
      <c r="AA14" s="21"/>
      <c r="AB14" s="21"/>
      <c r="AC14" s="23"/>
      <c r="AD14" s="21" t="s">
        <v>217</v>
      </c>
      <c r="AE14" s="24">
        <v>46002</v>
      </c>
      <c r="AF14" s="21">
        <v>2</v>
      </c>
      <c r="AG14" s="25"/>
      <c r="AH14" s="22"/>
      <c r="AI14" s="26" t="s">
        <v>85</v>
      </c>
      <c r="AJ14" s="21" t="s">
        <v>217</v>
      </c>
      <c r="AK14" s="21"/>
      <c r="AL14" s="16"/>
      <c r="AM14" s="16" t="s">
        <v>218</v>
      </c>
      <c r="AN14" s="16"/>
      <c r="AO14" s="17"/>
      <c r="AP14" s="18"/>
      <c r="AQ14" s="16"/>
    </row>
    <row r="15" spans="1:43">
      <c r="A15" s="20">
        <v>2</v>
      </c>
      <c r="B15" s="21" t="s">
        <v>79</v>
      </c>
      <c r="C15" s="22" t="s">
        <v>137</v>
      </c>
      <c r="D15" s="21" t="s">
        <v>87</v>
      </c>
      <c r="E15" s="21" t="s">
        <v>279</v>
      </c>
      <c r="F15" s="21"/>
      <c r="G15" s="23">
        <v>1960</v>
      </c>
      <c r="H15" s="21"/>
      <c r="I15" s="24">
        <v>46002</v>
      </c>
      <c r="J15" s="21"/>
      <c r="K15" s="25"/>
      <c r="L15" s="3"/>
      <c r="M15" s="26"/>
      <c r="N15" s="21"/>
      <c r="O15" s="21" t="s">
        <v>330</v>
      </c>
      <c r="P15" s="16" t="s">
        <v>280</v>
      </c>
      <c r="Q15" s="16" t="s">
        <v>276</v>
      </c>
      <c r="R15" s="16" t="s">
        <v>281</v>
      </c>
      <c r="S15" s="17">
        <v>1960</v>
      </c>
      <c r="T15" s="18">
        <v>24500</v>
      </c>
      <c r="U15" s="16" t="s">
        <v>278</v>
      </c>
      <c r="W15" s="20"/>
      <c r="X15" s="21"/>
      <c r="Y15" s="22"/>
      <c r="Z15" s="21"/>
      <c r="AA15" s="21"/>
      <c r="AB15" s="21"/>
      <c r="AC15" s="23"/>
      <c r="AD15" s="21" t="s">
        <v>217</v>
      </c>
      <c r="AE15" s="24">
        <v>46003</v>
      </c>
      <c r="AF15" s="21">
        <v>2</v>
      </c>
      <c r="AG15" s="25"/>
      <c r="AH15" s="22"/>
      <c r="AI15" s="26" t="s">
        <v>85</v>
      </c>
      <c r="AJ15" s="21" t="s">
        <v>217</v>
      </c>
      <c r="AK15" s="21"/>
      <c r="AL15" s="16"/>
      <c r="AM15" s="16" t="s">
        <v>218</v>
      </c>
      <c r="AN15" s="16"/>
      <c r="AO15" s="17"/>
      <c r="AP15" s="18"/>
      <c r="AQ15" s="16"/>
    </row>
    <row r="16" spans="1:43">
      <c r="A16" s="20">
        <v>2</v>
      </c>
      <c r="B16" s="21" t="s">
        <v>79</v>
      </c>
      <c r="C16" s="22" t="s">
        <v>138</v>
      </c>
      <c r="D16" s="21" t="s">
        <v>87</v>
      </c>
      <c r="E16" s="21" t="s">
        <v>282</v>
      </c>
      <c r="F16" s="21"/>
      <c r="G16" s="23">
        <v>1960</v>
      </c>
      <c r="H16" s="21"/>
      <c r="I16" s="24">
        <v>46006</v>
      </c>
      <c r="J16" s="21"/>
      <c r="K16" s="25"/>
      <c r="L16" s="3"/>
      <c r="M16" s="26"/>
      <c r="N16" s="21"/>
      <c r="O16" s="21" t="s">
        <v>331</v>
      </c>
      <c r="P16" s="16" t="s">
        <v>283</v>
      </c>
      <c r="Q16" s="16" t="s">
        <v>219</v>
      </c>
      <c r="R16" s="16" t="s">
        <v>284</v>
      </c>
      <c r="S16" s="17">
        <v>1960</v>
      </c>
      <c r="T16" s="18">
        <v>24500</v>
      </c>
      <c r="U16" s="16" t="s">
        <v>285</v>
      </c>
      <c r="W16" s="20"/>
      <c r="X16" s="21"/>
      <c r="Y16" s="22"/>
      <c r="Z16" s="21"/>
      <c r="AA16" s="21"/>
      <c r="AB16" s="21"/>
      <c r="AC16" s="23"/>
      <c r="AD16" s="21" t="s">
        <v>190</v>
      </c>
      <c r="AE16" s="24">
        <v>46007</v>
      </c>
      <c r="AF16" s="21">
        <v>2</v>
      </c>
      <c r="AG16" s="25"/>
      <c r="AH16" s="22"/>
      <c r="AI16" s="26" t="s">
        <v>85</v>
      </c>
      <c r="AJ16" s="21" t="s">
        <v>190</v>
      </c>
      <c r="AK16" s="21"/>
      <c r="AL16" s="16"/>
      <c r="AM16" s="16" t="s">
        <v>219</v>
      </c>
      <c r="AN16" s="16"/>
      <c r="AO16" s="17"/>
      <c r="AP16" s="18"/>
      <c r="AQ16" s="16"/>
    </row>
    <row r="17" spans="1:43">
      <c r="A17" s="20">
        <v>2</v>
      </c>
      <c r="B17" s="21" t="s">
        <v>79</v>
      </c>
      <c r="C17" s="22" t="s">
        <v>139</v>
      </c>
      <c r="D17" s="21" t="s">
        <v>87</v>
      </c>
      <c r="E17" s="21" t="s">
        <v>286</v>
      </c>
      <c r="F17" s="21"/>
      <c r="G17" s="23">
        <v>1960</v>
      </c>
      <c r="H17" s="21"/>
      <c r="I17" s="24">
        <v>46006</v>
      </c>
      <c r="J17" s="21"/>
      <c r="K17" s="25"/>
      <c r="L17" s="3"/>
      <c r="M17" s="26"/>
      <c r="N17" s="21"/>
      <c r="O17" s="21" t="s">
        <v>331</v>
      </c>
      <c r="P17" s="16" t="s">
        <v>287</v>
      </c>
      <c r="Q17" s="16" t="s">
        <v>219</v>
      </c>
      <c r="R17" s="16" t="s">
        <v>288</v>
      </c>
      <c r="S17" s="17">
        <v>1960</v>
      </c>
      <c r="T17" s="18">
        <v>24500</v>
      </c>
      <c r="U17" s="16" t="s">
        <v>285</v>
      </c>
      <c r="W17" s="20"/>
      <c r="X17" s="21"/>
      <c r="Y17" s="22"/>
      <c r="Z17" s="21"/>
      <c r="AA17" s="21"/>
      <c r="AB17" s="21"/>
      <c r="AC17" s="23"/>
      <c r="AD17" s="21" t="s">
        <v>190</v>
      </c>
      <c r="AE17" s="24">
        <v>46007</v>
      </c>
      <c r="AF17" s="21">
        <v>2</v>
      </c>
      <c r="AG17" s="25"/>
      <c r="AH17" s="22"/>
      <c r="AI17" s="26" t="s">
        <v>85</v>
      </c>
      <c r="AJ17" s="21" t="s">
        <v>190</v>
      </c>
      <c r="AK17" s="21"/>
      <c r="AL17" s="16"/>
      <c r="AM17" s="16" t="s">
        <v>219</v>
      </c>
      <c r="AN17" s="16"/>
      <c r="AO17" s="17"/>
      <c r="AP17" s="18"/>
      <c r="AQ17" s="16"/>
    </row>
    <row r="18" spans="1:43">
      <c r="A18" s="20">
        <v>2</v>
      </c>
      <c r="B18" s="21" t="s">
        <v>79</v>
      </c>
      <c r="C18" s="22" t="s">
        <v>140</v>
      </c>
      <c r="D18" s="21" t="s">
        <v>134</v>
      </c>
      <c r="E18" s="21" t="s">
        <v>289</v>
      </c>
      <c r="F18" s="21"/>
      <c r="G18" s="23">
        <v>1925</v>
      </c>
      <c r="H18" s="21"/>
      <c r="I18" s="24">
        <v>46008</v>
      </c>
      <c r="J18" s="21"/>
      <c r="K18" s="25"/>
      <c r="L18" s="3"/>
      <c r="M18" s="26"/>
      <c r="N18" s="21"/>
      <c r="O18" s="21" t="s">
        <v>332</v>
      </c>
      <c r="P18" s="16" t="s">
        <v>694</v>
      </c>
      <c r="Q18" s="16" t="s">
        <v>220</v>
      </c>
      <c r="R18" s="16" t="s">
        <v>695</v>
      </c>
      <c r="S18" s="17">
        <v>1925</v>
      </c>
      <c r="T18" s="18">
        <v>24640</v>
      </c>
      <c r="U18" s="16" t="s">
        <v>209</v>
      </c>
      <c r="W18" s="20"/>
      <c r="X18" s="21"/>
      <c r="Y18" s="22"/>
      <c r="Z18" s="21"/>
      <c r="AA18" s="21"/>
      <c r="AB18" s="21"/>
      <c r="AC18" s="23"/>
      <c r="AD18" s="21" t="s">
        <v>80</v>
      </c>
      <c r="AE18" s="24">
        <v>46008</v>
      </c>
      <c r="AF18" s="21">
        <v>2</v>
      </c>
      <c r="AG18" s="25"/>
      <c r="AH18" s="22"/>
      <c r="AI18" s="26" t="s">
        <v>85</v>
      </c>
      <c r="AJ18" s="21" t="s">
        <v>80</v>
      </c>
      <c r="AK18" s="21"/>
      <c r="AL18" s="16"/>
      <c r="AM18" s="16" t="s">
        <v>220</v>
      </c>
      <c r="AN18" s="16"/>
      <c r="AO18" s="17"/>
      <c r="AP18" s="18"/>
      <c r="AQ18" s="16"/>
    </row>
    <row r="19" spans="1:43">
      <c r="A19" s="20">
        <v>2</v>
      </c>
      <c r="B19" s="21" t="s">
        <v>79</v>
      </c>
      <c r="C19" s="22" t="s">
        <v>141</v>
      </c>
      <c r="D19" s="21" t="s">
        <v>87</v>
      </c>
      <c r="E19" s="21" t="s">
        <v>290</v>
      </c>
      <c r="F19" s="21"/>
      <c r="G19" s="23">
        <v>1917</v>
      </c>
      <c r="H19" s="21"/>
      <c r="I19" s="24">
        <v>46008</v>
      </c>
      <c r="J19" s="21"/>
      <c r="K19" s="25"/>
      <c r="L19" s="3"/>
      <c r="M19" s="26"/>
      <c r="N19" s="21"/>
      <c r="O19" s="21" t="s">
        <v>333</v>
      </c>
      <c r="P19" s="16" t="s">
        <v>291</v>
      </c>
      <c r="Q19" s="16" t="s">
        <v>292</v>
      </c>
      <c r="R19" s="16" t="s">
        <v>293</v>
      </c>
      <c r="S19" s="17">
        <v>1917</v>
      </c>
      <c r="T19" s="18">
        <v>23962.5</v>
      </c>
      <c r="U19" s="16" t="s">
        <v>209</v>
      </c>
      <c r="W19" s="20"/>
      <c r="X19" s="21"/>
      <c r="Y19" s="22"/>
      <c r="Z19" s="21"/>
      <c r="AA19" s="21"/>
      <c r="AB19" s="21"/>
      <c r="AC19" s="23"/>
      <c r="AD19" s="21" t="s">
        <v>217</v>
      </c>
      <c r="AE19" s="24">
        <v>46008</v>
      </c>
      <c r="AF19" s="21">
        <v>2</v>
      </c>
      <c r="AG19" s="25"/>
      <c r="AH19" s="22"/>
      <c r="AI19" s="26" t="s">
        <v>85</v>
      </c>
      <c r="AJ19" s="21" t="s">
        <v>217</v>
      </c>
      <c r="AK19" s="21"/>
      <c r="AL19" s="16"/>
      <c r="AM19" s="16" t="s">
        <v>221</v>
      </c>
      <c r="AN19" s="16"/>
      <c r="AO19" s="17"/>
      <c r="AP19" s="18"/>
      <c r="AQ19" s="16"/>
    </row>
    <row r="20" spans="1:43">
      <c r="A20" s="20"/>
      <c r="B20" s="21"/>
      <c r="C20" s="22" t="s">
        <v>142</v>
      </c>
      <c r="D20" s="21" t="s">
        <v>90</v>
      </c>
      <c r="E20" s="21" t="s">
        <v>294</v>
      </c>
      <c r="F20" s="21"/>
      <c r="G20" s="23">
        <v>1947</v>
      </c>
      <c r="H20" s="21"/>
      <c r="I20" s="24">
        <v>46008</v>
      </c>
      <c r="J20" s="21"/>
      <c r="K20" s="25">
        <v>46010</v>
      </c>
      <c r="L20" s="3" t="s">
        <v>295</v>
      </c>
      <c r="M20" s="26"/>
      <c r="N20" s="21"/>
      <c r="O20" s="21" t="s">
        <v>328</v>
      </c>
      <c r="P20" s="16" t="s">
        <v>696</v>
      </c>
      <c r="Q20" s="16" t="s">
        <v>223</v>
      </c>
      <c r="R20" s="16" t="s">
        <v>697</v>
      </c>
      <c r="S20" s="17">
        <v>1947</v>
      </c>
      <c r="T20" s="18">
        <v>24313.34</v>
      </c>
      <c r="U20" s="16" t="s">
        <v>209</v>
      </c>
      <c r="W20" s="20"/>
      <c r="X20" s="21"/>
      <c r="Y20" s="22"/>
      <c r="Z20" s="21"/>
      <c r="AA20" s="21"/>
      <c r="AB20" s="21"/>
      <c r="AC20" s="23"/>
      <c r="AD20" s="21" t="s">
        <v>222</v>
      </c>
      <c r="AE20" s="24">
        <v>46008</v>
      </c>
      <c r="AF20" s="21">
        <v>2</v>
      </c>
      <c r="AG20" s="25"/>
      <c r="AH20" s="22"/>
      <c r="AI20" s="26"/>
      <c r="AJ20" s="21" t="s">
        <v>222</v>
      </c>
      <c r="AK20" s="21"/>
      <c r="AL20" s="16"/>
      <c r="AM20" s="16" t="s">
        <v>223</v>
      </c>
      <c r="AN20" s="16"/>
      <c r="AO20" s="17"/>
      <c r="AP20" s="18"/>
      <c r="AQ20" s="16"/>
    </row>
    <row r="21" spans="1:43">
      <c r="A21" s="20"/>
      <c r="B21" s="21"/>
      <c r="C21" s="22" t="s">
        <v>143</v>
      </c>
      <c r="D21" s="21" t="s">
        <v>134</v>
      </c>
      <c r="E21" s="21" t="s">
        <v>296</v>
      </c>
      <c r="F21" s="21"/>
      <c r="G21" s="23">
        <v>1925</v>
      </c>
      <c r="H21" s="21"/>
      <c r="I21" s="24">
        <v>46012</v>
      </c>
      <c r="J21" s="21"/>
      <c r="K21" s="25"/>
      <c r="L21" s="3"/>
      <c r="M21" s="26"/>
      <c r="N21" s="21"/>
      <c r="O21" s="21" t="s">
        <v>334</v>
      </c>
      <c r="P21" s="16" t="s">
        <v>623</v>
      </c>
      <c r="Q21" s="16" t="s">
        <v>214</v>
      </c>
      <c r="R21" s="16" t="s">
        <v>698</v>
      </c>
      <c r="S21" s="17">
        <v>1925</v>
      </c>
      <c r="T21" s="18">
        <v>24640</v>
      </c>
      <c r="U21" s="16" t="s">
        <v>86</v>
      </c>
      <c r="W21" s="20"/>
      <c r="X21" s="21"/>
      <c r="Y21" s="22"/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85</v>
      </c>
      <c r="AJ21" s="21"/>
      <c r="AK21" s="21"/>
      <c r="AL21" s="16"/>
      <c r="AM21" s="16" t="s">
        <v>214</v>
      </c>
      <c r="AN21" s="16"/>
      <c r="AO21" s="17"/>
      <c r="AP21" s="18"/>
      <c r="AQ21" s="16"/>
    </row>
    <row r="22" spans="1:43">
      <c r="A22" s="20"/>
      <c r="B22" s="21"/>
      <c r="C22" s="22" t="s">
        <v>144</v>
      </c>
      <c r="D22" s="21" t="s">
        <v>145</v>
      </c>
      <c r="E22" s="21" t="s">
        <v>297</v>
      </c>
      <c r="F22" s="21"/>
      <c r="G22" s="23">
        <v>1950</v>
      </c>
      <c r="H22" s="21"/>
      <c r="I22" s="24">
        <v>46016</v>
      </c>
      <c r="J22" s="21"/>
      <c r="K22" s="25"/>
      <c r="L22" s="3"/>
      <c r="M22" s="26"/>
      <c r="N22" s="21"/>
      <c r="O22" s="21" t="s">
        <v>330</v>
      </c>
      <c r="P22" s="16" t="s">
        <v>298</v>
      </c>
      <c r="Q22" s="16" t="s">
        <v>299</v>
      </c>
      <c r="R22" s="16" t="s">
        <v>300</v>
      </c>
      <c r="S22" s="17">
        <v>1950</v>
      </c>
      <c r="T22" s="18">
        <v>24219</v>
      </c>
      <c r="U22" s="16" t="s">
        <v>265</v>
      </c>
      <c r="W22" s="10"/>
      <c r="X22" s="11"/>
      <c r="Y22" s="3"/>
      <c r="Z22" s="11"/>
      <c r="AA22" s="11"/>
      <c r="AB22" s="11"/>
      <c r="AC22" s="12"/>
      <c r="AD22" s="11" t="s">
        <v>217</v>
      </c>
      <c r="AE22" s="13">
        <v>46015</v>
      </c>
      <c r="AF22" s="11">
        <v>2</v>
      </c>
      <c r="AG22" s="14"/>
      <c r="AH22" s="3"/>
      <c r="AI22" s="19" t="s">
        <v>85</v>
      </c>
      <c r="AJ22" s="11" t="s">
        <v>217</v>
      </c>
      <c r="AK22" s="11"/>
      <c r="AL22" s="16"/>
      <c r="AM22" s="16" t="s">
        <v>224</v>
      </c>
      <c r="AN22" s="16"/>
      <c r="AO22" s="17"/>
      <c r="AP22" s="18"/>
      <c r="AQ22" s="16"/>
    </row>
    <row r="23" spans="1:43">
      <c r="A23" s="20"/>
      <c r="B23" s="21"/>
      <c r="C23" s="22" t="s">
        <v>146</v>
      </c>
      <c r="D23" s="21" t="s">
        <v>87</v>
      </c>
      <c r="E23" s="21" t="s">
        <v>301</v>
      </c>
      <c r="F23" s="21"/>
      <c r="G23" s="23">
        <v>1960</v>
      </c>
      <c r="H23" s="21"/>
      <c r="I23" s="24">
        <v>46015</v>
      </c>
      <c r="J23" s="21"/>
      <c r="K23" s="25"/>
      <c r="L23" s="3"/>
      <c r="M23" s="26"/>
      <c r="N23" s="21"/>
      <c r="O23" s="21" t="s">
        <v>331</v>
      </c>
      <c r="P23" s="16" t="s">
        <v>302</v>
      </c>
      <c r="Q23" s="16" t="s">
        <v>225</v>
      </c>
      <c r="R23" s="16" t="s">
        <v>303</v>
      </c>
      <c r="S23" s="17">
        <v>1960</v>
      </c>
      <c r="T23" s="18">
        <v>24500</v>
      </c>
      <c r="U23" s="16" t="s">
        <v>202</v>
      </c>
      <c r="W23" s="10"/>
      <c r="X23" s="11"/>
      <c r="Y23" s="3"/>
      <c r="Z23" s="11"/>
      <c r="AA23" s="11"/>
      <c r="AB23" s="11"/>
      <c r="AC23" s="12"/>
      <c r="AD23" s="11" t="s">
        <v>190</v>
      </c>
      <c r="AE23" s="13">
        <v>46015</v>
      </c>
      <c r="AF23" s="11">
        <v>2</v>
      </c>
      <c r="AG23" s="14"/>
      <c r="AH23" s="3"/>
      <c r="AI23" s="19" t="s">
        <v>85</v>
      </c>
      <c r="AJ23" s="11" t="s">
        <v>190</v>
      </c>
      <c r="AK23" s="11"/>
      <c r="AL23" s="16"/>
      <c r="AM23" s="16" t="s">
        <v>225</v>
      </c>
      <c r="AN23" s="16"/>
      <c r="AO23" s="17"/>
      <c r="AP23" s="18"/>
      <c r="AQ23" s="16"/>
    </row>
    <row r="24" spans="1:43">
      <c r="A24" s="20"/>
      <c r="B24" s="21"/>
      <c r="C24" s="22" t="s">
        <v>147</v>
      </c>
      <c r="D24" s="21" t="s">
        <v>81</v>
      </c>
      <c r="E24" s="21" t="s">
        <v>304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335</v>
      </c>
      <c r="P24" s="16" t="s">
        <v>699</v>
      </c>
      <c r="Q24" s="16" t="s">
        <v>200</v>
      </c>
      <c r="R24" s="16" t="s">
        <v>700</v>
      </c>
      <c r="S24" s="17">
        <v>800</v>
      </c>
      <c r="T24" s="18">
        <v>9360</v>
      </c>
      <c r="U24" s="16" t="s">
        <v>202</v>
      </c>
      <c r="W24" s="10"/>
      <c r="X24" s="11"/>
      <c r="Y24" s="3"/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/>
      <c r="C25" s="22" t="s">
        <v>148</v>
      </c>
      <c r="D25" s="21" t="s">
        <v>149</v>
      </c>
      <c r="E25" s="21"/>
      <c r="F25" s="21"/>
      <c r="G25" s="23"/>
      <c r="H25" s="21"/>
      <c r="I25" s="24"/>
      <c r="J25" s="21"/>
      <c r="K25" s="25"/>
      <c r="L25" s="3"/>
      <c r="M25" s="26"/>
      <c r="N25" s="21"/>
      <c r="O25" s="21"/>
      <c r="P25" s="16"/>
      <c r="Q25" s="16"/>
      <c r="R25" s="16"/>
      <c r="S25" s="17"/>
      <c r="T25" s="18"/>
      <c r="U25" s="16"/>
      <c r="W25" s="10"/>
      <c r="X25" s="11"/>
      <c r="Y25" s="3"/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85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/>
      <c r="C26" s="22" t="s">
        <v>150</v>
      </c>
      <c r="D26" s="21" t="s">
        <v>151</v>
      </c>
      <c r="E26" s="21" t="s">
        <v>305</v>
      </c>
      <c r="F26" s="21"/>
      <c r="G26" s="23">
        <v>1950</v>
      </c>
      <c r="H26" s="21"/>
      <c r="I26" s="24">
        <v>46016</v>
      </c>
      <c r="J26" s="21"/>
      <c r="K26" s="25"/>
      <c r="L26" s="3"/>
      <c r="M26" s="26"/>
      <c r="N26" s="21"/>
      <c r="O26" s="21" t="s">
        <v>336</v>
      </c>
      <c r="P26" s="16" t="s">
        <v>306</v>
      </c>
      <c r="Q26" s="16" t="s">
        <v>211</v>
      </c>
      <c r="R26" s="16" t="s">
        <v>307</v>
      </c>
      <c r="S26" s="17">
        <v>1950</v>
      </c>
      <c r="T26" s="18">
        <v>24219</v>
      </c>
      <c r="U26" s="16" t="s">
        <v>265</v>
      </c>
      <c r="W26" s="10"/>
      <c r="X26" s="11"/>
      <c r="Y26" s="3"/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85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/>
      <c r="C27" s="22" t="s">
        <v>152</v>
      </c>
      <c r="D27" s="21" t="s">
        <v>132</v>
      </c>
      <c r="E27" s="21" t="s">
        <v>308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337</v>
      </c>
      <c r="P27" s="16" t="s">
        <v>701</v>
      </c>
      <c r="Q27" s="16" t="s">
        <v>228</v>
      </c>
      <c r="R27" s="16" t="s">
        <v>702</v>
      </c>
      <c r="S27" s="17">
        <v>1950</v>
      </c>
      <c r="T27" s="18">
        <v>24434</v>
      </c>
      <c r="U27" s="16" t="s">
        <v>309</v>
      </c>
      <c r="W27" s="10"/>
      <c r="X27" s="11"/>
      <c r="Y27" s="3"/>
      <c r="Z27" s="11"/>
      <c r="AA27" s="11"/>
      <c r="AB27" s="11"/>
      <c r="AC27" s="12"/>
      <c r="AD27" s="11" t="s">
        <v>80</v>
      </c>
      <c r="AE27" s="13">
        <v>46017</v>
      </c>
      <c r="AF27" s="11">
        <v>2</v>
      </c>
      <c r="AG27" s="14"/>
      <c r="AH27" s="3"/>
      <c r="AI27" s="19" t="s">
        <v>85</v>
      </c>
      <c r="AJ27" s="11" t="s">
        <v>80</v>
      </c>
      <c r="AK27" s="11"/>
      <c r="AL27" s="16"/>
      <c r="AM27" s="16" t="s">
        <v>228</v>
      </c>
      <c r="AN27" s="16"/>
      <c r="AO27" s="17"/>
      <c r="AP27" s="18"/>
      <c r="AQ27" s="16"/>
    </row>
    <row r="28" spans="1:43">
      <c r="A28" s="20"/>
      <c r="B28" s="21"/>
      <c r="C28" s="22" t="s">
        <v>153</v>
      </c>
      <c r="D28" s="21" t="s">
        <v>132</v>
      </c>
      <c r="E28" s="21" t="s">
        <v>310</v>
      </c>
      <c r="F28" s="21"/>
      <c r="G28" s="23">
        <v>1950</v>
      </c>
      <c r="H28" s="21"/>
      <c r="I28" s="24">
        <v>46017</v>
      </c>
      <c r="J28" s="21"/>
      <c r="K28" s="25"/>
      <c r="L28" s="3"/>
      <c r="M28" s="26"/>
      <c r="N28" s="21"/>
      <c r="O28" s="21" t="s">
        <v>337</v>
      </c>
      <c r="P28" s="16" t="s">
        <v>703</v>
      </c>
      <c r="Q28" s="16" t="s">
        <v>228</v>
      </c>
      <c r="R28" s="16" t="s">
        <v>704</v>
      </c>
      <c r="S28" s="17">
        <v>1950</v>
      </c>
      <c r="T28" s="18">
        <v>24434</v>
      </c>
      <c r="U28" s="16" t="s">
        <v>309</v>
      </c>
      <c r="W28" s="10"/>
      <c r="X28" s="11"/>
      <c r="Y28" s="3"/>
      <c r="Z28" s="11"/>
      <c r="AA28" s="11"/>
      <c r="AB28" s="11"/>
      <c r="AC28" s="12"/>
      <c r="AD28" s="11" t="s">
        <v>80</v>
      </c>
      <c r="AE28" s="13">
        <v>46017</v>
      </c>
      <c r="AF28" s="11">
        <v>2</v>
      </c>
      <c r="AG28" s="14"/>
      <c r="AH28" s="3"/>
      <c r="AI28" s="19" t="s">
        <v>85</v>
      </c>
      <c r="AJ28" s="11" t="s">
        <v>80</v>
      </c>
      <c r="AK28" s="11"/>
      <c r="AL28" s="16"/>
      <c r="AM28" s="16" t="s">
        <v>228</v>
      </c>
      <c r="AN28" s="16"/>
      <c r="AO28" s="17"/>
      <c r="AP28" s="18"/>
      <c r="AQ28" s="16"/>
    </row>
    <row r="29" spans="1:43">
      <c r="A29" s="20"/>
      <c r="B29" s="21"/>
      <c r="C29" s="22" t="s">
        <v>154</v>
      </c>
      <c r="D29" s="21" t="s">
        <v>155</v>
      </c>
      <c r="E29" s="21"/>
      <c r="F29" s="21"/>
      <c r="G29" s="23"/>
      <c r="H29" s="21"/>
      <c r="I29" s="24"/>
      <c r="J29" s="21"/>
      <c r="K29" s="25"/>
      <c r="L29" s="3"/>
      <c r="M29" s="26"/>
      <c r="N29" s="21"/>
      <c r="O29" s="21"/>
      <c r="P29" s="16"/>
      <c r="Q29" s="16"/>
      <c r="R29" s="16"/>
      <c r="S29" s="17"/>
      <c r="T29" s="18"/>
      <c r="U29" s="16"/>
      <c r="W29" s="10"/>
      <c r="X29" s="11"/>
      <c r="Y29" s="3"/>
      <c r="Z29" s="11"/>
      <c r="AA29" s="11"/>
      <c r="AB29" s="11"/>
      <c r="AC29" s="12"/>
      <c r="AD29" s="11" t="s">
        <v>205</v>
      </c>
      <c r="AE29" s="13">
        <v>46017</v>
      </c>
      <c r="AF29" s="11">
        <v>1</v>
      </c>
      <c r="AG29" s="14"/>
      <c r="AH29" s="3"/>
      <c r="AI29" s="19" t="s">
        <v>85</v>
      </c>
      <c r="AJ29" s="11" t="s">
        <v>205</v>
      </c>
      <c r="AK29" s="11"/>
      <c r="AL29" s="16"/>
      <c r="AM29" s="16" t="s">
        <v>229</v>
      </c>
      <c r="AN29" s="16"/>
      <c r="AO29" s="17"/>
      <c r="AP29" s="18"/>
      <c r="AQ29" s="16"/>
    </row>
    <row r="30" spans="1:43">
      <c r="A30" s="20"/>
      <c r="B30" s="21"/>
      <c r="C30" s="22" t="s">
        <v>156</v>
      </c>
      <c r="D30" s="21" t="s">
        <v>157</v>
      </c>
      <c r="E30" s="21" t="s">
        <v>311</v>
      </c>
      <c r="F30" s="21"/>
      <c r="G30" s="23">
        <v>1872</v>
      </c>
      <c r="H30" s="21"/>
      <c r="I30" s="24">
        <v>46017</v>
      </c>
      <c r="J30" s="21"/>
      <c r="K30" s="25"/>
      <c r="L30" s="3"/>
      <c r="M30" s="26"/>
      <c r="N30" s="21"/>
      <c r="O30" s="21" t="s">
        <v>337</v>
      </c>
      <c r="P30" s="16" t="s">
        <v>312</v>
      </c>
      <c r="Q30" s="16" t="s">
        <v>228</v>
      </c>
      <c r="R30" s="16" t="s">
        <v>313</v>
      </c>
      <c r="S30" s="17">
        <v>1872</v>
      </c>
      <c r="T30" s="18">
        <v>23587.200000000001</v>
      </c>
      <c r="U30" s="16" t="s">
        <v>309</v>
      </c>
      <c r="W30" s="10"/>
      <c r="X30" s="11"/>
      <c r="Y30" s="3"/>
      <c r="Z30" s="11"/>
      <c r="AA30" s="11"/>
      <c r="AB30" s="11"/>
      <c r="AC30" s="12"/>
      <c r="AD30" s="11" t="s">
        <v>230</v>
      </c>
      <c r="AE30" s="13">
        <v>46017</v>
      </c>
      <c r="AF30" s="11">
        <v>2</v>
      </c>
      <c r="AG30" s="14"/>
      <c r="AH30" s="3"/>
      <c r="AI30" s="19" t="s">
        <v>85</v>
      </c>
      <c r="AJ30" s="11" t="s">
        <v>230</v>
      </c>
      <c r="AK30" s="11"/>
      <c r="AL30" s="16"/>
      <c r="AM30" s="16" t="s">
        <v>228</v>
      </c>
      <c r="AN30" s="16"/>
      <c r="AO30" s="17"/>
      <c r="AP30" s="18"/>
      <c r="AQ30" s="16"/>
    </row>
    <row r="31" spans="1:43">
      <c r="A31" s="20"/>
      <c r="B31" s="21"/>
      <c r="C31" s="22" t="s">
        <v>158</v>
      </c>
      <c r="D31" s="21" t="s">
        <v>145</v>
      </c>
      <c r="E31" s="21"/>
      <c r="F31" s="21"/>
      <c r="G31" s="23"/>
      <c r="H31" s="21"/>
      <c r="I31" s="24"/>
      <c r="J31" s="21"/>
      <c r="K31" s="25"/>
      <c r="L31" s="3"/>
      <c r="M31" s="26"/>
      <c r="N31" s="21"/>
      <c r="O31" s="21"/>
      <c r="P31" s="16"/>
      <c r="Q31" s="16"/>
      <c r="R31" s="16"/>
      <c r="S31" s="17"/>
      <c r="T31" s="18"/>
      <c r="U31" s="16"/>
      <c r="W31" s="10"/>
      <c r="X31" s="11"/>
      <c r="Y31" s="3"/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85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159</v>
      </c>
      <c r="D32" s="21" t="s">
        <v>81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/>
      <c r="Z32" s="21"/>
      <c r="AA32" s="21"/>
      <c r="AB32" s="21"/>
      <c r="AC32" s="23"/>
      <c r="AD32" s="21" t="s">
        <v>190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190</v>
      </c>
      <c r="AK32" s="21"/>
      <c r="AL32" s="16"/>
      <c r="AM32" s="16" t="s">
        <v>231</v>
      </c>
      <c r="AN32" s="16"/>
      <c r="AO32" s="17"/>
      <c r="AP32" s="18"/>
      <c r="AQ32" s="16"/>
    </row>
    <row r="33" spans="1:43">
      <c r="A33" s="20"/>
      <c r="B33" s="21"/>
      <c r="C33" s="22" t="s">
        <v>160</v>
      </c>
      <c r="D33" s="21" t="s">
        <v>145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/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85</v>
      </c>
      <c r="AJ33" s="21"/>
      <c r="AK33" s="21"/>
      <c r="AL33" s="16"/>
      <c r="AM33" s="16" t="s">
        <v>233</v>
      </c>
      <c r="AN33" s="16"/>
      <c r="AO33" s="17"/>
      <c r="AP33" s="18"/>
      <c r="AQ33" s="16"/>
    </row>
    <row r="34" spans="1:43">
      <c r="A34" s="20"/>
      <c r="B34" s="21"/>
      <c r="C34" s="22" t="s">
        <v>161</v>
      </c>
      <c r="D34" s="21" t="s">
        <v>87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/>
      <c r="Z34" s="21"/>
      <c r="AA34" s="21"/>
      <c r="AB34" s="21"/>
      <c r="AC34" s="23"/>
      <c r="AD34" s="21" t="s">
        <v>80</v>
      </c>
      <c r="AE34" s="24">
        <v>46020</v>
      </c>
      <c r="AF34" s="21">
        <v>2</v>
      </c>
      <c r="AG34" s="25"/>
      <c r="AH34" s="22"/>
      <c r="AI34" s="26" t="s">
        <v>85</v>
      </c>
      <c r="AJ34" s="21" t="s">
        <v>80</v>
      </c>
      <c r="AK34" s="21"/>
      <c r="AL34" s="16"/>
      <c r="AM34" s="16" t="s">
        <v>235</v>
      </c>
      <c r="AN34" s="16"/>
      <c r="AO34" s="17"/>
      <c r="AP34" s="18"/>
      <c r="AQ34" s="16"/>
    </row>
    <row r="35" spans="1:43">
      <c r="A35" s="20"/>
      <c r="B35" s="21"/>
      <c r="C35" s="22" t="s">
        <v>162</v>
      </c>
      <c r="D35" s="21" t="s">
        <v>151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/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85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163</v>
      </c>
      <c r="D36" s="21" t="s">
        <v>145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/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85</v>
      </c>
      <c r="AJ36" s="21"/>
      <c r="AK36" s="21"/>
      <c r="AL36" s="16"/>
      <c r="AM36" s="16" t="s">
        <v>238</v>
      </c>
      <c r="AN36" s="16"/>
      <c r="AO36" s="17"/>
      <c r="AP36" s="18"/>
      <c r="AQ36" s="16"/>
    </row>
    <row r="37" spans="1:43">
      <c r="A37" s="20"/>
      <c r="B37" s="21"/>
      <c r="C37" s="22" t="s">
        <v>164</v>
      </c>
      <c r="D37" s="21" t="s">
        <v>165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/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239</v>
      </c>
      <c r="AN37" s="16"/>
      <c r="AO37" s="17"/>
      <c r="AP37" s="18"/>
      <c r="AQ37" s="16"/>
    </row>
    <row r="38" spans="1:43">
      <c r="A38" s="20"/>
      <c r="B38" s="21"/>
      <c r="C38" s="22" t="s">
        <v>166</v>
      </c>
      <c r="D38" s="21" t="s">
        <v>165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/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85</v>
      </c>
      <c r="AJ38" s="21"/>
      <c r="AK38" s="21"/>
      <c r="AL38" s="16"/>
      <c r="AM38" s="16" t="s">
        <v>240</v>
      </c>
      <c r="AN38" s="16"/>
      <c r="AO38" s="17"/>
      <c r="AP38" s="18"/>
      <c r="AQ38" s="16"/>
    </row>
    <row r="39" spans="1:43">
      <c r="A39" s="20"/>
      <c r="B39" s="21"/>
      <c r="C39" s="22" t="s">
        <v>167</v>
      </c>
      <c r="D39" s="21" t="s">
        <v>87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/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85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168</v>
      </c>
      <c r="D40" s="21" t="s">
        <v>149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/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169</v>
      </c>
      <c r="D41" s="21" t="s">
        <v>149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/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85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170</v>
      </c>
      <c r="D42" s="21" t="s">
        <v>149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3"/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85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171</v>
      </c>
      <c r="D43" s="21" t="s">
        <v>149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3"/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85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172</v>
      </c>
      <c r="D44" s="21" t="s">
        <v>157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3"/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85</v>
      </c>
      <c r="AJ44" s="11"/>
      <c r="AK44" s="11"/>
      <c r="AL44" s="16"/>
      <c r="AM44" s="16" t="s">
        <v>247</v>
      </c>
      <c r="AN44" s="16"/>
      <c r="AO44" s="17"/>
      <c r="AP44" s="18"/>
      <c r="AQ44" s="16"/>
    </row>
    <row r="45" spans="1:43">
      <c r="A45" s="20"/>
      <c r="B45" s="21"/>
      <c r="C45" s="22" t="s">
        <v>173</v>
      </c>
      <c r="D45" s="21" t="s">
        <v>157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3"/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85</v>
      </c>
      <c r="AJ45" s="11"/>
      <c r="AK45" s="11"/>
      <c r="AL45" s="16"/>
      <c r="AM45" s="16" t="s">
        <v>249</v>
      </c>
      <c r="AN45" s="16"/>
      <c r="AO45" s="17"/>
      <c r="AP45" s="18"/>
      <c r="AQ45" s="16"/>
    </row>
    <row r="46" spans="1:43">
      <c r="A46" s="20"/>
      <c r="B46" s="21"/>
      <c r="C46" s="22" t="s">
        <v>174</v>
      </c>
      <c r="D46" s="21" t="s">
        <v>151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3"/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85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175</v>
      </c>
      <c r="D47" s="21" t="s">
        <v>157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3"/>
      <c r="Z47" s="11"/>
      <c r="AA47" s="11"/>
      <c r="AB47" s="11"/>
      <c r="AC47" s="12"/>
      <c r="AD47" s="11"/>
      <c r="AE47" s="13" t="s">
        <v>85</v>
      </c>
      <c r="AF47" s="11">
        <v>2</v>
      </c>
      <c r="AG47" s="14"/>
      <c r="AH47" s="3"/>
      <c r="AI47" s="19" t="s">
        <v>85</v>
      </c>
      <c r="AJ47" s="11"/>
      <c r="AK47" s="11"/>
      <c r="AL47" s="16"/>
      <c r="AM47" s="16" t="s">
        <v>250</v>
      </c>
      <c r="AN47" s="16"/>
      <c r="AO47" s="17"/>
      <c r="AP47" s="18"/>
      <c r="AQ47" s="16"/>
    </row>
    <row r="48" spans="1:43">
      <c r="A48" s="20"/>
      <c r="B48" s="21"/>
      <c r="C48" s="22" t="s">
        <v>176</v>
      </c>
      <c r="D48" s="21" t="s">
        <v>157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3"/>
      <c r="Z48" s="11"/>
      <c r="AA48" s="11"/>
      <c r="AB48" s="11"/>
      <c r="AC48" s="12"/>
      <c r="AD48" s="11"/>
      <c r="AE48" s="13" t="s">
        <v>85</v>
      </c>
      <c r="AF48" s="11">
        <v>2</v>
      </c>
      <c r="AG48" s="14"/>
      <c r="AH48" s="3"/>
      <c r="AI48" s="19" t="s">
        <v>85</v>
      </c>
      <c r="AJ48" s="11"/>
      <c r="AK48" s="11"/>
      <c r="AL48" s="16"/>
      <c r="AM48" s="16" t="s">
        <v>250</v>
      </c>
      <c r="AN48" s="16"/>
      <c r="AO48" s="17"/>
      <c r="AP48" s="18"/>
      <c r="AQ48" s="16"/>
    </row>
    <row r="49" spans="1:43">
      <c r="A49" s="20"/>
      <c r="B49" s="21"/>
      <c r="C49" s="22" t="s">
        <v>177</v>
      </c>
      <c r="D49" s="21" t="s">
        <v>87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3"/>
      <c r="Z49" s="11"/>
      <c r="AA49" s="11"/>
      <c r="AB49" s="11"/>
      <c r="AC49" s="12"/>
      <c r="AD49" s="11"/>
      <c r="AE49" s="13" t="s">
        <v>252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/>
      <c r="C50" s="22" t="s">
        <v>178</v>
      </c>
      <c r="D50" s="21" t="s">
        <v>87</v>
      </c>
      <c r="E50" s="21"/>
      <c r="F50" s="21"/>
      <c r="G50" s="23"/>
      <c r="H50" s="21"/>
      <c r="I50" s="24"/>
      <c r="J50" s="21"/>
      <c r="K50" s="25"/>
      <c r="L50" s="3"/>
      <c r="M50" s="26"/>
      <c r="N50" s="21"/>
      <c r="O50" s="21"/>
      <c r="P50" s="16"/>
      <c r="Q50" s="16"/>
      <c r="R50" s="16"/>
      <c r="S50" s="17"/>
      <c r="T50" s="18"/>
      <c r="U50" s="16"/>
      <c r="W50" s="10"/>
      <c r="X50" s="11"/>
      <c r="Y50" s="3"/>
      <c r="Z50" s="11"/>
      <c r="AA50" s="11"/>
      <c r="AB50" s="11"/>
      <c r="AC50" s="12"/>
      <c r="AD50" s="11"/>
      <c r="AE50" s="13" t="s">
        <v>252</v>
      </c>
      <c r="AF50" s="11">
        <v>2</v>
      </c>
      <c r="AG50" s="14"/>
      <c r="AH50" s="3"/>
      <c r="AI50" s="19" t="s">
        <v>85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22" t="s">
        <v>179</v>
      </c>
      <c r="D51" s="21" t="s">
        <v>87</v>
      </c>
      <c r="E51" s="21" t="s">
        <v>314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317</v>
      </c>
      <c r="M51" s="26"/>
      <c r="N51" s="21"/>
      <c r="O51" s="21" t="s">
        <v>329</v>
      </c>
      <c r="P51" s="16" t="s">
        <v>315</v>
      </c>
      <c r="Q51" s="16" t="s">
        <v>219</v>
      </c>
      <c r="R51" s="16" t="s">
        <v>316</v>
      </c>
      <c r="S51" s="17">
        <v>1566</v>
      </c>
      <c r="T51" s="18">
        <v>24278.6</v>
      </c>
      <c r="U51" s="16" t="s">
        <v>285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85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23:43"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23:43"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23:43"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23:43"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23:43"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23:43"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23:43"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23:43"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23:43"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23:43"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23:43"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23:43"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23:43"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23:43"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23:43"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23:43"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23:43"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23:43"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23:43"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23:43"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23:43"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23:43"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164"/>
  <sheetViews>
    <sheetView tabSelected="1" topLeftCell="C22" workbookViewId="0">
      <selection activeCell="K34" sqref="K34"/>
    </sheetView>
  </sheetViews>
  <sheetFormatPr defaultRowHeight="13.5" customHeight="1"/>
  <cols>
    <col min="1" max="1" width="3.25" customWidth="1"/>
    <col min="2" max="2" width="5.625" style="136" customWidth="1"/>
    <col min="3" max="3" width="10.5" style="170" customWidth="1"/>
    <col min="4" max="4" width="7.375" style="170" customWidth="1"/>
    <col min="5" max="5" width="11.125" style="162" customWidth="1"/>
    <col min="6" max="6" width="30.375" style="170" customWidth="1"/>
    <col min="7" max="7" width="7.875" style="136" customWidth="1"/>
    <col min="8" max="8" width="6.125" style="171" customWidth="1"/>
    <col min="9" max="9" width="3.25" style="133" customWidth="1"/>
    <col min="10" max="10" width="14" style="136" customWidth="1"/>
    <col min="11" max="11" width="14.625" style="34" customWidth="1"/>
    <col min="12" max="12" width="6.375" style="136" customWidth="1"/>
    <col min="13" max="13" width="14.5" style="133" customWidth="1"/>
    <col min="14" max="14" width="17.875" style="133" customWidth="1"/>
    <col min="15" max="15" width="9" style="133" hidden="1" customWidth="1"/>
    <col min="16" max="16" width="13.375" style="138" customWidth="1"/>
    <col min="17" max="17" width="7.25" style="138" customWidth="1"/>
    <col min="19" max="19" width="7.5" customWidth="1"/>
    <col min="20" max="20" width="15.75" customWidth="1"/>
    <col min="22" max="22" width="11.375" customWidth="1"/>
  </cols>
  <sheetData>
    <row r="1" spans="1:16" ht="13.5" customHeight="1">
      <c r="A1" s="128">
        <f ca="1">TODAY()+1</f>
        <v>46017</v>
      </c>
      <c r="B1" s="128"/>
      <c r="C1" s="129" t="s">
        <v>505</v>
      </c>
      <c r="D1" s="129"/>
      <c r="E1" s="130" t="s">
        <v>506</v>
      </c>
      <c r="F1" s="131">
        <f>12-COUNTA(E3:F14)</f>
        <v>7</v>
      </c>
      <c r="G1" s="130" t="s">
        <v>507</v>
      </c>
      <c r="H1" s="132"/>
      <c r="J1" s="134" t="s">
        <v>508</v>
      </c>
      <c r="K1" s="135">
        <f ca="1">TODAY()+1</f>
        <v>46017</v>
      </c>
      <c r="M1" s="137">
        <v>45717</v>
      </c>
      <c r="N1"/>
      <c r="O1"/>
      <c r="P1"/>
    </row>
    <row r="2" spans="1:16" ht="13.5" customHeight="1">
      <c r="A2" s="139" t="s">
        <v>509</v>
      </c>
      <c r="B2" s="140" t="s">
        <v>64</v>
      </c>
      <c r="C2" s="139" t="s">
        <v>341</v>
      </c>
      <c r="D2" s="141" t="s">
        <v>510</v>
      </c>
      <c r="E2" s="141" t="s">
        <v>511</v>
      </c>
      <c r="F2" s="142"/>
      <c r="G2" s="142" t="s">
        <v>512</v>
      </c>
      <c r="H2" s="143" t="s">
        <v>513</v>
      </c>
      <c r="J2" s="144" t="str">
        <f ca="1">TEXT(NOW(),"mm/dd aaa hh:mm")</f>
        <v>12/25 목 21:35</v>
      </c>
      <c r="K2" s="145" t="s">
        <v>514</v>
      </c>
      <c r="L2" s="136" t="s">
        <v>515</v>
      </c>
      <c r="M2" s="133" t="s">
        <v>516</v>
      </c>
      <c r="O2"/>
      <c r="P2"/>
    </row>
    <row r="3" spans="1:16" ht="13.5" customHeight="1">
      <c r="A3" s="146">
        <v>1</v>
      </c>
      <c r="B3" s="143"/>
      <c r="C3" s="141"/>
      <c r="D3" s="141"/>
      <c r="E3" s="147"/>
      <c r="F3" s="142"/>
      <c r="G3" s="143"/>
      <c r="H3" s="143"/>
      <c r="O3"/>
      <c r="P3"/>
    </row>
    <row r="4" spans="1:16" ht="13.5" customHeight="1">
      <c r="A4" s="146">
        <v>2</v>
      </c>
      <c r="B4" s="143"/>
      <c r="C4" s="141"/>
      <c r="D4" s="141"/>
      <c r="E4" s="147"/>
      <c r="F4" s="142"/>
      <c r="G4" s="143"/>
      <c r="H4" s="143"/>
      <c r="O4"/>
      <c r="P4"/>
    </row>
    <row r="5" spans="1:16" ht="13.5" customHeight="1">
      <c r="A5" s="146">
        <v>3</v>
      </c>
      <c r="B5" s="143"/>
      <c r="C5" s="141"/>
      <c r="D5" s="141"/>
      <c r="E5" s="147"/>
      <c r="F5" s="142"/>
      <c r="G5" s="143"/>
      <c r="H5" s="143"/>
      <c r="O5"/>
      <c r="P5"/>
    </row>
    <row r="6" spans="1:16" ht="13.5" customHeight="1">
      <c r="A6" s="146">
        <v>4</v>
      </c>
      <c r="B6" s="143"/>
      <c r="C6" s="141"/>
      <c r="D6" s="141"/>
      <c r="E6" s="147"/>
      <c r="F6" s="142"/>
      <c r="G6" s="143"/>
      <c r="H6" s="143"/>
      <c r="O6"/>
      <c r="P6"/>
    </row>
    <row r="7" spans="1:16" ht="13.5" customHeight="1">
      <c r="A7" s="146">
        <v>5</v>
      </c>
      <c r="B7" s="143"/>
      <c r="C7" s="141"/>
      <c r="D7" s="141"/>
      <c r="E7" s="147"/>
      <c r="F7" s="142"/>
      <c r="G7" s="143"/>
      <c r="H7" s="143"/>
      <c r="O7"/>
      <c r="P7"/>
    </row>
    <row r="8" spans="1:16" ht="13.5" customHeight="1">
      <c r="A8" s="146">
        <v>6</v>
      </c>
      <c r="B8" s="148" t="s">
        <v>134</v>
      </c>
      <c r="C8" s="149" t="s">
        <v>517</v>
      </c>
      <c r="D8" s="149" t="s">
        <v>518</v>
      </c>
      <c r="E8" s="150" t="str">
        <f>M8</f>
        <v>12/23(화)오후 도착 , 12/31(수)회수마감(회수 미정)</v>
      </c>
      <c r="F8" s="151"/>
      <c r="G8" s="148" t="s">
        <v>519</v>
      </c>
      <c r="H8" s="148" t="s">
        <v>520</v>
      </c>
      <c r="J8" s="136" t="s">
        <v>491</v>
      </c>
      <c r="K8" s="34" t="s">
        <v>503</v>
      </c>
      <c r="L8" s="136" t="s">
        <v>190</v>
      </c>
      <c r="M8" s="133" t="s">
        <v>521</v>
      </c>
      <c r="O8"/>
      <c r="P8"/>
    </row>
    <row r="9" spans="1:16" ht="13.5" customHeight="1">
      <c r="A9" s="146">
        <v>7</v>
      </c>
      <c r="B9" s="143"/>
      <c r="C9" s="141"/>
      <c r="D9" s="141"/>
      <c r="E9" s="147"/>
      <c r="F9" s="142"/>
      <c r="G9" s="143"/>
      <c r="H9" s="143"/>
      <c r="O9"/>
      <c r="P9"/>
    </row>
    <row r="10" spans="1:16" ht="13.5" customHeight="1">
      <c r="A10" s="146">
        <v>8</v>
      </c>
      <c r="B10" s="148" t="s">
        <v>522</v>
      </c>
      <c r="C10" s="149" t="s">
        <v>523</v>
      </c>
      <c r="D10" s="149" t="s">
        <v>518</v>
      </c>
      <c r="E10" s="150" t="str">
        <f>M10</f>
        <v>12/23(화)조출 , 12/27(토)회수마감(회수 계획 있음)</v>
      </c>
      <c r="F10" s="151"/>
      <c r="G10" s="148" t="s">
        <v>524</v>
      </c>
      <c r="H10" s="148">
        <v>1800</v>
      </c>
      <c r="J10" s="136" t="s">
        <v>525</v>
      </c>
      <c r="K10" s="34" t="s">
        <v>526</v>
      </c>
      <c r="L10" s="136" t="s">
        <v>205</v>
      </c>
      <c r="M10" s="133" t="s">
        <v>527</v>
      </c>
      <c r="O10"/>
      <c r="P10"/>
    </row>
    <row r="11" spans="1:16" ht="13.5" customHeight="1">
      <c r="A11" s="146">
        <v>9</v>
      </c>
      <c r="B11" s="148" t="s">
        <v>87</v>
      </c>
      <c r="C11" s="149" t="s">
        <v>528</v>
      </c>
      <c r="D11" s="149" t="s">
        <v>518</v>
      </c>
      <c r="E11" s="150" t="str">
        <f>M11</f>
        <v>12/23(화)오후 도착 , 12/31(수)회수마감(회수 미정)</v>
      </c>
      <c r="F11" s="151"/>
      <c r="G11" s="148" t="s">
        <v>519</v>
      </c>
      <c r="H11" s="148" t="s">
        <v>529</v>
      </c>
      <c r="J11" s="136" t="s">
        <v>482</v>
      </c>
      <c r="K11" s="34" t="s">
        <v>500</v>
      </c>
      <c r="L11" s="136" t="s">
        <v>190</v>
      </c>
      <c r="M11" s="133" t="s">
        <v>521</v>
      </c>
      <c r="O11"/>
      <c r="P11"/>
    </row>
    <row r="12" spans="1:16" ht="13.5" customHeight="1">
      <c r="A12" s="146">
        <v>10</v>
      </c>
      <c r="B12" s="148" t="s">
        <v>530</v>
      </c>
      <c r="C12" s="149" t="s">
        <v>531</v>
      </c>
      <c r="D12" s="149" t="s">
        <v>518</v>
      </c>
      <c r="E12" s="150" t="str">
        <f>M12</f>
        <v>12/23(화)오후 도착 , 12/31(수)회수마감(회수 미정)</v>
      </c>
      <c r="F12" s="151"/>
      <c r="G12" s="148" t="s">
        <v>532</v>
      </c>
      <c r="H12" s="148" t="s">
        <v>533</v>
      </c>
      <c r="J12" s="136" t="s">
        <v>534</v>
      </c>
      <c r="K12" s="34" t="s">
        <v>535</v>
      </c>
      <c r="L12" s="136" t="s">
        <v>536</v>
      </c>
      <c r="M12" s="133" t="s">
        <v>521</v>
      </c>
      <c r="O12"/>
      <c r="P12"/>
    </row>
    <row r="13" spans="1:16" ht="13.5" customHeight="1">
      <c r="A13" s="146">
        <v>11</v>
      </c>
      <c r="B13" s="143" t="s">
        <v>87</v>
      </c>
      <c r="C13" s="141" t="s">
        <v>476</v>
      </c>
      <c r="D13" s="141" t="s">
        <v>537</v>
      </c>
      <c r="E13" s="147" t="str">
        <f t="shared" ref="E13" si="0">M13</f>
        <v>12/22(월)오후 도착 , 12/27(토)회수마감(회수 계획 있음)</v>
      </c>
      <c r="F13" s="142"/>
      <c r="G13" s="143" t="s">
        <v>519</v>
      </c>
      <c r="H13" s="143" t="s">
        <v>537</v>
      </c>
      <c r="J13" s="136" t="s">
        <v>538</v>
      </c>
      <c r="K13" s="34" t="s">
        <v>498</v>
      </c>
      <c r="L13" s="136" t="s">
        <v>217</v>
      </c>
      <c r="M13" s="133" t="s">
        <v>539</v>
      </c>
      <c r="O13"/>
      <c r="P13"/>
    </row>
    <row r="14" spans="1:16" ht="13.5" customHeight="1">
      <c r="A14" s="146">
        <v>12</v>
      </c>
      <c r="B14" s="143"/>
      <c r="C14" s="141"/>
      <c r="D14" s="141"/>
      <c r="E14" s="147"/>
      <c r="F14" s="142"/>
      <c r="G14" s="143"/>
      <c r="H14" s="143"/>
      <c r="O14"/>
      <c r="P14"/>
    </row>
    <row r="15" spans="1:16" ht="13.5" customHeight="1">
      <c r="A15" s="146">
        <v>13</v>
      </c>
      <c r="B15" s="143"/>
      <c r="C15" s="141"/>
      <c r="D15" s="141"/>
      <c r="E15" s="147"/>
      <c r="F15" s="142"/>
      <c r="G15" s="143"/>
      <c r="H15" s="143"/>
      <c r="O15"/>
      <c r="P15"/>
    </row>
    <row r="16" spans="1:16" ht="13.5" customHeight="1">
      <c r="A16" s="146">
        <v>14</v>
      </c>
      <c r="B16" s="152" t="s">
        <v>87</v>
      </c>
      <c r="C16" s="153" t="s">
        <v>540</v>
      </c>
      <c r="D16" s="153" t="s">
        <v>518</v>
      </c>
      <c r="E16" s="154" t="str">
        <f>M16</f>
        <v>12/23(화)오후 도착 , 12/31(수)회수마감(회수 미정)</v>
      </c>
      <c r="F16" s="155"/>
      <c r="G16" s="152" t="s">
        <v>541</v>
      </c>
      <c r="H16" s="152" t="s">
        <v>529</v>
      </c>
      <c r="J16" s="136" t="s">
        <v>542</v>
      </c>
      <c r="K16" s="34" t="s">
        <v>543</v>
      </c>
      <c r="L16" s="136" t="s">
        <v>544</v>
      </c>
      <c r="M16" s="133" t="s">
        <v>521</v>
      </c>
      <c r="O16"/>
      <c r="P16"/>
    </row>
    <row r="17" spans="1:22" ht="13.5" customHeight="1">
      <c r="A17" s="146">
        <v>15</v>
      </c>
      <c r="B17" s="152" t="s">
        <v>90</v>
      </c>
      <c r="C17" s="153" t="s">
        <v>545</v>
      </c>
      <c r="D17" s="153" t="s">
        <v>518</v>
      </c>
      <c r="E17" s="154" t="str">
        <f>M17</f>
        <v>12/23(화)오후 도착 , 12/31(수)회수마감(회수 미정)</v>
      </c>
      <c r="F17" s="155"/>
      <c r="G17" s="152" t="s">
        <v>541</v>
      </c>
      <c r="H17" s="152" t="s">
        <v>529</v>
      </c>
      <c r="J17" s="136" t="s">
        <v>542</v>
      </c>
      <c r="K17" s="34" t="s">
        <v>546</v>
      </c>
      <c r="L17" s="136" t="s">
        <v>544</v>
      </c>
      <c r="M17" s="133" t="s">
        <v>521</v>
      </c>
      <c r="O17"/>
      <c r="P17"/>
    </row>
    <row r="18" spans="1:22" ht="13.5" customHeight="1">
      <c r="A18" s="140" t="s">
        <v>547</v>
      </c>
      <c r="B18" s="156"/>
      <c r="C18" s="141"/>
      <c r="D18" s="141"/>
      <c r="E18" s="147"/>
      <c r="F18" s="157"/>
      <c r="G18" s="156"/>
      <c r="H18" s="143"/>
      <c r="I18" s="158"/>
      <c r="J18" s="159"/>
      <c r="K18" s="160"/>
      <c r="L18" s="159"/>
      <c r="M18" s="158"/>
      <c r="N18"/>
      <c r="O18"/>
      <c r="P18"/>
      <c r="Q18" s="161"/>
    </row>
    <row r="19" spans="1:22" ht="13.5" customHeight="1">
      <c r="A19" s="140" t="s">
        <v>548</v>
      </c>
      <c r="B19" s="143"/>
      <c r="C19" s="141"/>
      <c r="D19" s="141"/>
      <c r="E19" s="147"/>
      <c r="F19" s="142"/>
      <c r="G19" s="143"/>
      <c r="H19" s="143"/>
      <c r="O19"/>
      <c r="P19"/>
    </row>
    <row r="20" spans="1:22" ht="13.5" customHeight="1">
      <c r="A20" s="140" t="s">
        <v>549</v>
      </c>
      <c r="B20" s="143"/>
      <c r="C20" s="141"/>
      <c r="D20" s="141"/>
      <c r="E20" s="147"/>
      <c r="F20" s="142"/>
      <c r="G20" s="143"/>
      <c r="H20" s="143"/>
      <c r="O20"/>
      <c r="P20"/>
    </row>
    <row r="21" spans="1:22" ht="13.5" customHeight="1">
      <c r="A21" s="140" t="s">
        <v>550</v>
      </c>
      <c r="B21" s="143"/>
      <c r="C21" s="141"/>
      <c r="D21" s="141"/>
      <c r="E21" s="147"/>
      <c r="F21" s="142"/>
      <c r="G21" s="143"/>
      <c r="H21" s="143"/>
      <c r="O21"/>
      <c r="P21"/>
    </row>
    <row r="22" spans="1:22" ht="13.5" customHeight="1">
      <c r="A22" s="140" t="s">
        <v>551</v>
      </c>
      <c r="B22" s="143"/>
      <c r="C22" s="141"/>
      <c r="D22" s="141"/>
      <c r="E22" s="147"/>
      <c r="F22" s="142"/>
      <c r="G22" s="143"/>
      <c r="H22" s="143"/>
      <c r="N22" s="162"/>
      <c r="O22"/>
      <c r="P22"/>
    </row>
    <row r="23" spans="1:22" ht="13.5" customHeight="1">
      <c r="A23" s="140" t="s">
        <v>552</v>
      </c>
      <c r="B23" s="143"/>
      <c r="C23" s="141"/>
      <c r="D23" s="141"/>
      <c r="E23" s="147"/>
      <c r="F23" s="142"/>
      <c r="G23" s="143"/>
      <c r="H23" s="143"/>
      <c r="J23" s="163"/>
      <c r="N23" s="162"/>
      <c r="O23"/>
      <c r="P23"/>
    </row>
    <row r="24" spans="1:22" ht="13.5" customHeight="1">
      <c r="A24" s="164" t="s">
        <v>553</v>
      </c>
      <c r="B24" s="143"/>
      <c r="C24" s="141"/>
      <c r="D24" s="141"/>
      <c r="E24" s="147"/>
      <c r="F24" s="142"/>
      <c r="G24" s="143"/>
      <c r="H24" s="143"/>
      <c r="K24" s="34" t="s">
        <v>85</v>
      </c>
      <c r="N24" s="162"/>
      <c r="O24"/>
      <c r="P24"/>
      <c r="R24" t="s">
        <v>670</v>
      </c>
    </row>
    <row r="25" spans="1:22" ht="13.5" customHeight="1">
      <c r="A25" s="165" t="s">
        <v>553</v>
      </c>
      <c r="B25" s="140" t="s">
        <v>554</v>
      </c>
      <c r="C25" s="166" t="s">
        <v>555</v>
      </c>
      <c r="D25" s="166" t="s">
        <v>556</v>
      </c>
      <c r="E25" s="167" t="s">
        <v>557</v>
      </c>
      <c r="F25" s="168"/>
      <c r="G25" s="140" t="s">
        <v>512</v>
      </c>
      <c r="H25" s="143" t="s">
        <v>513</v>
      </c>
      <c r="I25" s="133" t="s">
        <v>558</v>
      </c>
      <c r="J25" s="136" t="s">
        <v>559</v>
      </c>
      <c r="K25" s="145" t="s">
        <v>514</v>
      </c>
      <c r="L25" s="136" t="s">
        <v>515</v>
      </c>
      <c r="N25" s="133" t="s">
        <v>338</v>
      </c>
      <c r="O25"/>
      <c r="P25" t="s">
        <v>560</v>
      </c>
      <c r="Q25" s="138" t="s">
        <v>561</v>
      </c>
      <c r="R25" s="172" t="s">
        <v>671</v>
      </c>
      <c r="S25" s="172" t="s">
        <v>690</v>
      </c>
      <c r="T25" s="172" t="s">
        <v>672</v>
      </c>
      <c r="U25" s="172" t="s">
        <v>559</v>
      </c>
      <c r="V25" s="172" t="s">
        <v>69</v>
      </c>
    </row>
    <row r="26" spans="1:22" ht="13.5" customHeight="1">
      <c r="A26" s="169">
        <v>1</v>
      </c>
      <c r="B26" s="148" t="s">
        <v>562</v>
      </c>
      <c r="C26" s="149" t="s">
        <v>563</v>
      </c>
      <c r="D26" s="149" t="s">
        <v>564</v>
      </c>
      <c r="E26" s="150" t="str">
        <f t="shared" ref="E26:E89" si="1">M26</f>
        <v>12/23(화)오후 도착 , 12/31(수)회수마감(회수 미정)</v>
      </c>
      <c r="F26" s="151"/>
      <c r="G26" s="148" t="s">
        <v>565</v>
      </c>
      <c r="H26" s="148" t="s">
        <v>566</v>
      </c>
      <c r="I26" s="133">
        <v>-1</v>
      </c>
      <c r="J26" s="136" t="s">
        <v>193</v>
      </c>
      <c r="K26" s="34" t="s">
        <v>567</v>
      </c>
      <c r="L26" s="136" t="s">
        <v>190</v>
      </c>
      <c r="M26" s="133" t="s">
        <v>521</v>
      </c>
      <c r="O26"/>
      <c r="P26"/>
      <c r="R26" t="s">
        <v>673</v>
      </c>
      <c r="S26" t="s">
        <v>675</v>
      </c>
      <c r="T26" s="173">
        <v>46015.415625000001</v>
      </c>
      <c r="U26" t="s">
        <v>84</v>
      </c>
      <c r="V26" s="174">
        <v>46012</v>
      </c>
    </row>
    <row r="27" spans="1:22" ht="13.5" customHeight="1">
      <c r="A27" s="169">
        <v>2</v>
      </c>
      <c r="B27" s="148" t="s">
        <v>568</v>
      </c>
      <c r="C27" s="149" t="s">
        <v>569</v>
      </c>
      <c r="D27" s="149" t="s">
        <v>564</v>
      </c>
      <c r="E27" s="150" t="str">
        <f t="shared" si="1"/>
        <v>12/23(화)오전 도착 , 12/31(수)회수마감(회수 미정)</v>
      </c>
      <c r="F27" s="151"/>
      <c r="G27" s="148" t="s">
        <v>570</v>
      </c>
      <c r="H27" s="148">
        <v>874</v>
      </c>
      <c r="I27" s="133">
        <v>-1</v>
      </c>
      <c r="J27" s="136" t="s">
        <v>193</v>
      </c>
      <c r="K27" s="34" t="s">
        <v>571</v>
      </c>
      <c r="L27" s="136" t="s">
        <v>190</v>
      </c>
      <c r="M27" s="133" t="s">
        <v>572</v>
      </c>
      <c r="O27"/>
      <c r="P27"/>
      <c r="R27" t="s">
        <v>676</v>
      </c>
      <c r="S27" t="s">
        <v>675</v>
      </c>
      <c r="T27" s="173">
        <v>46014.548958333333</v>
      </c>
      <c r="U27" t="s">
        <v>84</v>
      </c>
      <c r="V27" s="174">
        <v>46012</v>
      </c>
    </row>
    <row r="28" spans="1:22" ht="13.5" customHeight="1">
      <c r="A28" s="169">
        <v>3</v>
      </c>
      <c r="B28" s="152" t="s">
        <v>573</v>
      </c>
      <c r="C28" s="153" t="s">
        <v>574</v>
      </c>
      <c r="D28" s="153" t="s">
        <v>518</v>
      </c>
      <c r="E28" s="154" t="str">
        <f t="shared" si="1"/>
        <v>12/22(월)13시접안,23일04시출항.</v>
      </c>
      <c r="F28" s="155"/>
      <c r="G28" s="152" t="s">
        <v>565</v>
      </c>
      <c r="H28" s="152" t="s">
        <v>529</v>
      </c>
      <c r="I28" s="133">
        <v>0</v>
      </c>
      <c r="J28" s="136" t="s">
        <v>575</v>
      </c>
      <c r="K28" s="34" t="s">
        <v>109</v>
      </c>
      <c r="L28" s="136" t="s">
        <v>217</v>
      </c>
      <c r="M28" s="133" t="s">
        <v>576</v>
      </c>
      <c r="O28"/>
      <c r="P28"/>
      <c r="R28" t="s">
        <v>673</v>
      </c>
      <c r="S28" t="s">
        <v>677</v>
      </c>
      <c r="T28" s="173">
        <v>46016.414074074077</v>
      </c>
      <c r="U28" t="s">
        <v>126</v>
      </c>
      <c r="V28" s="174">
        <v>46013</v>
      </c>
    </row>
    <row r="29" spans="1:22" ht="13.5" customHeight="1">
      <c r="A29" s="169">
        <v>4</v>
      </c>
      <c r="B29" s="152" t="s">
        <v>406</v>
      </c>
      <c r="C29" s="153" t="s">
        <v>577</v>
      </c>
      <c r="D29" s="153" t="s">
        <v>518</v>
      </c>
      <c r="E29" s="154" t="str">
        <f t="shared" si="1"/>
        <v>12/23(화)오후 도착 , 12/31(수)회수마감(회수 미정)</v>
      </c>
      <c r="F29" s="155"/>
      <c r="G29" s="152" t="s">
        <v>578</v>
      </c>
      <c r="H29" s="152" t="s">
        <v>520</v>
      </c>
      <c r="I29" s="133">
        <v>0</v>
      </c>
      <c r="J29" s="136" t="s">
        <v>579</v>
      </c>
      <c r="K29" s="34" t="s">
        <v>91</v>
      </c>
      <c r="L29" s="136" t="s">
        <v>580</v>
      </c>
      <c r="M29" s="133" t="s">
        <v>521</v>
      </c>
      <c r="O29"/>
      <c r="P29"/>
      <c r="R29" t="s">
        <v>678</v>
      </c>
      <c r="S29" t="s">
        <v>679</v>
      </c>
      <c r="T29" s="173">
        <v>46014.568749999999</v>
      </c>
      <c r="U29" t="s">
        <v>579</v>
      </c>
      <c r="V29" s="174">
        <v>46010</v>
      </c>
    </row>
    <row r="30" spans="1:22" ht="13.5" customHeight="1">
      <c r="A30" s="169">
        <v>5</v>
      </c>
      <c r="B30" s="152" t="s">
        <v>562</v>
      </c>
      <c r="C30" s="153" t="s">
        <v>581</v>
      </c>
      <c r="D30" s="153" t="s">
        <v>518</v>
      </c>
      <c r="E30" s="154" t="str">
        <f t="shared" si="1"/>
        <v>12/23(화)오후 도착 , 12/31(수)회수마감(회수 미정)</v>
      </c>
      <c r="F30" s="155"/>
      <c r="G30" s="152" t="s">
        <v>582</v>
      </c>
      <c r="H30" s="152">
        <v>869</v>
      </c>
      <c r="I30" s="133">
        <v>0</v>
      </c>
      <c r="J30" s="136" t="s">
        <v>583</v>
      </c>
      <c r="K30" s="34" t="s">
        <v>584</v>
      </c>
      <c r="L30" s="136" t="s">
        <v>80</v>
      </c>
      <c r="M30" s="133" t="s">
        <v>521</v>
      </c>
      <c r="O30"/>
      <c r="P30"/>
      <c r="R30" t="s">
        <v>673</v>
      </c>
      <c r="S30" t="s">
        <v>681</v>
      </c>
      <c r="T30" s="173">
        <v>46014.630150462966</v>
      </c>
      <c r="U30" t="s">
        <v>680</v>
      </c>
      <c r="V30" s="174">
        <v>46011</v>
      </c>
    </row>
    <row r="31" spans="1:22" ht="13.5" customHeight="1">
      <c r="A31" s="169">
        <v>6</v>
      </c>
      <c r="B31" s="152" t="s">
        <v>585</v>
      </c>
      <c r="C31" s="153" t="s">
        <v>586</v>
      </c>
      <c r="D31" s="153" t="s">
        <v>518</v>
      </c>
      <c r="E31" s="154" t="str">
        <f t="shared" si="1"/>
        <v>12/24(수)오후 도착 , 12/29(월)회수마감(회수 미정)</v>
      </c>
      <c r="F31" s="155"/>
      <c r="G31" s="152" t="s">
        <v>587</v>
      </c>
      <c r="H31" s="152">
        <v>1800</v>
      </c>
      <c r="I31" s="133">
        <v>0</v>
      </c>
      <c r="J31" s="136" t="s">
        <v>588</v>
      </c>
      <c r="K31" s="34" t="s">
        <v>589</v>
      </c>
      <c r="L31" s="136" t="s">
        <v>217</v>
      </c>
      <c r="M31" s="133" t="s">
        <v>590</v>
      </c>
      <c r="O31"/>
      <c r="P31"/>
      <c r="R31" t="s">
        <v>683</v>
      </c>
      <c r="S31" t="s">
        <v>679</v>
      </c>
      <c r="T31" s="173">
        <v>46015.495138888888</v>
      </c>
      <c r="U31" t="s">
        <v>682</v>
      </c>
      <c r="V31" s="174">
        <v>46012</v>
      </c>
    </row>
    <row r="32" spans="1:22" ht="13.5" customHeight="1">
      <c r="A32" s="169">
        <v>7</v>
      </c>
      <c r="B32" s="152" t="s">
        <v>97</v>
      </c>
      <c r="C32" s="153" t="s">
        <v>591</v>
      </c>
      <c r="D32" s="153" t="s">
        <v>518</v>
      </c>
      <c r="E32" s="154" t="str">
        <f t="shared" si="1"/>
        <v>12/24(수)오후 도착 , 12/29(월)회수마감(회수 미정)</v>
      </c>
      <c r="F32" s="155"/>
      <c r="G32" s="152" t="s">
        <v>519</v>
      </c>
      <c r="H32" s="152" t="s">
        <v>529</v>
      </c>
      <c r="I32" s="133">
        <v>0</v>
      </c>
      <c r="J32" s="136" t="s">
        <v>100</v>
      </c>
      <c r="K32" s="34" t="s">
        <v>118</v>
      </c>
      <c r="L32" s="136" t="s">
        <v>592</v>
      </c>
      <c r="M32" s="133" t="s">
        <v>590</v>
      </c>
      <c r="O32"/>
      <c r="P32"/>
      <c r="R32" t="s">
        <v>684</v>
      </c>
      <c r="S32" t="s">
        <v>685</v>
      </c>
      <c r="T32" s="173">
        <v>46015.643854166665</v>
      </c>
      <c r="U32" t="s">
        <v>125</v>
      </c>
      <c r="V32" s="174">
        <v>46013</v>
      </c>
    </row>
    <row r="33" spans="1:22" ht="13.5" customHeight="1">
      <c r="A33" s="169">
        <v>8</v>
      </c>
      <c r="B33" s="152" t="s">
        <v>97</v>
      </c>
      <c r="C33" s="153" t="s">
        <v>593</v>
      </c>
      <c r="D33" s="153" t="s">
        <v>518</v>
      </c>
      <c r="E33" s="154" t="str">
        <f t="shared" si="1"/>
        <v>12/24(수)오후 도착 , 12/29(월)회수마감(회수 미정)</v>
      </c>
      <c r="F33" s="155"/>
      <c r="G33" s="152" t="s">
        <v>519</v>
      </c>
      <c r="H33" s="152" t="s">
        <v>529</v>
      </c>
      <c r="I33" s="133">
        <v>0</v>
      </c>
      <c r="J33" s="136" t="s">
        <v>100</v>
      </c>
      <c r="K33" s="34" t="s">
        <v>96</v>
      </c>
      <c r="L33" s="136" t="s">
        <v>592</v>
      </c>
      <c r="M33" s="133" t="s">
        <v>590</v>
      </c>
      <c r="O33"/>
      <c r="P33"/>
      <c r="R33" t="s">
        <v>684</v>
      </c>
      <c r="S33" t="s">
        <v>685</v>
      </c>
      <c r="T33" s="173">
        <v>46015.186863425923</v>
      </c>
      <c r="U33" t="s">
        <v>125</v>
      </c>
      <c r="V33" s="174">
        <v>46013</v>
      </c>
    </row>
    <row r="34" spans="1:22" ht="13.5" customHeight="1">
      <c r="A34" s="169">
        <v>9</v>
      </c>
      <c r="B34" s="152" t="s">
        <v>585</v>
      </c>
      <c r="C34" s="153" t="s">
        <v>594</v>
      </c>
      <c r="D34" s="153" t="s">
        <v>518</v>
      </c>
      <c r="E34" s="154" t="str">
        <f t="shared" si="1"/>
        <v>12/24(수)오후 도착 , 12/29(월)회수마감(회수 미정)</v>
      </c>
      <c r="F34" s="155"/>
      <c r="G34" s="152" t="s">
        <v>587</v>
      </c>
      <c r="H34" s="152">
        <v>1800</v>
      </c>
      <c r="I34" s="133">
        <v>0</v>
      </c>
      <c r="J34" s="136" t="s">
        <v>588</v>
      </c>
      <c r="K34" s="34" t="s">
        <v>595</v>
      </c>
      <c r="L34" s="136" t="s">
        <v>217</v>
      </c>
      <c r="M34" s="133" t="s">
        <v>590</v>
      </c>
      <c r="O34"/>
      <c r="P34"/>
      <c r="R34" t="s">
        <v>683</v>
      </c>
      <c r="S34" t="s">
        <v>679</v>
      </c>
      <c r="T34" s="173">
        <v>46015.38958333333</v>
      </c>
      <c r="U34" t="s">
        <v>682</v>
      </c>
      <c r="V34" s="174">
        <v>46012</v>
      </c>
    </row>
    <row r="35" spans="1:22" ht="13.5" customHeight="1">
      <c r="A35" s="169">
        <v>10</v>
      </c>
      <c r="B35" s="152" t="s">
        <v>97</v>
      </c>
      <c r="C35" s="153" t="s">
        <v>596</v>
      </c>
      <c r="D35" s="153" t="s">
        <v>518</v>
      </c>
      <c r="E35" s="154" t="str">
        <f t="shared" si="1"/>
        <v>12/24(수)조출 , 12/29(월)회수마감(회수 계획 있음)</v>
      </c>
      <c r="F35" s="155"/>
      <c r="G35" s="152" t="s">
        <v>519</v>
      </c>
      <c r="H35" s="152" t="s">
        <v>529</v>
      </c>
      <c r="I35" s="133">
        <v>0</v>
      </c>
      <c r="J35" s="136" t="s">
        <v>100</v>
      </c>
      <c r="K35" s="34" t="s">
        <v>103</v>
      </c>
      <c r="L35" s="136" t="s">
        <v>592</v>
      </c>
      <c r="M35" s="133" t="s">
        <v>597</v>
      </c>
      <c r="O35"/>
      <c r="P35"/>
      <c r="R35" t="s">
        <v>684</v>
      </c>
      <c r="S35" t="s">
        <v>685</v>
      </c>
      <c r="T35" s="173">
        <v>46015.741354166668</v>
      </c>
      <c r="U35" t="s">
        <v>125</v>
      </c>
      <c r="V35" s="174">
        <v>46013</v>
      </c>
    </row>
    <row r="36" spans="1:22" ht="13.5" customHeight="1">
      <c r="A36" s="169">
        <v>11</v>
      </c>
      <c r="B36" s="152" t="s">
        <v>97</v>
      </c>
      <c r="C36" s="153" t="s">
        <v>598</v>
      </c>
      <c r="D36" s="153" t="s">
        <v>518</v>
      </c>
      <c r="E36" s="154" t="str">
        <f t="shared" si="1"/>
        <v>12/24(수)조출 , 12/29(월)회수마감(회수 계획 있음)</v>
      </c>
      <c r="F36" s="155"/>
      <c r="G36" s="152" t="s">
        <v>519</v>
      </c>
      <c r="H36" s="152" t="s">
        <v>529</v>
      </c>
      <c r="I36" s="133">
        <v>0</v>
      </c>
      <c r="J36" s="136" t="s">
        <v>100</v>
      </c>
      <c r="K36" s="34" t="s">
        <v>106</v>
      </c>
      <c r="L36" s="136" t="s">
        <v>592</v>
      </c>
      <c r="M36" s="133" t="s">
        <v>597</v>
      </c>
      <c r="O36"/>
      <c r="P36"/>
      <c r="R36" t="s">
        <v>684</v>
      </c>
      <c r="S36" t="s">
        <v>685</v>
      </c>
      <c r="T36" s="173">
        <v>46015.185624999998</v>
      </c>
      <c r="U36" t="s">
        <v>125</v>
      </c>
      <c r="V36" s="174">
        <v>46013</v>
      </c>
    </row>
    <row r="37" spans="1:22" ht="13.5" customHeight="1">
      <c r="A37" s="169">
        <v>12</v>
      </c>
      <c r="B37" s="152" t="s">
        <v>585</v>
      </c>
      <c r="C37" s="153" t="s">
        <v>599</v>
      </c>
      <c r="D37" s="153" t="s">
        <v>518</v>
      </c>
      <c r="E37" s="154" t="str">
        <f t="shared" si="1"/>
        <v>12/24(수)조출 , 12/29(월)회수마감(회수 계획 있음)</v>
      </c>
      <c r="F37" s="155"/>
      <c r="G37" s="152" t="s">
        <v>587</v>
      </c>
      <c r="H37" s="152">
        <v>2100</v>
      </c>
      <c r="I37" s="133">
        <v>0</v>
      </c>
      <c r="J37" s="136" t="s">
        <v>600</v>
      </c>
      <c r="K37" s="34" t="s">
        <v>601</v>
      </c>
      <c r="L37" s="136" t="s">
        <v>230</v>
      </c>
      <c r="M37" s="133" t="s">
        <v>597</v>
      </c>
      <c r="O37"/>
      <c r="P37"/>
      <c r="R37" t="s">
        <v>683</v>
      </c>
      <c r="S37" t="s">
        <v>681</v>
      </c>
      <c r="T37" s="173">
        <v>46015.309236111112</v>
      </c>
      <c r="U37" t="s">
        <v>686</v>
      </c>
      <c r="V37" s="174">
        <v>46012</v>
      </c>
    </row>
    <row r="38" spans="1:22" ht="13.5" customHeight="1">
      <c r="A38" s="169">
        <v>13</v>
      </c>
      <c r="B38" s="143" t="s">
        <v>87</v>
      </c>
      <c r="C38" s="141" t="s">
        <v>602</v>
      </c>
      <c r="D38" s="141" t="s">
        <v>518</v>
      </c>
      <c r="E38" s="147" t="str">
        <f t="shared" si="1"/>
        <v>12/11(목)! 18시 CY반입됨.</v>
      </c>
      <c r="F38" s="142"/>
      <c r="G38" s="143" t="s">
        <v>603</v>
      </c>
      <c r="H38" s="143" t="s">
        <v>529</v>
      </c>
      <c r="J38" s="136" t="s">
        <v>218</v>
      </c>
      <c r="K38" s="34" t="s">
        <v>275</v>
      </c>
      <c r="L38" s="136" t="s">
        <v>217</v>
      </c>
      <c r="M38" s="133" t="s">
        <v>604</v>
      </c>
      <c r="O38"/>
      <c r="P38"/>
      <c r="R38" t="s">
        <v>674</v>
      </c>
      <c r="S38" t="s">
        <v>677</v>
      </c>
      <c r="U38" t="s">
        <v>182</v>
      </c>
      <c r="V38" s="174">
        <v>46002</v>
      </c>
    </row>
    <row r="39" spans="1:22" ht="13.5" customHeight="1">
      <c r="A39" s="169">
        <v>14</v>
      </c>
      <c r="B39" s="143" t="s">
        <v>87</v>
      </c>
      <c r="C39" s="141" t="s">
        <v>605</v>
      </c>
      <c r="D39" s="141" t="s">
        <v>518</v>
      </c>
      <c r="E39" s="147" t="str">
        <f t="shared" si="1"/>
        <v>12/12(금)! 05시 CY반입됨.</v>
      </c>
      <c r="F39" s="142"/>
      <c r="G39" s="143" t="s">
        <v>603</v>
      </c>
      <c r="H39" s="143" t="s">
        <v>529</v>
      </c>
      <c r="J39" s="136" t="s">
        <v>218</v>
      </c>
      <c r="K39" s="34" t="s">
        <v>280</v>
      </c>
      <c r="L39" s="136" t="s">
        <v>217</v>
      </c>
      <c r="M39" s="133" t="s">
        <v>606</v>
      </c>
      <c r="O39"/>
      <c r="P39"/>
      <c r="R39" t="s">
        <v>674</v>
      </c>
      <c r="S39" t="s">
        <v>677</v>
      </c>
      <c r="U39" t="s">
        <v>182</v>
      </c>
      <c r="V39" s="174">
        <v>46002</v>
      </c>
    </row>
    <row r="40" spans="1:22" ht="13.5" customHeight="1">
      <c r="A40" s="169">
        <v>15</v>
      </c>
      <c r="B40" s="143" t="s">
        <v>87</v>
      </c>
      <c r="C40" s="141" t="s">
        <v>607</v>
      </c>
      <c r="D40" s="141" t="s">
        <v>518</v>
      </c>
      <c r="E40" s="147" t="str">
        <f t="shared" si="1"/>
        <v>12/16(화)! 03시 CY반입됨.</v>
      </c>
      <c r="F40" s="142"/>
      <c r="G40" s="143" t="s">
        <v>603</v>
      </c>
      <c r="H40" s="143" t="s">
        <v>529</v>
      </c>
      <c r="J40" s="136" t="s">
        <v>219</v>
      </c>
      <c r="K40" s="34" t="s">
        <v>287</v>
      </c>
      <c r="L40" s="136" t="s">
        <v>190</v>
      </c>
      <c r="M40" s="133" t="s">
        <v>608</v>
      </c>
      <c r="O40"/>
      <c r="P40"/>
      <c r="R40" t="s">
        <v>674</v>
      </c>
      <c r="S40" t="s">
        <v>675</v>
      </c>
      <c r="U40" t="s">
        <v>183</v>
      </c>
      <c r="V40" s="174">
        <v>46006</v>
      </c>
    </row>
    <row r="41" spans="1:22" ht="13.5" customHeight="1">
      <c r="A41" s="169">
        <v>16</v>
      </c>
      <c r="B41" s="143" t="s">
        <v>87</v>
      </c>
      <c r="C41" s="141" t="s">
        <v>609</v>
      </c>
      <c r="D41" s="141" t="s">
        <v>518</v>
      </c>
      <c r="E41" s="147" t="str">
        <f t="shared" si="1"/>
        <v>12/16(화)! 03시 CY반입됨.</v>
      </c>
      <c r="F41" s="142"/>
      <c r="G41" s="143" t="s">
        <v>603</v>
      </c>
      <c r="H41" s="143" t="s">
        <v>529</v>
      </c>
      <c r="J41" s="136" t="s">
        <v>219</v>
      </c>
      <c r="K41" s="34" t="s">
        <v>283</v>
      </c>
      <c r="L41" s="136" t="s">
        <v>190</v>
      </c>
      <c r="M41" s="133" t="s">
        <v>608</v>
      </c>
      <c r="O41"/>
      <c r="P41"/>
      <c r="R41" t="s">
        <v>674</v>
      </c>
      <c r="S41" t="s">
        <v>675</v>
      </c>
      <c r="U41" t="s">
        <v>183</v>
      </c>
      <c r="V41" s="174">
        <v>46006</v>
      </c>
    </row>
    <row r="42" spans="1:22" ht="13.5" customHeight="1">
      <c r="A42" s="169">
        <v>17</v>
      </c>
      <c r="B42" s="143" t="s">
        <v>134</v>
      </c>
      <c r="C42" s="141" t="s">
        <v>610</v>
      </c>
      <c r="D42" s="141" t="s">
        <v>518</v>
      </c>
      <c r="E42" s="147" t="str">
        <f t="shared" si="1"/>
        <v>12/17(수)! 07시 CY반입됨.</v>
      </c>
      <c r="F42" s="142"/>
      <c r="G42" s="143" t="s">
        <v>603</v>
      </c>
      <c r="H42" s="143" t="s">
        <v>520</v>
      </c>
      <c r="J42" s="136" t="s">
        <v>184</v>
      </c>
      <c r="K42" s="34" t="s">
        <v>140</v>
      </c>
      <c r="L42" s="136" t="s">
        <v>80</v>
      </c>
      <c r="M42" s="133" t="s">
        <v>611</v>
      </c>
      <c r="O42"/>
      <c r="P42"/>
      <c r="R42" t="s">
        <v>674</v>
      </c>
      <c r="S42" t="s">
        <v>681</v>
      </c>
      <c r="U42" t="s">
        <v>184</v>
      </c>
      <c r="V42" s="174">
        <v>46008</v>
      </c>
    </row>
    <row r="43" spans="1:22" ht="13.5" customHeight="1">
      <c r="A43" s="169">
        <v>18</v>
      </c>
      <c r="B43" s="143" t="s">
        <v>87</v>
      </c>
      <c r="C43" s="141" t="s">
        <v>612</v>
      </c>
      <c r="D43" s="141" t="s">
        <v>518</v>
      </c>
      <c r="E43" s="147" t="str">
        <f t="shared" si="1"/>
        <v>12/17(수)! 12시 CY반입됨.</v>
      </c>
      <c r="F43" s="142"/>
      <c r="G43" s="143" t="s">
        <v>603</v>
      </c>
      <c r="H43" s="143" t="s">
        <v>529</v>
      </c>
      <c r="J43" s="136" t="s">
        <v>221</v>
      </c>
      <c r="K43" s="34" t="s">
        <v>291</v>
      </c>
      <c r="L43" s="136" t="s">
        <v>217</v>
      </c>
      <c r="M43" s="133" t="s">
        <v>613</v>
      </c>
      <c r="O43"/>
      <c r="P43"/>
      <c r="R43" t="s">
        <v>674</v>
      </c>
      <c r="S43" t="s">
        <v>677</v>
      </c>
      <c r="U43" t="s">
        <v>185</v>
      </c>
      <c r="V43" s="174">
        <v>46008</v>
      </c>
    </row>
    <row r="44" spans="1:22" ht="13.5" customHeight="1">
      <c r="A44" s="169">
        <v>19</v>
      </c>
      <c r="B44" s="143" t="s">
        <v>134</v>
      </c>
      <c r="C44" s="141" t="s">
        <v>614</v>
      </c>
      <c r="D44" s="141" t="s">
        <v>518</v>
      </c>
      <c r="E44" s="147" t="str">
        <f t="shared" si="1"/>
        <v>12/17(수)! 16시 CY반입됨.</v>
      </c>
      <c r="F44" s="142"/>
      <c r="G44" s="143" t="s">
        <v>603</v>
      </c>
      <c r="H44" s="143" t="s">
        <v>520</v>
      </c>
      <c r="J44" s="136" t="s">
        <v>207</v>
      </c>
      <c r="K44" s="34" t="s">
        <v>206</v>
      </c>
      <c r="L44" s="136" t="s">
        <v>205</v>
      </c>
      <c r="M44" s="133" t="s">
        <v>615</v>
      </c>
      <c r="O44"/>
      <c r="P44"/>
      <c r="R44" t="s">
        <v>684</v>
      </c>
      <c r="S44" t="s">
        <v>679</v>
      </c>
      <c r="U44" t="s">
        <v>180</v>
      </c>
      <c r="V44" s="174">
        <v>46008</v>
      </c>
    </row>
    <row r="45" spans="1:22" ht="13.5" customHeight="1">
      <c r="A45" s="169">
        <v>20</v>
      </c>
      <c r="B45" s="143" t="s">
        <v>562</v>
      </c>
      <c r="C45" s="141" t="s">
        <v>616</v>
      </c>
      <c r="D45" s="141" t="s">
        <v>518</v>
      </c>
      <c r="E45" s="147" t="str">
        <f t="shared" si="1"/>
        <v>12/21(일)! 02시 CY반입됨.</v>
      </c>
      <c r="F45" s="142"/>
      <c r="G45" s="143" t="s">
        <v>603</v>
      </c>
      <c r="H45" s="143">
        <v>952</v>
      </c>
      <c r="J45" s="136" t="s">
        <v>193</v>
      </c>
      <c r="K45" s="34" t="s">
        <v>198</v>
      </c>
      <c r="L45" s="136" t="s">
        <v>190</v>
      </c>
      <c r="M45" s="133" t="s">
        <v>617</v>
      </c>
      <c r="O45"/>
      <c r="P45"/>
      <c r="R45" t="s">
        <v>673</v>
      </c>
      <c r="S45" t="s">
        <v>675</v>
      </c>
      <c r="T45" s="173">
        <v>46015.63144675926</v>
      </c>
      <c r="U45" t="s">
        <v>84</v>
      </c>
      <c r="V45" s="174">
        <v>46012</v>
      </c>
    </row>
    <row r="46" spans="1:22" ht="13.5" customHeight="1">
      <c r="A46" s="169">
        <v>21</v>
      </c>
      <c r="B46" s="143" t="s">
        <v>562</v>
      </c>
      <c r="C46" s="141" t="s">
        <v>254</v>
      </c>
      <c r="D46" s="141" t="s">
        <v>518</v>
      </c>
      <c r="E46" s="147" t="str">
        <f t="shared" si="1"/>
        <v>12/21(일)! 04시 CY반입됨.</v>
      </c>
      <c r="F46" s="142"/>
      <c r="G46" s="143" t="s">
        <v>603</v>
      </c>
      <c r="H46" s="143">
        <v>834</v>
      </c>
      <c r="J46" s="136" t="s">
        <v>193</v>
      </c>
      <c r="K46" s="34" t="s">
        <v>192</v>
      </c>
      <c r="L46" s="136" t="s">
        <v>190</v>
      </c>
      <c r="M46" s="133" t="s">
        <v>618</v>
      </c>
      <c r="O46"/>
      <c r="P46"/>
      <c r="R46" t="s">
        <v>673</v>
      </c>
      <c r="S46" t="s">
        <v>675</v>
      </c>
      <c r="T46" s="173">
        <v>46015.59511574074</v>
      </c>
      <c r="U46" t="s">
        <v>84</v>
      </c>
      <c r="V46" s="174">
        <v>46012</v>
      </c>
    </row>
    <row r="47" spans="1:22" ht="13.5" customHeight="1">
      <c r="A47" s="169">
        <v>22</v>
      </c>
      <c r="B47" s="143" t="s">
        <v>562</v>
      </c>
      <c r="C47" s="141" t="s">
        <v>619</v>
      </c>
      <c r="D47" s="141" t="s">
        <v>518</v>
      </c>
      <c r="E47" s="147" t="str">
        <f t="shared" si="1"/>
        <v>12/21(일)! 05시 CY반입됨.</v>
      </c>
      <c r="F47" s="142"/>
      <c r="G47" s="143" t="s">
        <v>603</v>
      </c>
      <c r="H47" s="143">
        <v>750</v>
      </c>
      <c r="J47" s="136" t="s">
        <v>193</v>
      </c>
      <c r="K47" s="34" t="s">
        <v>195</v>
      </c>
      <c r="L47" s="136" t="s">
        <v>620</v>
      </c>
      <c r="M47" s="133" t="s">
        <v>621</v>
      </c>
      <c r="O47"/>
      <c r="P47"/>
      <c r="R47" t="s">
        <v>673</v>
      </c>
      <c r="S47" t="s">
        <v>675</v>
      </c>
      <c r="T47" s="173">
        <v>46015.653321759259</v>
      </c>
      <c r="U47" t="s">
        <v>84</v>
      </c>
      <c r="V47" s="174">
        <v>46012</v>
      </c>
    </row>
    <row r="48" spans="1:22" ht="13.5" customHeight="1">
      <c r="A48" s="169">
        <v>23</v>
      </c>
      <c r="B48" s="143" t="s">
        <v>134</v>
      </c>
      <c r="C48" s="141" t="s">
        <v>622</v>
      </c>
      <c r="D48" s="141" t="s">
        <v>518</v>
      </c>
      <c r="E48" s="147" t="str">
        <f t="shared" si="1"/>
        <v>12/21(일)! 20시 CY반입됨.</v>
      </c>
      <c r="F48" s="142"/>
      <c r="G48" s="143" t="s">
        <v>603</v>
      </c>
      <c r="H48" s="143" t="s">
        <v>520</v>
      </c>
      <c r="J48" s="136" t="s">
        <v>181</v>
      </c>
      <c r="K48" s="34" t="s">
        <v>623</v>
      </c>
      <c r="L48" s="136" t="s">
        <v>624</v>
      </c>
      <c r="M48" s="133" t="s">
        <v>625</v>
      </c>
      <c r="O48"/>
      <c r="P48"/>
      <c r="R48" t="s">
        <v>674</v>
      </c>
      <c r="S48" t="s">
        <v>679</v>
      </c>
      <c r="U48" t="s">
        <v>181</v>
      </c>
      <c r="V48" s="174">
        <v>46012</v>
      </c>
    </row>
    <row r="49" spans="1:22" ht="13.5" customHeight="1">
      <c r="A49" s="169">
        <v>24</v>
      </c>
      <c r="B49" s="143" t="s">
        <v>134</v>
      </c>
      <c r="C49" s="141" t="s">
        <v>626</v>
      </c>
      <c r="D49" s="141" t="s">
        <v>518</v>
      </c>
      <c r="E49" s="147" t="str">
        <f t="shared" si="1"/>
        <v>12/21(일)! 20시 CY반입됨.</v>
      </c>
      <c r="F49" s="142"/>
      <c r="G49" s="143" t="s">
        <v>603</v>
      </c>
      <c r="H49" s="143" t="s">
        <v>520</v>
      </c>
      <c r="J49" s="136" t="s">
        <v>214</v>
      </c>
      <c r="K49" s="34" t="s">
        <v>213</v>
      </c>
      <c r="L49" s="136" t="s">
        <v>205</v>
      </c>
      <c r="M49" s="133" t="s">
        <v>625</v>
      </c>
      <c r="O49"/>
      <c r="P49"/>
      <c r="R49" t="s">
        <v>684</v>
      </c>
      <c r="S49" t="s">
        <v>679</v>
      </c>
      <c r="U49" t="s">
        <v>181</v>
      </c>
      <c r="V49" s="174">
        <v>46012</v>
      </c>
    </row>
    <row r="50" spans="1:22" ht="13.5" customHeight="1">
      <c r="A50" s="169">
        <v>25</v>
      </c>
      <c r="B50" s="143" t="s">
        <v>627</v>
      </c>
      <c r="C50" s="141" t="s">
        <v>628</v>
      </c>
      <c r="D50" s="141" t="s">
        <v>518</v>
      </c>
      <c r="E50" s="147" t="str">
        <f t="shared" si="1"/>
        <v>12/23(화)! 00시 CY반입됨.</v>
      </c>
      <c r="F50" s="142"/>
      <c r="G50" s="143" t="s">
        <v>603</v>
      </c>
      <c r="H50" s="143">
        <v>2079</v>
      </c>
      <c r="J50" s="136" t="s">
        <v>629</v>
      </c>
      <c r="K50" s="34" t="s">
        <v>630</v>
      </c>
      <c r="L50" s="136" t="s">
        <v>80</v>
      </c>
      <c r="M50" s="133" t="s">
        <v>631</v>
      </c>
      <c r="O50"/>
      <c r="P50"/>
      <c r="R50" t="s">
        <v>673</v>
      </c>
      <c r="S50" t="s">
        <v>681</v>
      </c>
      <c r="T50" s="173">
        <v>46015.295451388891</v>
      </c>
      <c r="U50" t="s">
        <v>687</v>
      </c>
      <c r="V50" s="174">
        <v>46013</v>
      </c>
    </row>
    <row r="51" spans="1:22" ht="13.5" customHeight="1">
      <c r="A51" s="169">
        <v>26</v>
      </c>
      <c r="B51" s="143" t="s">
        <v>87</v>
      </c>
      <c r="C51" s="141" t="s">
        <v>632</v>
      </c>
      <c r="D51" s="141" t="s">
        <v>518</v>
      </c>
      <c r="E51" s="147" t="str">
        <f t="shared" si="1"/>
        <v>12/24(수)14시접안,25일12시출항.</v>
      </c>
      <c r="F51" s="142"/>
      <c r="G51" s="143" t="s">
        <v>603</v>
      </c>
      <c r="H51" s="143" t="s">
        <v>529</v>
      </c>
      <c r="J51" s="136" t="s">
        <v>225</v>
      </c>
      <c r="K51" s="34" t="s">
        <v>302</v>
      </c>
      <c r="L51" s="136" t="s">
        <v>190</v>
      </c>
      <c r="M51" s="133" t="s">
        <v>633</v>
      </c>
      <c r="O51"/>
      <c r="P51"/>
      <c r="R51" t="s">
        <v>674</v>
      </c>
      <c r="S51" t="s">
        <v>675</v>
      </c>
      <c r="U51" t="s">
        <v>187</v>
      </c>
      <c r="V51" s="174">
        <v>46015</v>
      </c>
    </row>
    <row r="52" spans="1:22" ht="13.5" customHeight="1">
      <c r="A52" s="169">
        <v>27</v>
      </c>
      <c r="B52" s="143" t="s">
        <v>573</v>
      </c>
      <c r="C52" s="141" t="s">
        <v>634</v>
      </c>
      <c r="D52" s="141" t="s">
        <v>518</v>
      </c>
      <c r="E52" s="147" t="str">
        <f t="shared" si="1"/>
        <v>12/24(수)21시접안,25일21시출항.</v>
      </c>
      <c r="F52" s="142"/>
      <c r="G52" s="143" t="s">
        <v>603</v>
      </c>
      <c r="H52" s="143" t="s">
        <v>529</v>
      </c>
      <c r="J52" s="136" t="s">
        <v>224</v>
      </c>
      <c r="K52" s="34" t="s">
        <v>298</v>
      </c>
      <c r="L52" s="136" t="s">
        <v>217</v>
      </c>
      <c r="M52" s="133" t="s">
        <v>635</v>
      </c>
      <c r="O52"/>
      <c r="P52"/>
      <c r="R52" t="s">
        <v>674</v>
      </c>
      <c r="S52" t="s">
        <v>677</v>
      </c>
      <c r="U52" t="s">
        <v>186</v>
      </c>
      <c r="V52" s="174">
        <v>46016</v>
      </c>
    </row>
    <row r="53" spans="1:22" ht="13.5" customHeight="1">
      <c r="A53" s="169">
        <v>28</v>
      </c>
      <c r="B53" s="143" t="s">
        <v>585</v>
      </c>
      <c r="C53" s="141" t="s">
        <v>636</v>
      </c>
      <c r="D53" s="141" t="s">
        <v>518</v>
      </c>
      <c r="E53" s="147" t="str">
        <f t="shared" si="1"/>
        <v>12/25(목)07시접안,26일01시출항.</v>
      </c>
      <c r="F53" s="142"/>
      <c r="G53" s="143" t="s">
        <v>637</v>
      </c>
      <c r="H53" s="143">
        <v>1800</v>
      </c>
      <c r="J53" s="136" t="s">
        <v>638</v>
      </c>
      <c r="K53" s="34" t="s">
        <v>639</v>
      </c>
      <c r="L53" s="136" t="s">
        <v>217</v>
      </c>
      <c r="M53" s="133" t="s">
        <v>640</v>
      </c>
      <c r="O53"/>
      <c r="P53"/>
      <c r="R53" t="s">
        <v>683</v>
      </c>
      <c r="S53" t="s">
        <v>679</v>
      </c>
      <c r="T53" s="173">
        <v>46003.267361111109</v>
      </c>
      <c r="U53" t="s">
        <v>688</v>
      </c>
      <c r="V53" s="174">
        <v>46002</v>
      </c>
    </row>
    <row r="54" spans="1:22" ht="13.5" customHeight="1">
      <c r="A54" s="169">
        <v>29</v>
      </c>
      <c r="B54" s="143" t="s">
        <v>406</v>
      </c>
      <c r="C54" s="141" t="s">
        <v>641</v>
      </c>
      <c r="D54" s="141" t="s">
        <v>518</v>
      </c>
      <c r="E54" s="147" t="str">
        <f t="shared" si="1"/>
        <v>12/25(목)12시접안,27일06시출항.</v>
      </c>
      <c r="F54" s="142"/>
      <c r="G54" s="143" t="s">
        <v>603</v>
      </c>
      <c r="H54" s="143" t="s">
        <v>529</v>
      </c>
      <c r="J54" s="136" t="s">
        <v>211</v>
      </c>
      <c r="K54" s="34" t="s">
        <v>272</v>
      </c>
      <c r="L54" s="136" t="s">
        <v>216</v>
      </c>
      <c r="M54" s="133" t="s">
        <v>642</v>
      </c>
      <c r="O54"/>
      <c r="P54"/>
      <c r="R54" t="s">
        <v>678</v>
      </c>
      <c r="S54" t="s">
        <v>689</v>
      </c>
      <c r="U54" t="s">
        <v>116</v>
      </c>
      <c r="V54" s="174">
        <v>46016</v>
      </c>
    </row>
    <row r="55" spans="1:22" ht="13.5" customHeight="1">
      <c r="A55" s="169">
        <v>30</v>
      </c>
      <c r="B55" s="143" t="s">
        <v>149</v>
      </c>
      <c r="C55" s="141" t="s">
        <v>226</v>
      </c>
      <c r="D55" s="141" t="s">
        <v>518</v>
      </c>
      <c r="E55" s="147" t="str">
        <f t="shared" si="1"/>
        <v>12/25(목)입항예정</v>
      </c>
      <c r="F55" s="142"/>
      <c r="G55" s="143" t="s">
        <v>603</v>
      </c>
      <c r="H55" s="143" t="s">
        <v>529</v>
      </c>
      <c r="J55" s="136" t="s">
        <v>624</v>
      </c>
      <c r="K55" s="34" t="s">
        <v>148</v>
      </c>
      <c r="L55" s="136" t="s">
        <v>624</v>
      </c>
      <c r="M55" s="133" t="s">
        <v>643</v>
      </c>
      <c r="O55"/>
      <c r="P55"/>
    </row>
    <row r="56" spans="1:22" ht="13.5" customHeight="1">
      <c r="A56" s="169">
        <v>31</v>
      </c>
      <c r="B56" s="143" t="s">
        <v>151</v>
      </c>
      <c r="C56" s="141" t="s">
        <v>644</v>
      </c>
      <c r="D56" s="141" t="s">
        <v>518</v>
      </c>
      <c r="E56" s="147" t="str">
        <f t="shared" si="1"/>
        <v>12/25(목)입항예정</v>
      </c>
      <c r="F56" s="142"/>
      <c r="G56" s="143" t="s">
        <v>603</v>
      </c>
      <c r="H56" s="143" t="s">
        <v>529</v>
      </c>
      <c r="J56" s="136" t="s">
        <v>624</v>
      </c>
      <c r="K56" s="34" t="s">
        <v>150</v>
      </c>
      <c r="L56" s="136" t="s">
        <v>624</v>
      </c>
      <c r="M56" s="133" t="s">
        <v>643</v>
      </c>
      <c r="O56"/>
      <c r="P56"/>
      <c r="R56" t="s">
        <v>674</v>
      </c>
      <c r="S56" t="s">
        <v>689</v>
      </c>
      <c r="U56" t="s">
        <v>116</v>
      </c>
      <c r="V56" s="174">
        <v>46016</v>
      </c>
    </row>
    <row r="57" spans="1:22" ht="13.5" customHeight="1">
      <c r="A57" s="169">
        <v>32</v>
      </c>
      <c r="B57" s="143" t="s">
        <v>134</v>
      </c>
      <c r="C57" s="141" t="s">
        <v>645</v>
      </c>
      <c r="D57" s="141" t="s">
        <v>518</v>
      </c>
      <c r="E57" s="147" t="str">
        <f t="shared" si="1"/>
        <v>12/26(금)03시접안,27일02시출항.</v>
      </c>
      <c r="F57" s="142"/>
      <c r="G57" s="143" t="s">
        <v>603</v>
      </c>
      <c r="H57" s="143" t="s">
        <v>520</v>
      </c>
      <c r="J57" s="136" t="s">
        <v>228</v>
      </c>
      <c r="K57" s="34" t="s">
        <v>152</v>
      </c>
      <c r="L57" s="136" t="s">
        <v>80</v>
      </c>
      <c r="M57" s="133" t="s">
        <v>646</v>
      </c>
      <c r="O57"/>
      <c r="P57"/>
      <c r="R57" t="s">
        <v>674</v>
      </c>
      <c r="S57" t="s">
        <v>681</v>
      </c>
      <c r="U57" t="s">
        <v>188</v>
      </c>
      <c r="V57" s="174">
        <v>46017</v>
      </c>
    </row>
    <row r="58" spans="1:22" ht="13.5" customHeight="1">
      <c r="A58" s="169">
        <v>33</v>
      </c>
      <c r="B58" s="143" t="s">
        <v>406</v>
      </c>
      <c r="C58" s="141" t="s">
        <v>311</v>
      </c>
      <c r="D58" s="141" t="s">
        <v>518</v>
      </c>
      <c r="E58" s="147" t="str">
        <f t="shared" si="1"/>
        <v>12/26(금)03시접안,27일02시출항.</v>
      </c>
      <c r="F58" s="142"/>
      <c r="G58" s="143" t="s">
        <v>603</v>
      </c>
      <c r="H58" s="143" t="s">
        <v>520</v>
      </c>
      <c r="J58" s="136" t="s">
        <v>228</v>
      </c>
      <c r="K58" s="34" t="s">
        <v>156</v>
      </c>
      <c r="L58" s="136" t="s">
        <v>80</v>
      </c>
      <c r="M58" s="133" t="s">
        <v>646</v>
      </c>
      <c r="O58"/>
      <c r="P58"/>
      <c r="R58" t="s">
        <v>674</v>
      </c>
      <c r="S58" t="s">
        <v>681</v>
      </c>
      <c r="U58" t="s">
        <v>188</v>
      </c>
      <c r="V58" s="174">
        <v>46017</v>
      </c>
    </row>
    <row r="59" spans="1:22" ht="13.5" customHeight="1">
      <c r="A59" s="169">
        <v>34</v>
      </c>
      <c r="B59" s="143" t="s">
        <v>134</v>
      </c>
      <c r="C59" s="141" t="s">
        <v>647</v>
      </c>
      <c r="D59" s="141" t="s">
        <v>518</v>
      </c>
      <c r="E59" s="147" t="str">
        <f t="shared" si="1"/>
        <v>12/26(금)03시접안,27일02시출항.</v>
      </c>
      <c r="F59" s="142"/>
      <c r="G59" s="143" t="s">
        <v>603</v>
      </c>
      <c r="H59" s="143" t="s">
        <v>520</v>
      </c>
      <c r="J59" s="136" t="s">
        <v>228</v>
      </c>
      <c r="K59" s="34" t="s">
        <v>153</v>
      </c>
      <c r="L59" s="136" t="s">
        <v>80</v>
      </c>
      <c r="M59" s="133" t="s">
        <v>646</v>
      </c>
      <c r="O59"/>
      <c r="P59"/>
      <c r="R59" t="s">
        <v>674</v>
      </c>
      <c r="S59" t="s">
        <v>681</v>
      </c>
      <c r="U59" t="s">
        <v>188</v>
      </c>
      <c r="V59" s="174">
        <v>46017</v>
      </c>
    </row>
    <row r="60" spans="1:22" ht="13.5" customHeight="1">
      <c r="A60" s="169">
        <v>35</v>
      </c>
      <c r="B60" s="143" t="s">
        <v>648</v>
      </c>
      <c r="C60" s="141" t="s">
        <v>649</v>
      </c>
      <c r="D60" s="141" t="s">
        <v>518</v>
      </c>
      <c r="E60" s="147" t="str">
        <f t="shared" si="1"/>
        <v>12/26(금)10시접안,26일22시출항.</v>
      </c>
      <c r="F60" s="142"/>
      <c r="G60" s="143" t="s">
        <v>603</v>
      </c>
      <c r="H60" s="143">
        <v>2750</v>
      </c>
      <c r="J60" s="136" t="s">
        <v>229</v>
      </c>
      <c r="K60" s="34" t="s">
        <v>650</v>
      </c>
      <c r="L60" s="136" t="s">
        <v>580</v>
      </c>
      <c r="M60" s="133" t="s">
        <v>651</v>
      </c>
      <c r="O60"/>
      <c r="P60"/>
    </row>
    <row r="61" spans="1:22" ht="13.5" customHeight="1">
      <c r="A61" s="169">
        <v>36</v>
      </c>
      <c r="B61" s="143" t="s">
        <v>562</v>
      </c>
      <c r="C61" s="141" t="s">
        <v>652</v>
      </c>
      <c r="D61" s="141" t="s">
        <v>518</v>
      </c>
      <c r="E61" s="147" t="str">
        <f t="shared" si="1"/>
        <v>12/28(일)07시접안,28일21시출항.</v>
      </c>
      <c r="F61" s="142"/>
      <c r="G61" s="143" t="s">
        <v>603</v>
      </c>
      <c r="H61" s="143">
        <v>564</v>
      </c>
      <c r="J61" s="136" t="s">
        <v>231</v>
      </c>
      <c r="K61" s="34" t="s">
        <v>653</v>
      </c>
      <c r="L61" s="136" t="s">
        <v>620</v>
      </c>
      <c r="M61" s="133" t="s">
        <v>654</v>
      </c>
      <c r="O61"/>
      <c r="P61"/>
    </row>
    <row r="62" spans="1:22" ht="13.5" customHeight="1">
      <c r="A62" s="169">
        <v>37</v>
      </c>
      <c r="B62" s="143" t="s">
        <v>87</v>
      </c>
      <c r="C62" s="141" t="s">
        <v>234</v>
      </c>
      <c r="D62" s="141" t="s">
        <v>518</v>
      </c>
      <c r="E62" s="147" t="str">
        <f t="shared" si="1"/>
        <v>12/29(월)18시접안,30일15시출항.</v>
      </c>
      <c r="F62" s="142"/>
      <c r="G62" s="143" t="s">
        <v>603</v>
      </c>
      <c r="H62" s="143" t="s">
        <v>529</v>
      </c>
      <c r="J62" s="136" t="s">
        <v>235</v>
      </c>
      <c r="K62" s="34" t="s">
        <v>161</v>
      </c>
      <c r="L62" s="136" t="s">
        <v>80</v>
      </c>
      <c r="M62" s="133" t="s">
        <v>655</v>
      </c>
      <c r="O62"/>
      <c r="P62"/>
    </row>
    <row r="63" spans="1:22" ht="13.5" customHeight="1">
      <c r="A63" s="169">
        <v>38</v>
      </c>
      <c r="B63" s="143" t="s">
        <v>573</v>
      </c>
      <c r="C63" s="141" t="s">
        <v>232</v>
      </c>
      <c r="D63" s="141" t="s">
        <v>518</v>
      </c>
      <c r="E63" s="147" t="str">
        <f t="shared" si="1"/>
        <v>12/29(월)입항예정</v>
      </c>
      <c r="F63" s="142"/>
      <c r="G63" s="143" t="s">
        <v>603</v>
      </c>
      <c r="H63" s="143" t="s">
        <v>529</v>
      </c>
      <c r="J63" s="136" t="s">
        <v>656</v>
      </c>
      <c r="K63" s="34" t="s">
        <v>160</v>
      </c>
      <c r="L63" s="136" t="s">
        <v>624</v>
      </c>
      <c r="M63" s="133" t="s">
        <v>657</v>
      </c>
      <c r="O63"/>
      <c r="P63"/>
    </row>
    <row r="64" spans="1:22" ht="13.5" customHeight="1">
      <c r="A64" s="169">
        <v>39</v>
      </c>
      <c r="B64" s="143" t="s">
        <v>151</v>
      </c>
      <c r="C64" s="141" t="s">
        <v>236</v>
      </c>
      <c r="D64" s="141" t="s">
        <v>518</v>
      </c>
      <c r="E64" s="147" t="str">
        <f t="shared" si="1"/>
        <v>12/29(월)입항예정</v>
      </c>
      <c r="F64" s="142"/>
      <c r="G64" s="143" t="s">
        <v>603</v>
      </c>
      <c r="H64" s="143" t="s">
        <v>529</v>
      </c>
      <c r="J64" s="136" t="s">
        <v>624</v>
      </c>
      <c r="K64" s="34" t="s">
        <v>162</v>
      </c>
      <c r="L64" s="136" t="s">
        <v>624</v>
      </c>
      <c r="M64" s="133" t="s">
        <v>657</v>
      </c>
      <c r="O64"/>
      <c r="P64"/>
    </row>
    <row r="65" spans="1:16" ht="13.5" customHeight="1">
      <c r="A65" s="169">
        <v>40</v>
      </c>
      <c r="B65" s="143" t="s">
        <v>573</v>
      </c>
      <c r="C65" s="141" t="s">
        <v>237</v>
      </c>
      <c r="D65" s="141" t="s">
        <v>518</v>
      </c>
      <c r="E65" s="147" t="str">
        <f t="shared" si="1"/>
        <v>12/31(수)입항예정</v>
      </c>
      <c r="F65" s="142"/>
      <c r="G65" s="143" t="s">
        <v>603</v>
      </c>
      <c r="H65" s="143" t="s">
        <v>529</v>
      </c>
      <c r="J65" s="136" t="s">
        <v>658</v>
      </c>
      <c r="K65" s="34" t="s">
        <v>163</v>
      </c>
      <c r="L65" s="136" t="s">
        <v>624</v>
      </c>
      <c r="M65" s="133" t="s">
        <v>659</v>
      </c>
      <c r="O65"/>
      <c r="P65"/>
    </row>
    <row r="66" spans="1:16" ht="13.5" customHeight="1">
      <c r="A66" s="169">
        <v>41</v>
      </c>
      <c r="B66" s="143" t="s">
        <v>406</v>
      </c>
      <c r="C66" s="141" t="s">
        <v>246</v>
      </c>
      <c r="D66" s="141" t="s">
        <v>518</v>
      </c>
      <c r="E66" s="147" t="str">
        <f t="shared" si="1"/>
        <v>12/31(수)입항예정</v>
      </c>
      <c r="F66" s="142"/>
      <c r="G66" s="143" t="s">
        <v>603</v>
      </c>
      <c r="H66" s="143" t="s">
        <v>529</v>
      </c>
      <c r="J66" s="136" t="s">
        <v>660</v>
      </c>
      <c r="K66" s="34" t="s">
        <v>661</v>
      </c>
      <c r="L66" s="136" t="s">
        <v>624</v>
      </c>
      <c r="M66" s="133" t="s">
        <v>659</v>
      </c>
      <c r="O66"/>
      <c r="P66"/>
    </row>
    <row r="67" spans="1:16" ht="13.5" customHeight="1">
      <c r="A67" s="169">
        <v>42</v>
      </c>
      <c r="B67" s="143" t="s">
        <v>662</v>
      </c>
      <c r="C67" s="141" t="s">
        <v>663</v>
      </c>
      <c r="D67" s="141" t="s">
        <v>518</v>
      </c>
      <c r="E67" s="147" t="str">
        <f t="shared" si="1"/>
        <v>12/31(수)입항예정</v>
      </c>
      <c r="F67" s="142"/>
      <c r="G67" s="143" t="s">
        <v>603</v>
      </c>
      <c r="H67" s="143">
        <v>1100</v>
      </c>
      <c r="J67" s="136" t="s">
        <v>239</v>
      </c>
      <c r="K67" s="34" t="s">
        <v>664</v>
      </c>
      <c r="L67" s="136" t="s">
        <v>624</v>
      </c>
      <c r="M67" s="133" t="s">
        <v>659</v>
      </c>
      <c r="O67"/>
      <c r="P67"/>
    </row>
    <row r="68" spans="1:16" ht="13.5" customHeight="1">
      <c r="A68" s="169">
        <v>43</v>
      </c>
      <c r="B68" s="143" t="s">
        <v>406</v>
      </c>
      <c r="C68" s="141" t="s">
        <v>248</v>
      </c>
      <c r="D68" s="141" t="s">
        <v>518</v>
      </c>
      <c r="E68" s="147" t="str">
        <f t="shared" si="1"/>
        <v>12/31(수)입항예정</v>
      </c>
      <c r="F68" s="142"/>
      <c r="G68" s="143" t="s">
        <v>603</v>
      </c>
      <c r="H68" s="143" t="s">
        <v>529</v>
      </c>
      <c r="J68" s="136" t="s">
        <v>249</v>
      </c>
      <c r="K68" s="34" t="s">
        <v>173</v>
      </c>
      <c r="L68" s="136" t="s">
        <v>624</v>
      </c>
      <c r="M68" s="133" t="s">
        <v>659</v>
      </c>
      <c r="O68"/>
      <c r="P68"/>
    </row>
    <row r="69" spans="1:16" ht="13.5" customHeight="1">
      <c r="A69" s="169">
        <v>44</v>
      </c>
      <c r="B69" s="143" t="s">
        <v>149</v>
      </c>
      <c r="C69" s="141" t="s">
        <v>245</v>
      </c>
      <c r="D69" s="141" t="s">
        <v>518</v>
      </c>
      <c r="E69" s="147" t="str">
        <f t="shared" si="1"/>
        <v>12/31(수)입항예정</v>
      </c>
      <c r="F69" s="142"/>
      <c r="G69" s="143" t="s">
        <v>603</v>
      </c>
      <c r="H69" s="143" t="s">
        <v>529</v>
      </c>
      <c r="J69" s="136" t="s">
        <v>624</v>
      </c>
      <c r="K69" s="34" t="s">
        <v>171</v>
      </c>
      <c r="L69" s="136" t="s">
        <v>624</v>
      </c>
      <c r="M69" s="133" t="s">
        <v>659</v>
      </c>
      <c r="O69"/>
      <c r="P69"/>
    </row>
    <row r="70" spans="1:16" ht="13.5" customHeight="1">
      <c r="A70" s="169">
        <v>45</v>
      </c>
      <c r="B70" s="143" t="s">
        <v>149</v>
      </c>
      <c r="C70" s="141" t="s">
        <v>242</v>
      </c>
      <c r="D70" s="141" t="s">
        <v>518</v>
      </c>
      <c r="E70" s="147" t="str">
        <f t="shared" si="1"/>
        <v>12/31(수)입항예정</v>
      </c>
      <c r="F70" s="142"/>
      <c r="G70" s="143" t="s">
        <v>603</v>
      </c>
      <c r="H70" s="143" t="s">
        <v>529</v>
      </c>
      <c r="J70" s="136" t="s">
        <v>624</v>
      </c>
      <c r="K70" s="34" t="s">
        <v>168</v>
      </c>
      <c r="L70" s="136" t="s">
        <v>624</v>
      </c>
      <c r="M70" s="133" t="s">
        <v>659</v>
      </c>
      <c r="O70"/>
      <c r="P70"/>
    </row>
    <row r="71" spans="1:16" ht="13.5" customHeight="1">
      <c r="A71" s="169">
        <v>46</v>
      </c>
      <c r="B71" s="143" t="s">
        <v>149</v>
      </c>
      <c r="C71" s="141" t="s">
        <v>243</v>
      </c>
      <c r="D71" s="141" t="s">
        <v>518</v>
      </c>
      <c r="E71" s="147" t="str">
        <f t="shared" si="1"/>
        <v>12/31(수)입항예정</v>
      </c>
      <c r="F71" s="142"/>
      <c r="G71" s="143" t="s">
        <v>603</v>
      </c>
      <c r="H71" s="143" t="s">
        <v>529</v>
      </c>
      <c r="J71" s="136" t="s">
        <v>624</v>
      </c>
      <c r="K71" s="34" t="s">
        <v>169</v>
      </c>
      <c r="L71" s="136" t="s">
        <v>624</v>
      </c>
      <c r="M71" s="133" t="s">
        <v>659</v>
      </c>
      <c r="O71"/>
      <c r="P71"/>
    </row>
    <row r="72" spans="1:16" ht="13.5" customHeight="1">
      <c r="A72" s="169">
        <v>47</v>
      </c>
      <c r="B72" s="143" t="s">
        <v>149</v>
      </c>
      <c r="C72" s="141" t="s">
        <v>244</v>
      </c>
      <c r="D72" s="141" t="s">
        <v>518</v>
      </c>
      <c r="E72" s="147" t="str">
        <f t="shared" si="1"/>
        <v>12/31(수)입항예정</v>
      </c>
      <c r="F72" s="142"/>
      <c r="G72" s="143" t="s">
        <v>603</v>
      </c>
      <c r="H72" s="143" t="s">
        <v>529</v>
      </c>
      <c r="J72" s="136" t="s">
        <v>624</v>
      </c>
      <c r="K72" s="34" t="s">
        <v>170</v>
      </c>
      <c r="L72" s="136" t="s">
        <v>624</v>
      </c>
      <c r="M72" s="133" t="s">
        <v>659</v>
      </c>
      <c r="O72"/>
      <c r="P72"/>
    </row>
    <row r="73" spans="1:16" ht="13.5" customHeight="1">
      <c r="A73" s="169">
        <v>48</v>
      </c>
      <c r="B73" s="143" t="s">
        <v>87</v>
      </c>
      <c r="C73" s="141" t="s">
        <v>241</v>
      </c>
      <c r="D73" s="141" t="s">
        <v>518</v>
      </c>
      <c r="E73" s="147" t="str">
        <f t="shared" si="1"/>
        <v>12/31(수)입항예정</v>
      </c>
      <c r="F73" s="142"/>
      <c r="G73" s="143" t="s">
        <v>603</v>
      </c>
      <c r="H73" s="143" t="s">
        <v>529</v>
      </c>
      <c r="J73" s="136" t="s">
        <v>624</v>
      </c>
      <c r="K73" s="34" t="s">
        <v>167</v>
      </c>
      <c r="L73" s="136" t="s">
        <v>624</v>
      </c>
      <c r="M73" s="133" t="s">
        <v>659</v>
      </c>
      <c r="O73"/>
      <c r="P73"/>
    </row>
    <row r="74" spans="1:16" ht="13.5" customHeight="1">
      <c r="A74" s="169">
        <v>49</v>
      </c>
      <c r="B74" s="143" t="s">
        <v>662</v>
      </c>
      <c r="C74" s="141" t="s">
        <v>665</v>
      </c>
      <c r="D74" s="141" t="s">
        <v>518</v>
      </c>
      <c r="E74" s="147" t="str">
        <f t="shared" si="1"/>
        <v>12/31(수)입항예정</v>
      </c>
      <c r="F74" s="142"/>
      <c r="G74" s="143" t="s">
        <v>603</v>
      </c>
      <c r="H74" s="143">
        <v>1150</v>
      </c>
      <c r="J74" s="136" t="s">
        <v>240</v>
      </c>
      <c r="K74" s="34" t="s">
        <v>666</v>
      </c>
      <c r="L74" s="136" t="s">
        <v>624</v>
      </c>
      <c r="M74" s="133" t="s">
        <v>659</v>
      </c>
      <c r="O74"/>
      <c r="P74"/>
    </row>
    <row r="75" spans="1:16" ht="13.5" customHeight="1">
      <c r="A75" s="169">
        <v>50</v>
      </c>
      <c r="B75" s="143" t="s">
        <v>406</v>
      </c>
      <c r="C75" s="141" t="s">
        <v>667</v>
      </c>
      <c r="D75" s="141" t="s">
        <v>518</v>
      </c>
      <c r="E75" s="147" t="str">
        <f t="shared" si="1"/>
        <v>미정</v>
      </c>
      <c r="F75" s="142"/>
      <c r="G75" s="143" t="s">
        <v>603</v>
      </c>
      <c r="H75" s="143" t="s">
        <v>520</v>
      </c>
      <c r="J75" s="136" t="s">
        <v>668</v>
      </c>
      <c r="K75" s="34" t="s">
        <v>176</v>
      </c>
      <c r="L75" s="136" t="s">
        <v>624</v>
      </c>
      <c r="M75" s="133" t="s">
        <v>252</v>
      </c>
      <c r="O75"/>
      <c r="P75"/>
    </row>
    <row r="76" spans="1:16" ht="13.5" customHeight="1">
      <c r="A76" s="169">
        <v>51</v>
      </c>
      <c r="B76" s="143" t="s">
        <v>406</v>
      </c>
      <c r="C76" s="141" t="s">
        <v>669</v>
      </c>
      <c r="D76" s="141" t="s">
        <v>518</v>
      </c>
      <c r="E76" s="147" t="str">
        <f t="shared" si="1"/>
        <v>미정</v>
      </c>
      <c r="F76" s="142"/>
      <c r="G76" s="143" t="s">
        <v>603</v>
      </c>
      <c r="H76" s="143" t="s">
        <v>520</v>
      </c>
      <c r="J76" s="136" t="s">
        <v>668</v>
      </c>
      <c r="K76" s="34" t="s">
        <v>175</v>
      </c>
      <c r="L76" s="136" t="s">
        <v>624</v>
      </c>
      <c r="M76" s="133" t="s">
        <v>252</v>
      </c>
      <c r="O76"/>
      <c r="P76"/>
    </row>
    <row r="77" spans="1:16" ht="13.5" customHeight="1">
      <c r="A77" s="169">
        <v>52</v>
      </c>
      <c r="B77" s="143" t="s">
        <v>87</v>
      </c>
      <c r="C77" s="141" t="s">
        <v>251</v>
      </c>
      <c r="D77" s="141" t="s">
        <v>518</v>
      </c>
      <c r="E77" s="147" t="str">
        <f t="shared" si="1"/>
        <v>미정</v>
      </c>
      <c r="F77" s="142"/>
      <c r="G77" s="143" t="s">
        <v>603</v>
      </c>
      <c r="H77" s="143" t="s">
        <v>529</v>
      </c>
      <c r="J77" s="136" t="s">
        <v>624</v>
      </c>
      <c r="K77" s="34" t="s">
        <v>177</v>
      </c>
      <c r="L77" s="136" t="s">
        <v>624</v>
      </c>
      <c r="M77" s="133" t="s">
        <v>252</v>
      </c>
      <c r="O77"/>
      <c r="P77"/>
    </row>
    <row r="78" spans="1:16" ht="13.5" customHeight="1">
      <c r="A78" s="169">
        <v>53</v>
      </c>
      <c r="B78" s="143" t="s">
        <v>573</v>
      </c>
      <c r="C78" s="141" t="s">
        <v>443</v>
      </c>
      <c r="D78" s="141" t="s">
        <v>518</v>
      </c>
      <c r="E78" s="147" t="str">
        <f t="shared" si="1"/>
        <v>미정</v>
      </c>
      <c r="F78" s="142"/>
      <c r="G78" s="143" t="s">
        <v>603</v>
      </c>
      <c r="H78" s="143" t="s">
        <v>529</v>
      </c>
      <c r="J78" s="136" t="s">
        <v>624</v>
      </c>
      <c r="K78" s="34" t="s">
        <v>442</v>
      </c>
      <c r="L78" s="136" t="s">
        <v>624</v>
      </c>
      <c r="M78" s="133" t="s">
        <v>252</v>
      </c>
      <c r="O78"/>
      <c r="P78"/>
    </row>
    <row r="79" spans="1:16" ht="13.5" customHeight="1">
      <c r="A79" s="169">
        <v>54</v>
      </c>
      <c r="B79" s="143" t="s">
        <v>87</v>
      </c>
      <c r="C79" s="141" t="s">
        <v>253</v>
      </c>
      <c r="D79" s="141" t="s">
        <v>518</v>
      </c>
      <c r="E79" s="147" t="str">
        <f t="shared" si="1"/>
        <v>미정</v>
      </c>
      <c r="F79" s="142"/>
      <c r="G79" s="143" t="s">
        <v>603</v>
      </c>
      <c r="H79" s="143" t="s">
        <v>529</v>
      </c>
      <c r="J79" s="136" t="s">
        <v>624</v>
      </c>
      <c r="K79" s="34" t="s">
        <v>450</v>
      </c>
      <c r="L79" s="136" t="s">
        <v>624</v>
      </c>
      <c r="M79" s="133" t="s">
        <v>252</v>
      </c>
      <c r="O79"/>
      <c r="P79"/>
    </row>
    <row r="80" spans="1:16" ht="13.5" customHeight="1">
      <c r="A80" s="169">
        <v>55</v>
      </c>
      <c r="B80" s="143"/>
      <c r="C80" s="139"/>
      <c r="D80" s="141"/>
      <c r="E80" s="147">
        <f t="shared" si="1"/>
        <v>0</v>
      </c>
      <c r="F80" s="142"/>
      <c r="G80" s="143"/>
      <c r="H80" s="143"/>
      <c r="O80"/>
      <c r="P80"/>
    </row>
    <row r="81" spans="1:16" ht="13.5" customHeight="1">
      <c r="A81" s="169">
        <v>56</v>
      </c>
      <c r="B81" s="143"/>
      <c r="C81" s="139"/>
      <c r="D81" s="141"/>
      <c r="E81" s="147">
        <f t="shared" si="1"/>
        <v>0</v>
      </c>
      <c r="F81" s="142"/>
      <c r="G81" s="143"/>
      <c r="H81" s="143"/>
      <c r="O81"/>
      <c r="P81"/>
    </row>
    <row r="82" spans="1:16" ht="13.5" customHeight="1">
      <c r="A82" s="169">
        <v>57</v>
      </c>
      <c r="B82" s="143"/>
      <c r="C82" s="139"/>
      <c r="D82" s="141"/>
      <c r="E82" s="147">
        <f t="shared" si="1"/>
        <v>0</v>
      </c>
      <c r="F82" s="142"/>
      <c r="G82" s="143"/>
      <c r="H82" s="143"/>
      <c r="O82"/>
      <c r="P82"/>
    </row>
    <row r="83" spans="1:16" ht="13.5" customHeight="1">
      <c r="A83" s="169">
        <v>58</v>
      </c>
      <c r="B83" s="143"/>
      <c r="C83" s="139"/>
      <c r="D83" s="141"/>
      <c r="E83" s="147">
        <f t="shared" si="1"/>
        <v>0</v>
      </c>
      <c r="F83" s="142"/>
      <c r="G83" s="143"/>
      <c r="H83" s="143"/>
      <c r="O83"/>
      <c r="P83"/>
    </row>
    <row r="84" spans="1:16" ht="13.5" customHeight="1">
      <c r="A84" s="169">
        <v>59</v>
      </c>
      <c r="B84" s="143"/>
      <c r="C84" s="139"/>
      <c r="D84" s="141"/>
      <c r="E84" s="147">
        <f t="shared" si="1"/>
        <v>0</v>
      </c>
      <c r="F84" s="142"/>
      <c r="G84" s="143"/>
      <c r="H84" s="143"/>
      <c r="O84"/>
      <c r="P84"/>
    </row>
    <row r="85" spans="1:16" ht="13.5" customHeight="1">
      <c r="A85" s="169">
        <v>60</v>
      </c>
      <c r="B85" s="143"/>
      <c r="C85" s="139"/>
      <c r="D85" s="141"/>
      <c r="E85" s="147">
        <f t="shared" si="1"/>
        <v>0</v>
      </c>
      <c r="F85" s="142"/>
      <c r="G85" s="143"/>
      <c r="H85" s="143"/>
      <c r="O85"/>
      <c r="P85"/>
    </row>
    <row r="86" spans="1:16" ht="13.5" customHeight="1">
      <c r="A86" s="169">
        <v>61</v>
      </c>
      <c r="B86" s="143"/>
      <c r="C86" s="139"/>
      <c r="D86" s="141"/>
      <c r="E86" s="147">
        <f t="shared" si="1"/>
        <v>0</v>
      </c>
      <c r="F86" s="142"/>
      <c r="G86" s="143"/>
      <c r="H86" s="143"/>
      <c r="O86"/>
      <c r="P86"/>
    </row>
    <row r="87" spans="1:16" ht="13.5" customHeight="1">
      <c r="A87" s="169">
        <v>62</v>
      </c>
      <c r="B87" s="143"/>
      <c r="C87" s="139"/>
      <c r="D87" s="141"/>
      <c r="E87" s="147">
        <f t="shared" si="1"/>
        <v>0</v>
      </c>
      <c r="F87" s="142"/>
      <c r="G87" s="143"/>
      <c r="H87" s="143"/>
      <c r="O87"/>
      <c r="P87"/>
    </row>
    <row r="88" spans="1:16" ht="13.5" customHeight="1">
      <c r="A88" s="169">
        <v>63</v>
      </c>
      <c r="B88" s="143"/>
      <c r="C88" s="139"/>
      <c r="D88" s="141"/>
      <c r="E88" s="147">
        <f t="shared" si="1"/>
        <v>0</v>
      </c>
      <c r="F88" s="142"/>
      <c r="G88" s="143"/>
      <c r="H88" s="143"/>
      <c r="O88"/>
      <c r="P88"/>
    </row>
    <row r="89" spans="1:16" ht="13.5" customHeight="1">
      <c r="A89" s="169">
        <v>64</v>
      </c>
      <c r="B89" s="143"/>
      <c r="C89" s="139"/>
      <c r="D89" s="141"/>
      <c r="E89" s="147">
        <f t="shared" si="1"/>
        <v>0</v>
      </c>
      <c r="F89" s="142"/>
      <c r="G89" s="143"/>
      <c r="H89" s="143"/>
      <c r="O89"/>
      <c r="P89"/>
    </row>
    <row r="90" spans="1:16" ht="13.5" customHeight="1">
      <c r="A90" s="169">
        <v>65</v>
      </c>
      <c r="B90" s="143"/>
      <c r="C90" s="139"/>
      <c r="D90" s="141"/>
      <c r="E90" s="147">
        <f t="shared" ref="E90:E153" si="2">M90</f>
        <v>0</v>
      </c>
      <c r="F90" s="142"/>
      <c r="G90" s="143"/>
      <c r="H90" s="143"/>
      <c r="O90"/>
      <c r="P90"/>
    </row>
    <row r="91" spans="1:16" ht="13.5" customHeight="1">
      <c r="A91" s="169">
        <v>66</v>
      </c>
      <c r="B91" s="143"/>
      <c r="C91" s="139"/>
      <c r="D91" s="141"/>
      <c r="E91" s="147">
        <f t="shared" si="2"/>
        <v>0</v>
      </c>
      <c r="F91" s="142"/>
      <c r="G91" s="143"/>
      <c r="H91" s="143"/>
      <c r="O91"/>
      <c r="P91"/>
    </row>
    <row r="92" spans="1:16" ht="13.5" customHeight="1">
      <c r="A92" s="169">
        <v>67</v>
      </c>
      <c r="B92" s="143"/>
      <c r="C92" s="139"/>
      <c r="D92" s="141"/>
      <c r="E92" s="147">
        <f t="shared" si="2"/>
        <v>0</v>
      </c>
      <c r="F92" s="142"/>
      <c r="G92" s="143"/>
      <c r="H92" s="143"/>
      <c r="O92"/>
      <c r="P92"/>
    </row>
    <row r="93" spans="1:16" ht="13.5" customHeight="1">
      <c r="A93" s="169">
        <v>68</v>
      </c>
      <c r="B93" s="143"/>
      <c r="C93" s="139"/>
      <c r="D93" s="141"/>
      <c r="E93" s="147">
        <f t="shared" si="2"/>
        <v>0</v>
      </c>
      <c r="F93" s="142"/>
      <c r="G93" s="143"/>
      <c r="H93" s="143"/>
      <c r="O93"/>
      <c r="P93"/>
    </row>
    <row r="94" spans="1:16" ht="13.5" customHeight="1">
      <c r="A94" s="169">
        <v>69</v>
      </c>
      <c r="B94" s="143"/>
      <c r="C94" s="139"/>
      <c r="D94" s="141"/>
      <c r="E94" s="147">
        <f t="shared" si="2"/>
        <v>0</v>
      </c>
      <c r="F94" s="142"/>
      <c r="G94" s="143"/>
      <c r="H94" s="143"/>
      <c r="O94"/>
      <c r="P94"/>
    </row>
    <row r="95" spans="1:16" ht="13.5" customHeight="1">
      <c r="A95" s="169">
        <v>70</v>
      </c>
      <c r="B95" s="143"/>
      <c r="C95" s="139"/>
      <c r="D95" s="141"/>
      <c r="E95" s="147">
        <f t="shared" si="2"/>
        <v>0</v>
      </c>
      <c r="F95" s="142"/>
      <c r="G95" s="143"/>
      <c r="H95" s="143"/>
      <c r="O95"/>
      <c r="P95"/>
    </row>
    <row r="96" spans="1:16" ht="13.5" customHeight="1">
      <c r="A96" s="169">
        <v>71</v>
      </c>
      <c r="B96" s="143"/>
      <c r="C96" s="139"/>
      <c r="D96" s="141"/>
      <c r="E96" s="147">
        <f t="shared" si="2"/>
        <v>0</v>
      </c>
      <c r="F96" s="142"/>
      <c r="G96" s="143"/>
      <c r="H96" s="143"/>
      <c r="O96"/>
      <c r="P96"/>
    </row>
    <row r="97" spans="1:16" ht="13.5" customHeight="1">
      <c r="A97" s="169">
        <v>72</v>
      </c>
      <c r="B97" s="143"/>
      <c r="C97" s="139"/>
      <c r="D97" s="141"/>
      <c r="E97" s="147">
        <f t="shared" si="2"/>
        <v>0</v>
      </c>
      <c r="F97" s="142"/>
      <c r="G97" s="143"/>
      <c r="H97" s="143"/>
      <c r="O97"/>
      <c r="P97"/>
    </row>
    <row r="98" spans="1:16" ht="13.5" customHeight="1">
      <c r="A98" s="169">
        <v>73</v>
      </c>
      <c r="B98" s="143"/>
      <c r="C98" s="139"/>
      <c r="D98" s="141"/>
      <c r="E98" s="147">
        <f t="shared" si="2"/>
        <v>0</v>
      </c>
      <c r="F98" s="142"/>
      <c r="G98" s="143"/>
      <c r="H98" s="143"/>
      <c r="O98"/>
      <c r="P98"/>
    </row>
    <row r="99" spans="1:16" ht="13.5" customHeight="1">
      <c r="A99" s="169">
        <v>74</v>
      </c>
      <c r="B99" s="143"/>
      <c r="C99" s="139"/>
      <c r="D99" s="141"/>
      <c r="E99" s="147">
        <f t="shared" si="2"/>
        <v>0</v>
      </c>
      <c r="F99" s="142"/>
      <c r="G99" s="143"/>
      <c r="H99" s="143"/>
      <c r="O99"/>
      <c r="P99"/>
    </row>
    <row r="100" spans="1:16" ht="13.5" customHeight="1">
      <c r="A100" s="169">
        <v>75</v>
      </c>
      <c r="B100" s="143"/>
      <c r="C100" s="139"/>
      <c r="D100" s="141"/>
      <c r="E100" s="147">
        <f t="shared" si="2"/>
        <v>0</v>
      </c>
      <c r="F100" s="142"/>
      <c r="G100" s="143"/>
      <c r="H100" s="143"/>
      <c r="O100"/>
      <c r="P100"/>
    </row>
    <row r="101" spans="1:16" ht="13.5" customHeight="1">
      <c r="A101" s="169">
        <v>76</v>
      </c>
      <c r="B101" s="143"/>
      <c r="C101" s="139"/>
      <c r="D101" s="141"/>
      <c r="E101" s="147">
        <f t="shared" si="2"/>
        <v>0</v>
      </c>
      <c r="F101" s="142"/>
      <c r="G101" s="143"/>
      <c r="H101" s="143"/>
      <c r="O101"/>
      <c r="P101"/>
    </row>
    <row r="102" spans="1:16" ht="13.5" customHeight="1">
      <c r="A102" s="169">
        <v>77</v>
      </c>
      <c r="B102" s="143"/>
      <c r="C102" s="139"/>
      <c r="D102" s="141"/>
      <c r="E102" s="147">
        <f t="shared" si="2"/>
        <v>0</v>
      </c>
      <c r="F102" s="142"/>
      <c r="G102" s="143"/>
      <c r="H102" s="143"/>
      <c r="O102"/>
      <c r="P102"/>
    </row>
    <row r="103" spans="1:16" ht="13.5" customHeight="1">
      <c r="A103" s="169">
        <v>78</v>
      </c>
      <c r="B103" s="143"/>
      <c r="C103" s="139"/>
      <c r="D103" s="141"/>
      <c r="E103" s="147">
        <f t="shared" si="2"/>
        <v>0</v>
      </c>
      <c r="F103" s="142"/>
      <c r="G103" s="143"/>
      <c r="H103" s="143"/>
      <c r="O103"/>
      <c r="P103"/>
    </row>
    <row r="104" spans="1:16" ht="13.5" customHeight="1">
      <c r="A104" s="169">
        <v>79</v>
      </c>
      <c r="B104" s="143"/>
      <c r="C104" s="139"/>
      <c r="D104" s="141"/>
      <c r="E104" s="147">
        <f t="shared" si="2"/>
        <v>0</v>
      </c>
      <c r="F104" s="142"/>
      <c r="G104" s="143"/>
      <c r="H104" s="143"/>
      <c r="O104"/>
      <c r="P104"/>
    </row>
    <row r="105" spans="1:16" ht="13.5" customHeight="1">
      <c r="A105" s="169">
        <v>80</v>
      </c>
      <c r="B105" s="143"/>
      <c r="C105" s="139"/>
      <c r="D105" s="141"/>
      <c r="E105" s="147">
        <f t="shared" si="2"/>
        <v>0</v>
      </c>
      <c r="F105" s="142"/>
      <c r="G105" s="143"/>
      <c r="H105" s="143"/>
      <c r="O105"/>
      <c r="P105"/>
    </row>
    <row r="106" spans="1:16" ht="13.5" customHeight="1">
      <c r="A106" s="169">
        <v>81</v>
      </c>
      <c r="B106" s="143"/>
      <c r="C106" s="139"/>
      <c r="D106" s="141"/>
      <c r="E106" s="147">
        <f t="shared" si="2"/>
        <v>0</v>
      </c>
      <c r="F106" s="142"/>
      <c r="G106" s="143"/>
      <c r="H106" s="143"/>
      <c r="O106"/>
      <c r="P106"/>
    </row>
    <row r="107" spans="1:16" ht="13.5" customHeight="1">
      <c r="A107" s="169">
        <v>82</v>
      </c>
      <c r="B107" s="143"/>
      <c r="C107" s="139"/>
      <c r="D107" s="141"/>
      <c r="E107" s="147">
        <f t="shared" si="2"/>
        <v>0</v>
      </c>
      <c r="F107" s="142"/>
      <c r="G107" s="143"/>
      <c r="H107" s="143"/>
      <c r="O107"/>
      <c r="P107"/>
    </row>
    <row r="108" spans="1:16" ht="13.5" customHeight="1">
      <c r="A108" s="169">
        <v>83</v>
      </c>
      <c r="B108" s="143"/>
      <c r="C108" s="139"/>
      <c r="D108" s="141"/>
      <c r="E108" s="147">
        <f t="shared" si="2"/>
        <v>0</v>
      </c>
      <c r="F108" s="142"/>
      <c r="G108" s="143"/>
      <c r="H108" s="143"/>
      <c r="O108"/>
      <c r="P108"/>
    </row>
    <row r="109" spans="1:16" ht="13.5" customHeight="1">
      <c r="A109" s="169">
        <v>84</v>
      </c>
      <c r="B109" s="143"/>
      <c r="C109" s="139"/>
      <c r="D109" s="141"/>
      <c r="E109" s="147">
        <f t="shared" si="2"/>
        <v>0</v>
      </c>
      <c r="F109" s="142"/>
      <c r="G109" s="143"/>
      <c r="H109" s="143"/>
      <c r="O109"/>
      <c r="P109"/>
    </row>
    <row r="110" spans="1:16" ht="13.5" customHeight="1">
      <c r="A110" s="169">
        <v>85</v>
      </c>
      <c r="B110" s="143"/>
      <c r="C110" s="139"/>
      <c r="D110" s="141"/>
      <c r="E110" s="147">
        <f t="shared" si="2"/>
        <v>0</v>
      </c>
      <c r="F110" s="142"/>
      <c r="G110" s="143"/>
      <c r="H110" s="143"/>
      <c r="O110"/>
      <c r="P110"/>
    </row>
    <row r="111" spans="1:16" ht="13.5" customHeight="1">
      <c r="A111" s="169">
        <v>86</v>
      </c>
      <c r="B111" s="143"/>
      <c r="C111" s="139"/>
      <c r="D111" s="141"/>
      <c r="E111" s="147">
        <f t="shared" si="2"/>
        <v>0</v>
      </c>
      <c r="F111" s="142"/>
      <c r="G111" s="143"/>
      <c r="H111" s="143"/>
      <c r="O111"/>
      <c r="P111"/>
    </row>
    <row r="112" spans="1:16" ht="13.5" customHeight="1">
      <c r="A112" s="169">
        <v>87</v>
      </c>
      <c r="B112" s="143"/>
      <c r="C112" s="139"/>
      <c r="D112" s="141"/>
      <c r="E112" s="147">
        <f t="shared" si="2"/>
        <v>0</v>
      </c>
      <c r="F112" s="142"/>
      <c r="G112" s="143"/>
      <c r="H112" s="143"/>
      <c r="O112"/>
      <c r="P112"/>
    </row>
    <row r="113" spans="1:16" ht="13.5" customHeight="1">
      <c r="A113" s="169">
        <v>88</v>
      </c>
      <c r="B113" s="143"/>
      <c r="C113" s="139"/>
      <c r="D113" s="141"/>
      <c r="E113" s="147">
        <f t="shared" si="2"/>
        <v>0</v>
      </c>
      <c r="F113" s="142"/>
      <c r="G113" s="143"/>
      <c r="H113" s="143"/>
      <c r="O113"/>
      <c r="P113"/>
    </row>
    <row r="114" spans="1:16" ht="13.5" customHeight="1">
      <c r="A114" s="169">
        <v>89</v>
      </c>
      <c r="B114" s="143"/>
      <c r="C114" s="139"/>
      <c r="D114" s="141"/>
      <c r="E114" s="147">
        <f t="shared" si="2"/>
        <v>0</v>
      </c>
      <c r="F114" s="142"/>
      <c r="G114" s="143"/>
      <c r="H114" s="143"/>
      <c r="O114"/>
      <c r="P114"/>
    </row>
    <row r="115" spans="1:16" ht="13.5" customHeight="1">
      <c r="A115" s="169">
        <v>90</v>
      </c>
      <c r="B115" s="143"/>
      <c r="C115" s="139"/>
      <c r="D115" s="141"/>
      <c r="E115" s="147">
        <f t="shared" si="2"/>
        <v>0</v>
      </c>
      <c r="F115" s="142"/>
      <c r="G115" s="143"/>
      <c r="H115" s="143"/>
      <c r="O115"/>
      <c r="P115"/>
    </row>
    <row r="116" spans="1:16" ht="13.5" customHeight="1">
      <c r="A116" s="169">
        <v>91</v>
      </c>
      <c r="B116" s="143"/>
      <c r="C116" s="139"/>
      <c r="D116" s="141"/>
      <c r="E116" s="147">
        <f t="shared" si="2"/>
        <v>0</v>
      </c>
      <c r="F116" s="142"/>
      <c r="G116" s="143"/>
      <c r="H116" s="143"/>
      <c r="O116"/>
      <c r="P116"/>
    </row>
    <row r="117" spans="1:16" ht="13.5" customHeight="1">
      <c r="A117" s="169">
        <v>92</v>
      </c>
      <c r="B117" s="143"/>
      <c r="C117" s="139"/>
      <c r="D117" s="141"/>
      <c r="E117" s="147">
        <f t="shared" si="2"/>
        <v>0</v>
      </c>
      <c r="F117" s="142"/>
      <c r="G117" s="143"/>
      <c r="H117" s="143"/>
      <c r="O117"/>
      <c r="P117"/>
    </row>
    <row r="118" spans="1:16" ht="13.5" customHeight="1">
      <c r="A118" s="169">
        <v>93</v>
      </c>
      <c r="B118" s="143"/>
      <c r="C118" s="139"/>
      <c r="D118" s="141"/>
      <c r="E118" s="147">
        <f t="shared" si="2"/>
        <v>0</v>
      </c>
      <c r="F118" s="142"/>
      <c r="G118" s="143"/>
      <c r="H118" s="143"/>
      <c r="O118"/>
      <c r="P118"/>
    </row>
    <row r="119" spans="1:16" ht="13.5" customHeight="1">
      <c r="A119" s="169">
        <v>94</v>
      </c>
      <c r="B119" s="143"/>
      <c r="C119" s="139"/>
      <c r="D119" s="141"/>
      <c r="E119" s="147">
        <f t="shared" si="2"/>
        <v>0</v>
      </c>
      <c r="F119" s="142"/>
      <c r="G119" s="143"/>
      <c r="H119" s="143"/>
      <c r="O119"/>
      <c r="P119"/>
    </row>
    <row r="120" spans="1:16" ht="13.5" customHeight="1">
      <c r="A120" s="169">
        <v>95</v>
      </c>
      <c r="B120" s="143"/>
      <c r="C120" s="139"/>
      <c r="D120" s="141"/>
      <c r="E120" s="147">
        <f t="shared" si="2"/>
        <v>0</v>
      </c>
      <c r="F120" s="142"/>
      <c r="G120" s="143"/>
      <c r="H120" s="143"/>
      <c r="O120"/>
      <c r="P120"/>
    </row>
    <row r="121" spans="1:16" ht="13.5" customHeight="1">
      <c r="A121" s="169">
        <v>96</v>
      </c>
      <c r="B121" s="143"/>
      <c r="C121" s="139"/>
      <c r="D121" s="141"/>
      <c r="E121" s="147">
        <f t="shared" si="2"/>
        <v>0</v>
      </c>
      <c r="F121" s="142"/>
      <c r="G121" s="143"/>
      <c r="H121" s="143"/>
      <c r="O121"/>
      <c r="P121"/>
    </row>
    <row r="122" spans="1:16" ht="13.5" customHeight="1">
      <c r="A122" s="169">
        <v>97</v>
      </c>
      <c r="B122" s="143"/>
      <c r="C122" s="139"/>
      <c r="D122" s="141"/>
      <c r="E122" s="147">
        <f t="shared" si="2"/>
        <v>0</v>
      </c>
      <c r="F122" s="142"/>
      <c r="G122" s="143"/>
      <c r="H122" s="143"/>
      <c r="O122"/>
      <c r="P122"/>
    </row>
    <row r="123" spans="1:16" ht="13.5" customHeight="1">
      <c r="A123" s="169">
        <v>98</v>
      </c>
      <c r="B123" s="143"/>
      <c r="C123" s="139"/>
      <c r="D123" s="141"/>
      <c r="E123" s="147">
        <f t="shared" si="2"/>
        <v>0</v>
      </c>
      <c r="F123" s="142"/>
      <c r="G123" s="143"/>
      <c r="H123" s="143"/>
      <c r="O123"/>
      <c r="P123"/>
    </row>
    <row r="124" spans="1:16" ht="13.5" customHeight="1">
      <c r="A124" s="169">
        <v>99</v>
      </c>
      <c r="B124" s="143"/>
      <c r="C124" s="139"/>
      <c r="D124" s="141"/>
      <c r="E124" s="147">
        <f t="shared" si="2"/>
        <v>0</v>
      </c>
      <c r="F124" s="142"/>
      <c r="G124" s="143"/>
      <c r="H124" s="143"/>
      <c r="O124"/>
      <c r="P124"/>
    </row>
    <row r="125" spans="1:16" ht="13.5" customHeight="1">
      <c r="A125" s="169">
        <v>100</v>
      </c>
      <c r="B125" s="143"/>
      <c r="C125" s="139"/>
      <c r="D125" s="141"/>
      <c r="E125" s="147">
        <f t="shared" si="2"/>
        <v>0</v>
      </c>
      <c r="F125" s="142"/>
      <c r="G125" s="143"/>
      <c r="H125" s="143"/>
      <c r="O125"/>
      <c r="P125"/>
    </row>
    <row r="126" spans="1:16" ht="13.5" customHeight="1">
      <c r="A126" s="169">
        <v>101</v>
      </c>
      <c r="B126" s="143"/>
      <c r="C126" s="139"/>
      <c r="D126" s="141"/>
      <c r="E126" s="147">
        <f t="shared" si="2"/>
        <v>0</v>
      </c>
      <c r="F126" s="142"/>
      <c r="G126" s="143"/>
      <c r="H126" s="143"/>
      <c r="O126"/>
      <c r="P126"/>
    </row>
    <row r="127" spans="1:16" ht="13.5" customHeight="1">
      <c r="A127" s="169">
        <v>102</v>
      </c>
      <c r="B127" s="143"/>
      <c r="C127" s="139"/>
      <c r="D127" s="141"/>
      <c r="E127" s="147">
        <f t="shared" si="2"/>
        <v>0</v>
      </c>
      <c r="F127" s="142"/>
      <c r="G127" s="143"/>
      <c r="H127" s="143"/>
      <c r="O127"/>
      <c r="P127"/>
    </row>
    <row r="128" spans="1:16" ht="13.5" customHeight="1">
      <c r="A128" s="169">
        <v>103</v>
      </c>
      <c r="B128" s="143"/>
      <c r="C128" s="139"/>
      <c r="D128" s="141"/>
      <c r="E128" s="147">
        <f t="shared" si="2"/>
        <v>0</v>
      </c>
      <c r="F128" s="142"/>
      <c r="G128" s="143"/>
      <c r="H128" s="143"/>
      <c r="O128"/>
      <c r="P128"/>
    </row>
    <row r="129" spans="1:16" ht="13.5" customHeight="1">
      <c r="A129" s="169">
        <v>104</v>
      </c>
      <c r="B129" s="143"/>
      <c r="C129" s="139"/>
      <c r="D129" s="141"/>
      <c r="E129" s="147">
        <f t="shared" si="2"/>
        <v>0</v>
      </c>
      <c r="F129" s="142"/>
      <c r="G129" s="143"/>
      <c r="H129" s="143"/>
      <c r="O129"/>
      <c r="P129"/>
    </row>
    <row r="130" spans="1:16" ht="13.5" customHeight="1">
      <c r="A130" s="169">
        <v>105</v>
      </c>
      <c r="B130" s="143"/>
      <c r="C130" s="139"/>
      <c r="D130" s="141"/>
      <c r="E130" s="147">
        <f t="shared" si="2"/>
        <v>0</v>
      </c>
      <c r="F130" s="142"/>
      <c r="G130" s="143"/>
      <c r="H130" s="143"/>
      <c r="O130"/>
      <c r="P130"/>
    </row>
    <row r="131" spans="1:16" ht="13.5" customHeight="1">
      <c r="A131" s="169">
        <v>106</v>
      </c>
      <c r="B131" s="143"/>
      <c r="C131" s="139"/>
      <c r="D131" s="141"/>
      <c r="E131" s="147">
        <f t="shared" si="2"/>
        <v>0</v>
      </c>
      <c r="F131" s="142"/>
      <c r="G131" s="143"/>
      <c r="H131" s="143"/>
      <c r="O131"/>
      <c r="P131"/>
    </row>
    <row r="132" spans="1:16" ht="13.5" customHeight="1">
      <c r="A132" s="169">
        <v>107</v>
      </c>
      <c r="B132" s="143"/>
      <c r="C132" s="139"/>
      <c r="D132" s="141"/>
      <c r="E132" s="147">
        <f t="shared" si="2"/>
        <v>0</v>
      </c>
      <c r="F132" s="142"/>
      <c r="G132" s="143"/>
      <c r="H132" s="143"/>
      <c r="O132"/>
      <c r="P132"/>
    </row>
    <row r="133" spans="1:16" ht="13.5" customHeight="1">
      <c r="A133" s="169">
        <v>108</v>
      </c>
      <c r="B133" s="143"/>
      <c r="C133" s="139"/>
      <c r="D133" s="141"/>
      <c r="E133" s="147">
        <f t="shared" si="2"/>
        <v>0</v>
      </c>
      <c r="F133" s="142"/>
      <c r="G133" s="143"/>
      <c r="H133" s="143"/>
      <c r="O133"/>
      <c r="P133"/>
    </row>
    <row r="134" spans="1:16" ht="13.5" customHeight="1">
      <c r="A134" s="169">
        <v>109</v>
      </c>
      <c r="B134" s="143"/>
      <c r="C134" s="139"/>
      <c r="D134" s="141"/>
      <c r="E134" s="147">
        <f t="shared" si="2"/>
        <v>0</v>
      </c>
      <c r="F134" s="142"/>
      <c r="G134" s="143"/>
      <c r="H134" s="143"/>
      <c r="O134"/>
      <c r="P134"/>
    </row>
    <row r="135" spans="1:16" ht="13.5" customHeight="1">
      <c r="A135" s="169">
        <v>110</v>
      </c>
      <c r="B135" s="143"/>
      <c r="C135" s="139"/>
      <c r="D135" s="141"/>
      <c r="E135" s="147">
        <f t="shared" si="2"/>
        <v>0</v>
      </c>
      <c r="F135" s="142"/>
      <c r="G135" s="143"/>
      <c r="H135" s="143"/>
      <c r="O135"/>
      <c r="P135"/>
    </row>
    <row r="136" spans="1:16" ht="13.5" customHeight="1">
      <c r="A136" s="169">
        <v>111</v>
      </c>
      <c r="B136" s="143"/>
      <c r="C136" s="139"/>
      <c r="D136" s="141"/>
      <c r="E136" s="147">
        <f t="shared" si="2"/>
        <v>0</v>
      </c>
      <c r="F136" s="142"/>
      <c r="G136" s="143"/>
      <c r="H136" s="143"/>
      <c r="O136"/>
      <c r="P136"/>
    </row>
    <row r="137" spans="1:16" ht="13.5" customHeight="1">
      <c r="A137" s="169">
        <v>112</v>
      </c>
      <c r="B137" s="143"/>
      <c r="C137" s="139"/>
      <c r="D137" s="141"/>
      <c r="E137" s="147">
        <f t="shared" si="2"/>
        <v>0</v>
      </c>
      <c r="F137" s="142"/>
      <c r="G137" s="143"/>
      <c r="H137" s="143"/>
      <c r="O137"/>
      <c r="P137"/>
    </row>
    <row r="138" spans="1:16" ht="13.5" customHeight="1">
      <c r="A138" s="169">
        <v>113</v>
      </c>
      <c r="B138" s="143"/>
      <c r="C138" s="139"/>
      <c r="D138" s="141"/>
      <c r="E138" s="147">
        <f t="shared" si="2"/>
        <v>0</v>
      </c>
      <c r="F138" s="142"/>
      <c r="G138" s="143"/>
      <c r="H138" s="143"/>
      <c r="O138"/>
      <c r="P138"/>
    </row>
    <row r="139" spans="1:16" ht="13.5" customHeight="1">
      <c r="A139" s="169">
        <v>114</v>
      </c>
      <c r="B139" s="143"/>
      <c r="C139" s="139"/>
      <c r="D139" s="141"/>
      <c r="E139" s="147">
        <f t="shared" si="2"/>
        <v>0</v>
      </c>
      <c r="F139" s="142"/>
      <c r="G139" s="143"/>
      <c r="H139" s="143"/>
      <c r="O139"/>
      <c r="P139"/>
    </row>
    <row r="140" spans="1:16" ht="13.5" customHeight="1">
      <c r="A140" s="169">
        <v>115</v>
      </c>
      <c r="B140" s="143"/>
      <c r="C140" s="139"/>
      <c r="D140" s="141"/>
      <c r="E140" s="147">
        <f t="shared" si="2"/>
        <v>0</v>
      </c>
      <c r="F140" s="142"/>
      <c r="G140" s="143"/>
      <c r="H140" s="143"/>
      <c r="O140"/>
      <c r="P140"/>
    </row>
    <row r="141" spans="1:16" ht="13.5" customHeight="1">
      <c r="A141" s="169">
        <v>116</v>
      </c>
      <c r="B141" s="143"/>
      <c r="C141" s="139"/>
      <c r="D141" s="141"/>
      <c r="E141" s="147">
        <f t="shared" si="2"/>
        <v>0</v>
      </c>
      <c r="F141" s="142"/>
      <c r="G141" s="143"/>
      <c r="H141" s="143"/>
      <c r="O141"/>
      <c r="P141"/>
    </row>
    <row r="142" spans="1:16" ht="13.5" customHeight="1">
      <c r="A142" s="169">
        <v>117</v>
      </c>
      <c r="B142" s="143"/>
      <c r="C142" s="139"/>
      <c r="D142" s="141"/>
      <c r="E142" s="147">
        <f t="shared" si="2"/>
        <v>0</v>
      </c>
      <c r="F142" s="142"/>
      <c r="G142" s="143"/>
      <c r="H142" s="143"/>
      <c r="O142"/>
      <c r="P142"/>
    </row>
    <row r="143" spans="1:16" ht="13.5" customHeight="1">
      <c r="A143" s="169">
        <v>118</v>
      </c>
      <c r="B143" s="143"/>
      <c r="C143" s="139"/>
      <c r="D143" s="141"/>
      <c r="E143" s="147">
        <f t="shared" si="2"/>
        <v>0</v>
      </c>
      <c r="F143" s="142"/>
      <c r="G143" s="143"/>
      <c r="H143" s="143"/>
      <c r="O143"/>
      <c r="P143"/>
    </row>
    <row r="144" spans="1:16" ht="13.5" customHeight="1">
      <c r="A144" s="169">
        <v>119</v>
      </c>
      <c r="B144" s="143"/>
      <c r="C144" s="139"/>
      <c r="D144" s="141"/>
      <c r="E144" s="147">
        <f t="shared" si="2"/>
        <v>0</v>
      </c>
      <c r="F144" s="142"/>
      <c r="G144" s="143"/>
      <c r="H144" s="143"/>
      <c r="O144"/>
      <c r="P144"/>
    </row>
    <row r="145" spans="1:16" ht="13.5" customHeight="1">
      <c r="A145" s="169">
        <v>120</v>
      </c>
      <c r="B145" s="143"/>
      <c r="C145" s="139"/>
      <c r="D145" s="141"/>
      <c r="E145" s="147">
        <f t="shared" si="2"/>
        <v>0</v>
      </c>
      <c r="F145" s="142"/>
      <c r="G145" s="143"/>
      <c r="H145" s="143"/>
      <c r="O145"/>
      <c r="P145"/>
    </row>
    <row r="146" spans="1:16" ht="13.5" customHeight="1">
      <c r="A146" s="169">
        <v>121</v>
      </c>
      <c r="B146" s="143"/>
      <c r="C146" s="139"/>
      <c r="D146" s="141"/>
      <c r="E146" s="147">
        <f t="shared" si="2"/>
        <v>0</v>
      </c>
      <c r="F146" s="142"/>
      <c r="G146" s="143"/>
      <c r="H146" s="143"/>
      <c r="O146"/>
      <c r="P146"/>
    </row>
    <row r="147" spans="1:16" ht="13.5" customHeight="1">
      <c r="A147" s="169">
        <v>122</v>
      </c>
      <c r="B147" s="143"/>
      <c r="C147" s="139"/>
      <c r="D147" s="141"/>
      <c r="E147" s="147">
        <f t="shared" si="2"/>
        <v>0</v>
      </c>
      <c r="F147" s="142"/>
      <c r="G147" s="143"/>
      <c r="H147" s="143"/>
      <c r="O147"/>
      <c r="P147"/>
    </row>
    <row r="148" spans="1:16" ht="13.5" customHeight="1">
      <c r="A148" s="169">
        <v>123</v>
      </c>
      <c r="B148" s="143"/>
      <c r="C148" s="139"/>
      <c r="D148" s="141"/>
      <c r="E148" s="147">
        <f t="shared" si="2"/>
        <v>0</v>
      </c>
      <c r="F148" s="142"/>
      <c r="G148" s="143"/>
      <c r="H148" s="143"/>
      <c r="O148"/>
      <c r="P148"/>
    </row>
    <row r="149" spans="1:16" ht="13.5" customHeight="1">
      <c r="A149" s="169">
        <v>124</v>
      </c>
      <c r="B149" s="143"/>
      <c r="C149" s="139"/>
      <c r="D149" s="141"/>
      <c r="E149" s="147">
        <f t="shared" si="2"/>
        <v>0</v>
      </c>
      <c r="F149" s="142"/>
      <c r="G149" s="143"/>
      <c r="H149" s="143"/>
      <c r="O149"/>
      <c r="P149"/>
    </row>
    <row r="150" spans="1:16" ht="13.5" customHeight="1">
      <c r="A150" s="169">
        <v>125</v>
      </c>
      <c r="B150" s="143"/>
      <c r="C150" s="139"/>
      <c r="D150" s="141"/>
      <c r="E150" s="147">
        <f t="shared" si="2"/>
        <v>0</v>
      </c>
      <c r="F150" s="142"/>
      <c r="G150" s="143"/>
      <c r="H150" s="143"/>
      <c r="O150"/>
      <c r="P150"/>
    </row>
    <row r="151" spans="1:16" ht="13.5" customHeight="1">
      <c r="A151" s="169">
        <v>126</v>
      </c>
      <c r="B151" s="143"/>
      <c r="C151" s="139"/>
      <c r="D151" s="141"/>
      <c r="E151" s="147">
        <f t="shared" si="2"/>
        <v>0</v>
      </c>
      <c r="F151" s="142"/>
      <c r="G151" s="143"/>
      <c r="H151" s="143"/>
      <c r="O151"/>
      <c r="P151"/>
    </row>
    <row r="152" spans="1:16" ht="13.5" customHeight="1">
      <c r="A152" s="169">
        <v>127</v>
      </c>
      <c r="B152" s="143"/>
      <c r="C152" s="139"/>
      <c r="D152" s="141"/>
      <c r="E152" s="147">
        <f t="shared" si="2"/>
        <v>0</v>
      </c>
      <c r="F152" s="142"/>
      <c r="G152" s="143"/>
      <c r="H152" s="143"/>
      <c r="O152"/>
      <c r="P152"/>
    </row>
    <row r="153" spans="1:16" ht="13.5" customHeight="1">
      <c r="A153" s="169">
        <v>128</v>
      </c>
      <c r="B153" s="143"/>
      <c r="C153" s="139"/>
      <c r="D153" s="141"/>
      <c r="E153" s="147">
        <f t="shared" si="2"/>
        <v>0</v>
      </c>
      <c r="F153" s="142"/>
      <c r="G153" s="143"/>
      <c r="H153" s="143"/>
      <c r="O153"/>
      <c r="P153"/>
    </row>
    <row r="154" spans="1:16" ht="13.5" customHeight="1">
      <c r="A154" s="169">
        <v>129</v>
      </c>
      <c r="B154" s="143"/>
      <c r="C154" s="139"/>
      <c r="D154" s="141"/>
      <c r="E154" s="147">
        <f t="shared" ref="E154:E189" si="3">M154</f>
        <v>0</v>
      </c>
      <c r="F154" s="142"/>
      <c r="G154" s="143"/>
      <c r="H154" s="143"/>
      <c r="O154"/>
      <c r="P154"/>
    </row>
    <row r="155" spans="1:16" ht="13.5" customHeight="1">
      <c r="A155" s="169">
        <v>130</v>
      </c>
      <c r="B155" s="143"/>
      <c r="C155" s="139"/>
      <c r="D155" s="141"/>
      <c r="E155" s="147">
        <f t="shared" si="3"/>
        <v>0</v>
      </c>
      <c r="F155" s="142"/>
      <c r="G155" s="143"/>
      <c r="H155" s="143"/>
      <c r="O155"/>
      <c r="P155"/>
    </row>
    <row r="156" spans="1:16" ht="13.5" customHeight="1">
      <c r="A156" s="169">
        <v>131</v>
      </c>
      <c r="B156" s="143"/>
      <c r="C156" s="141"/>
      <c r="D156" s="141"/>
      <c r="E156" s="147">
        <f t="shared" si="3"/>
        <v>0</v>
      </c>
      <c r="F156" s="142"/>
      <c r="G156" s="143"/>
      <c r="H156" s="143"/>
      <c r="O156"/>
      <c r="P156"/>
    </row>
    <row r="157" spans="1:16" ht="13.5" customHeight="1">
      <c r="A157" s="169">
        <v>132</v>
      </c>
      <c r="B157" s="143"/>
      <c r="C157" s="139"/>
      <c r="D157" s="141"/>
      <c r="E157" s="147">
        <f t="shared" si="3"/>
        <v>0</v>
      </c>
      <c r="F157" s="142"/>
      <c r="G157" s="143"/>
      <c r="H157" s="143"/>
      <c r="O157"/>
      <c r="P157"/>
    </row>
    <row r="158" spans="1:16" ht="13.5" customHeight="1">
      <c r="A158" s="169">
        <v>133</v>
      </c>
      <c r="E158" s="162">
        <f>M161</f>
        <v>0</v>
      </c>
    </row>
    <row r="159" spans="1:16" ht="13.5" customHeight="1">
      <c r="A159" s="169">
        <v>134</v>
      </c>
      <c r="E159" s="162">
        <f>M162</f>
        <v>0</v>
      </c>
    </row>
    <row r="160" spans="1:16" ht="13.5" customHeight="1">
      <c r="A160" s="169">
        <v>135</v>
      </c>
      <c r="E160" s="162">
        <f>M163</f>
        <v>0</v>
      </c>
    </row>
    <row r="161" spans="1:5" ht="13.5" customHeight="1">
      <c r="A161" s="169">
        <v>136</v>
      </c>
      <c r="E161" s="162">
        <f>M161</f>
        <v>0</v>
      </c>
    </row>
    <row r="162" spans="1:5" ht="13.5" customHeight="1">
      <c r="A162" s="169">
        <v>137</v>
      </c>
      <c r="E162" s="162">
        <f>M162</f>
        <v>0</v>
      </c>
    </row>
    <row r="163" spans="1:5" ht="13.5" customHeight="1">
      <c r="A163" s="169">
        <v>138</v>
      </c>
      <c r="E163" s="162">
        <f>M163</f>
        <v>0</v>
      </c>
    </row>
    <row r="164" spans="1:5" ht="13.5" customHeight="1">
      <c r="A164" s="169">
        <v>139</v>
      </c>
      <c r="E164" s="162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59</v>
      </c>
    </row>
    <row r="7" spans="1:13">
      <c r="A7" t="s">
        <v>57</v>
      </c>
    </row>
    <row r="8" spans="1:13">
      <c r="A8" t="s">
        <v>1</v>
      </c>
    </row>
    <row r="9" spans="1:13">
      <c r="A9" t="s">
        <v>58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60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20"/>
  <sheetViews>
    <sheetView workbookViewId="0">
      <selection activeCell="A20" sqref="A20"/>
    </sheetView>
  </sheetViews>
  <sheetFormatPr defaultRowHeight="16.5"/>
  <sheetData>
    <row r="1" spans="1:20">
      <c r="A1" t="s">
        <v>53</v>
      </c>
      <c r="T1" t="s">
        <v>45</v>
      </c>
    </row>
    <row r="2" spans="1:20">
      <c r="A2" t="s">
        <v>55</v>
      </c>
    </row>
    <row r="3" spans="1:20">
      <c r="B3" t="s">
        <v>51</v>
      </c>
    </row>
    <row r="4" spans="1:20">
      <c r="B4" t="s">
        <v>52</v>
      </c>
    </row>
    <row r="5" spans="1:20">
      <c r="A5" t="s">
        <v>54</v>
      </c>
    </row>
    <row r="20" spans="1:1">
      <c r="A20" t="s">
        <v>56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2"/>
  <sheetViews>
    <sheetView workbookViewId="0">
      <selection activeCell="C6" sqref="C6"/>
    </sheetView>
  </sheetViews>
  <sheetFormatPr defaultRowHeight="16.5"/>
  <sheetData>
    <row r="1" spans="1:2">
      <c r="A1" t="s">
        <v>46</v>
      </c>
    </row>
    <row r="2" spans="1:2">
      <c r="A2" t="s">
        <v>47</v>
      </c>
      <c r="B2" t="s">
        <v>48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13"/>
  <sheetViews>
    <sheetView workbookViewId="0">
      <selection activeCell="K18" sqref="K18"/>
    </sheetView>
  </sheetViews>
  <sheetFormatPr defaultRowHeight="16.5"/>
  <sheetData>
    <row r="2" spans="1:3">
      <c r="A2" t="s">
        <v>50</v>
      </c>
    </row>
    <row r="3" spans="1:3">
      <c r="B3" t="s">
        <v>39</v>
      </c>
    </row>
    <row r="4" spans="1:3">
      <c r="B4" s="4" t="s">
        <v>49</v>
      </c>
    </row>
    <row r="10" spans="1:3">
      <c r="C10" s="2" t="s">
        <v>44</v>
      </c>
    </row>
    <row r="11" spans="1:3">
      <c r="C11" t="s">
        <v>7</v>
      </c>
    </row>
    <row r="12" spans="1:3">
      <c r="B12" s="4" t="s">
        <v>8</v>
      </c>
    </row>
    <row r="13" spans="1:3">
      <c r="B13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예정</vt:lpstr>
      <vt:lpstr>리스트</vt:lpstr>
      <vt:lpstr>입항관리</vt:lpstr>
      <vt:lpstr>XML컨1개</vt:lpstr>
      <vt:lpstr>진행정보와XML매칭</vt:lpstr>
      <vt:lpstr>정리정보</vt:lpstr>
      <vt:lpstr>상황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2025-12-23T01:38:32Z</dcterms:created>
  <dcterms:modified xsi:type="dcterms:W3CDTF">2025-12-25T12:35:43Z</dcterms:modified>
</cp:coreProperties>
</file>