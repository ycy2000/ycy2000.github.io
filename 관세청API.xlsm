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COM\Desktop\계산중심180130\"/>
    </mc:Choice>
  </mc:AlternateContent>
  <bookViews>
    <workbookView xWindow="0" yWindow="0" windowWidth="28800" windowHeight="12390" activeTab="7"/>
  </bookViews>
  <sheets>
    <sheet name="Sheet1" sheetId="4" r:id="rId1"/>
    <sheet name="XML문자열" sheetId="5" r:id="rId2"/>
    <sheet name="XML컨1개" sheetId="6" r:id="rId3"/>
    <sheet name="진행정보와XML매칭" sheetId="7" r:id="rId4"/>
    <sheet name="정리정보" sheetId="8" r:id="rId5"/>
    <sheet name="상황" sheetId="9" r:id="rId6"/>
    <sheet name="Sheet5" sheetId="10" r:id="rId7"/>
    <sheet name="Sheet6" sheetId="11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1" l="1"/>
</calcChain>
</file>

<file path=xl/sharedStrings.xml><?xml version="1.0" encoding="utf-8"?>
<sst xmlns="http://schemas.openxmlformats.org/spreadsheetml/2006/main" count="432" uniqueCount="313">
  <si>
    <t>&lt;?xml version="1.0" encoding="UTF-8" standalone="yes"?&gt;</t>
    <phoneticPr fontId="1" type="noConversion"/>
  </si>
  <si>
    <t>&lt;cargCsclPrgsInfoQryRtnVo&gt;</t>
    <phoneticPr fontId="1" type="noConversion"/>
  </si>
  <si>
    <t>&lt;?xml version="1.0" encoding="UTF-8" standalone="yes"?&gt;&lt;cargCsclPrgsInfoQryRtnVo&gt;&lt;ntceInfo&gt;&lt;/ntceInfo&gt;&lt;tCnt&gt;0&lt;/tCnt&gt;&lt;/cargCsclPrgsInfoQryRtnVo&gt;</t>
    <phoneticPr fontId="1" type="noConversion"/>
  </si>
  <si>
    <t>&lt;?xml version="1.0" encoding="UTF-8" standalone="yes"?&gt;</t>
    <phoneticPr fontId="1" type="noConversion"/>
  </si>
  <si>
    <t>&lt;cargCsclPrgsInfoQryRtnVo&gt;</t>
  </si>
  <si>
    <t>&lt;cargCsclPrgsInfoQryRtnVo&gt;</t>
    <phoneticPr fontId="1" type="noConversion"/>
  </si>
  <si>
    <t>&lt;/cargCsclPrgsInfoQryRtnVo&gt;</t>
  </si>
  <si>
    <t>&lt;/cargCsclPrgsInfoQryRtnVo&gt;</t>
    <phoneticPr fontId="1" type="noConversion"/>
  </si>
  <si>
    <t xml:space="preserve">   &lt;ntceInfo&gt;&lt;/ntceInfo&gt;</t>
    <phoneticPr fontId="1" type="noConversion"/>
  </si>
  <si>
    <t xml:space="preserve">   &lt;tCnt&gt;0&lt;/tCnt&gt;</t>
    <phoneticPr fontId="1" type="noConversion"/>
  </si>
  <si>
    <t xml:space="preserve">   &lt;ntceInfo&gt;[화물관리번호(cargMtNo)], [Master B/L번호(mblNo)과 BL년도(blYy)], [House B/L번호(hblNo)과 BL년도(blYy)] 중 한가지는 필수입력입니다. 또는 화물관리번호는 15자리 이상 자리로 입력하셔야 합니다.&lt;/ntceInfo&gt;</t>
    <phoneticPr fontId="1" type="noConversion"/>
  </si>
  <si>
    <t xml:space="preserve">   &lt;tCnt&gt;-1&lt;/tCnt&gt;</t>
    <phoneticPr fontId="1" type="noConversion"/>
  </si>
  <si>
    <t>🔽 실제 응답 형태 (예시)</t>
  </si>
  <si>
    <t xml:space="preserve">  &lt;cargCsclPrgsInfoQryVo/&gt;</t>
  </si>
  <si>
    <t>✔️ 의미</t>
  </si>
  <si>
    <t>항목</t>
  </si>
  <si>
    <t>의미</t>
  </si>
  <si>
    <t>tCnt = 0</t>
  </si>
  <si>
    <t>조회 건수 없음</t>
  </si>
  <si>
    <r>
      <t>QryVo</t>
    </r>
    <r>
      <rPr>
        <sz val="11"/>
        <color theme="1"/>
        <rFont val="맑은 고딕"/>
        <family val="2"/>
        <charset val="129"/>
        <scheme val="minor"/>
      </rPr>
      <t xml:space="preserve"> 비어있음</t>
    </r>
  </si>
  <si>
    <t>통관 데이터 미존재</t>
  </si>
  <si>
    <r>
      <t xml:space="preserve">👉 </t>
    </r>
    <r>
      <rPr>
        <b/>
        <sz val="11"/>
        <color theme="1"/>
        <rFont val="맑은 고딕"/>
        <family val="3"/>
        <charset val="129"/>
        <scheme val="minor"/>
      </rPr>
      <t>에러가 아님</t>
    </r>
  </si>
  <si>
    <r>
      <t xml:space="preserve">👉 </t>
    </r>
    <r>
      <rPr>
        <b/>
        <sz val="11"/>
        <color theme="1"/>
        <rFont val="맑은 고딕"/>
        <family val="3"/>
        <charset val="129"/>
        <scheme val="minor"/>
      </rPr>
      <t>정상 조회 결과 + 데이터 없음</t>
    </r>
  </si>
  <si>
    <t>📌 실무에서는</t>
  </si>
  <si>
    <r>
      <t>tCnt == 0</t>
    </r>
    <r>
      <rPr>
        <sz val="11"/>
        <color theme="1"/>
        <rFont val="맑은 고딕"/>
        <family val="2"/>
        <charset val="129"/>
        <scheme val="minor"/>
      </rPr>
      <t xml:space="preserve"> → “미도착 / 미신고 / 조회불가” 로 처리합니다.</t>
    </r>
  </si>
  <si>
    <t>3️⃣ 조회결과가 있을 때</t>
  </si>
  <si>
    <t>🔽 실제 응답 구조 (요약)</t>
  </si>
  <si>
    <t xml:space="preserve">  &lt;tCnt&gt;1&lt;/tCnt&gt;</t>
  </si>
  <si>
    <t xml:space="preserve">  &lt;cargCsclPrgsInfoQryVo&gt;</t>
  </si>
  <si>
    <t xml:space="preserve">    &lt;cargMtNo&gt;25KMTCSGN6074816&lt;/cargMtNo&gt;</t>
  </si>
  <si>
    <t xml:space="preserve">    &lt;hblNo&gt;&lt;/hblNo&gt;</t>
  </si>
  <si>
    <t xml:space="preserve">    &lt;mblNo&gt;KMTCSGN6074816&lt;/mblNo&gt;</t>
  </si>
  <si>
    <t xml:space="preserve">    &lt;prgsStts&gt;반출완료&lt;/prgsStts&gt;</t>
  </si>
  <si>
    <t xml:space="preserve">    &lt;prcsDttm&gt;20250321103000&lt;/prcsDttm&gt;</t>
  </si>
  <si>
    <t xml:space="preserve">    &lt;shipNm&gt;EVER GREEN&lt;/shipNm&gt;</t>
  </si>
  <si>
    <t xml:space="preserve">    &lt;etprCstm&gt;부산세관&lt;/etprCstm&gt;</t>
  </si>
  <si>
    <t xml:space="preserve">    &lt;dsprNm&gt;수입신고수리&lt;/dsprNm&gt;</t>
  </si>
  <si>
    <t xml:space="preserve">    &lt;rlbrDttm&gt;20250322114500&lt;/rlbrDttm&gt;</t>
  </si>
  <si>
    <t xml:space="preserve">    &lt;frwrEntsConm&gt;○○포워딩&lt;/frwrEntsConm&gt;</t>
  </si>
  <si>
    <t xml:space="preserve">  &lt;/cargCsclPrgsInfoQryVo&gt;</t>
  </si>
  <si>
    <t>4️⃣ 조회 시 받아볼 수 있는 주요 항목 설명</t>
  </si>
  <si>
    <t>필드명</t>
  </si>
  <si>
    <t>설명</t>
  </si>
  <si>
    <t>cargMtNo</t>
  </si>
  <si>
    <t>화물관리번호</t>
  </si>
  <si>
    <t>mblNo</t>
  </si>
  <si>
    <t>Master BL 번호</t>
  </si>
  <si>
    <t>hblNo</t>
  </si>
  <si>
    <t>House BL (없을 수도 있음)</t>
  </si>
  <si>
    <t>prgsStts</t>
  </si>
  <si>
    <t>현재 통관상태</t>
  </si>
  <si>
    <t>prcsDttm</t>
  </si>
  <si>
    <t>처리일시</t>
  </si>
  <si>
    <t>dsprNm</t>
  </si>
  <si>
    <t>세부 처리내용</t>
  </si>
  <si>
    <t>shipNm</t>
  </si>
  <si>
    <t>선박명</t>
  </si>
  <si>
    <t>etprCstm</t>
  </si>
  <si>
    <t>담당 세관</t>
  </si>
  <si>
    <t>frwrEntsConm</t>
  </si>
  <si>
    <t>포워더</t>
  </si>
  <si>
    <t>rlbrDttm</t>
  </si>
  <si>
    <t>반출일시</t>
  </si>
  <si>
    <t xml:space="preserve">  &lt;tCnt&gt;0&lt;/tCnt&gt; '-1일수도 있나</t>
    <phoneticPr fontId="1" type="noConversion"/>
  </si>
  <si>
    <t>년도 (YYYY)</t>
    <phoneticPr fontId="1" type="noConversion"/>
  </si>
  <si>
    <t>API 응답 XML 전체 출력</t>
    <phoneticPr fontId="1" type="noConversion"/>
  </si>
  <si>
    <t>HASLS21251200826</t>
  </si>
  <si>
    <t>&lt;?xml version="1.0" encoding="UTF-8" standalone="yes"?&gt;&lt;cargCsclPrgsInfoQryRtnVo&gt;&lt;ntceInfo&gt;&lt;/ntceInfo&gt;&lt;cargCsclPrgsInfoQryVo&gt;&lt;csclPrgsStts&gt;수입신고전&lt;/csclPrgsStts&gt;&lt;vydf&gt;2521N&lt;/vydf&gt;&lt;rlseDtyPridPassTpcd&gt;N&lt;/rlseDtyPridPassTpcd&gt;&lt;prnm&gt;FROZEN NOBASHI VANNAMEI SHRIMP&lt;/prnm&gt;&lt;ldprCd&gt;VNSGN&lt;/ldprCd&gt;&lt;shipNat&gt;KR&lt;/shipNat&gt;&lt;blPt&gt;S&lt;/blPt&gt;&lt;dsprNm&gt;부산항&lt;/dsprNm&gt;&lt;etprDt&gt;20251221&lt;/etprDt&gt;&lt;prgsStCd&gt;CAGG02&lt;/prgsStCd&gt;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일반화물&lt;/cargTp&gt;&lt;shcoFlcoSgn&gt;SNKO&lt;/shcoFlcoSgn&gt;&lt;pckGcnt&gt;2100&lt;/pckGcnt&gt;&lt;etprCstm&gt;부산세관&lt;/etprCstm&gt;&lt;shipNm&gt;SAWASDEE PACIFIC&lt;/shipNm&gt;&lt;hblNo&gt;&lt;/hblNo&gt;&lt;prcsDttm&gt;20251223094258&lt;/prcsDttm&gt;&lt;frwrSgn&gt;&lt;/frwrSgn&gt;&lt;spcnCargCd&gt;&lt;/spcnCargCd&gt;&lt;ttwg&gt;15120&lt;/ttwg&gt;&lt;ldprNm&gt;Ho Chi Minh City&lt;/ldprNm&gt;&lt;dclrDelyAdtxYn&gt;N&lt;/dclrDelyAdtxYn&gt;&lt;mtTrgtCargYnNm&gt;N&lt;/mtTrgtCargYnNm&gt;&lt;cargMtNo&gt;25SNKO4814I1012&lt;/cargMtNo&gt;&lt;cntrNo&gt;SEGU9786733&lt;/cntrNo&gt;&lt;mblNo&gt;HASLS21251200826&lt;/mblNo&gt;&lt;blPtNm&gt;Simple&lt;/blPtNm&gt;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&lt;/cargCsclPrgsInfoQryVo&gt;&lt;tCnt&gt;8&lt;/tCnt&gt;&lt;cargCsclPrgsInfoDtlQryVo&gt;&lt;shedNm&gt;신선대감만터미널(주) 신선대CY&lt;/shedNm&gt;&lt;prcsDttm&gt;20251223094258&lt;/prcsDttm&gt;&lt;dclrNo&gt;030D8039307025U00654&lt;/dclrNo&gt;&lt;rlbrDttm&gt;(도)03011597동일냉장(주&lt;/rlbrDttm&gt;&lt;wght&gt;15120&lt;/wght&gt;&lt;rlbrBssNo&gt;(주)부산특수물류&lt;/rlbrBssNo&gt;&lt;bfhnGdncCn&gt;&lt;/bfhnGdncCn&gt;&lt;wghtUt&gt;KG&lt;/wghtUt&gt;&lt;pckGcnt&gt;2100&lt;/pckGcnt&gt;&lt;cargTrcnRelaBsopTpcd&gt;보세운송 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20251223094055&lt;/prcsDttm&gt;&lt;dclrNo&gt;030D8039307025U00654&lt;/dclrNo&gt;&lt;rlbrDttm&gt;&lt;/rlbrDttm&gt;&lt;wght&gt;15120&lt;/wght&gt;&lt;rlbrBssNo&gt;&lt;/rlbrBssNo&gt;&lt;bfhnGdncCn&gt;&lt;/bfhnGdncCn&gt;&lt;wghtUt&gt;KG&lt;/wghtUt&gt;&lt;pckGcnt&gt;2100&lt;/pckGcnt&gt;&lt;cargTrcnRelaBsopTpcd&gt;보세운송 신고 접수&lt;/cargTrcnRelaBsopTpcd&gt;&lt;pckUt&gt;CT&lt;/pckUt&gt;&lt;rlbrCn&gt;&lt;/rlbrCn&gt;&lt;shedSgn&gt;03077016&lt;/shedSgn&gt;&lt;/cargCsclPrgsInfoDtlQryVo&gt;&lt;cargCsclPrgsInfoDtlQryVo&gt;&lt;shedNm&gt;신선대감만터미널(주) 신선대CY&lt;/shedNm&gt;&lt;prcsDttm&gt;20251222001047&lt;/prcsDttm&gt;&lt;dclrNo&gt;03077016250515274A&lt;/dclrNo&gt;&lt;rlbrDttm&gt;2025-12-22 00:01:11&lt;/rlbrDttm&gt;&lt;wght&gt;15120&lt;/wght&gt;&lt;rlbrBssNo&gt;&lt;/rlbrBssNo&gt;&lt;bfhnGdncCn&gt;[부가사항] 신선대감만터미널(주) 신선대CY의 장치기간은 최대 3 개월 입니다.&lt;/bfhnGdncCn&gt;&lt;wghtUt&gt;KG&lt;/wghtUt&gt;&lt;pckGcnt&gt;2100&lt;/pckGcnt&gt;&lt;cargTrcnRelaBsopTpcd&gt;반입신고&lt;/cargTrcnRelaBsopTpcd&gt;&lt;pckUt&gt;CT&lt;/pckUt&gt;&lt;rlbrCn&gt;입항 반입&lt;/rlbrCn&gt;&lt;shedSgn&gt;03077016&lt;/shedSgn&gt;&lt;/cargCsclPrgsInfoDtlQryVo&gt;&lt;cargCsclPrgsInfoDtlQryVo&gt;&lt;shedNm&gt;&lt;/shedNm&gt;&lt;prcsDttm&gt;20251221141849&lt;/prcsDttm&gt;&lt;dclrNo&gt;25SNKO4814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20251221141848&lt;/prcsDttm&gt;&lt;dclrNo&gt;25SNKO4814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&lt;bfhnGdncCn&gt;&lt;/bfhnGdncCn&gt;&lt;wghtUt&gt;KG&lt;/wghtUt&gt;&lt;pckGcnt&gt;2100&lt;/pckGcnt&gt;&lt;cargTrcnRelaBsopTpcd&gt;하선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20251219155040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제출&lt;/cargTrcnRelaBsopTpcd&gt;&lt;pckUt&gt;CT&lt;/pckUt&gt;&lt;rlbrCn&gt;&lt;/rlbrCn&gt;&lt;shedSgn&gt;03077016&lt;/shedSgn&gt;&lt;/cargCsclPrgsInfoDtlQryVo&gt;&lt;/cargCsclPrgsInfoQryRtnVo&gt;</t>
    <phoneticPr fontId="1" type="noConversion"/>
  </si>
  <si>
    <t>&lt;cargCsclPrgsInfoQryRtnVo&gt;</t>
    <phoneticPr fontId="1" type="noConversion"/>
  </si>
  <si>
    <t>&lt;?xml version="1.0" encoding="UTF-8" standalone="yes"?&gt;</t>
    <phoneticPr fontId="1" type="noConversion"/>
  </si>
  <si>
    <t>&lt;prnm&gt;FROZEN NOBASHI VANNAMEI SHRIMP&lt;/prnm&gt;&lt;ldprCd&gt;VNSGN&lt;/ldprCd&gt;&lt;shipNat&gt;KR&lt;/shipNat&gt;&lt;blPt&gt;S&lt;/blPt&gt;&lt;dsprNm&gt;부산항&lt;/dsprNm&gt;&lt;etprDt&gt;20251221&lt;/etprDt&gt;&lt;prgsStCd&gt;CAGG02&lt;/prgsStCd&gt;</t>
    <phoneticPr fontId="1" type="noConversion"/>
  </si>
  <si>
    <t>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</t>
    <phoneticPr fontId="1" type="noConversion"/>
  </si>
  <si>
    <t>&lt;shipNm&gt;SAWASDEE PACIFIC&lt;/shipNm&gt;&lt;hblNo&gt;&lt;/hblNo&gt;&lt;prcsDttm&gt;20251223094258&lt;/prcsDttm&gt;&lt;frwrSgn&gt;&lt;/frwrSgn&gt;&lt;spcnCargCd&gt;&lt;/spcnCargCd&gt;&lt;ttwg&gt;15120&lt;/ttwg&gt;&lt;ldprNm&gt;Ho Chi Minh City&lt;/ldprNm&gt;</t>
    <phoneticPr fontId="1" type="noConversion"/>
  </si>
  <si>
    <t>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</t>
    <phoneticPr fontId="1" type="noConversion"/>
  </si>
  <si>
    <t>&lt;/cargCsclPrgsInfoQryVo&gt;</t>
    <phoneticPr fontId="1" type="noConversion"/>
  </si>
  <si>
    <t>&lt;tCnt&gt;8&lt;/tCnt&gt;</t>
    <phoneticPr fontId="1" type="noConversion"/>
  </si>
  <si>
    <t>&lt;cargCsclPrgsInfoDtlQryVo&gt;</t>
    <phoneticPr fontId="1" type="noConversion"/>
  </si>
  <si>
    <t>&lt;shedNm&gt;신선대감만터미널(주) 신선대CY&lt;/shedNm&gt;&lt;prcsDttm&gt;20251223094258&lt;/prcsDttm&gt;&lt;dclrNo&gt;030D8039307025U00654&lt;/dclrNo&gt;&lt;rlbrDttm&gt;(도)03011597동일냉장(주&lt;/rlbrDttm&gt;&lt;wght&gt;15120&lt;/wght&gt;</t>
    <phoneticPr fontId="1" type="noConversion"/>
  </si>
  <si>
    <t>&lt;rlbrBssNo&gt;(주)부산특수물류&lt;/rlbrBssNo&gt;&lt;bfhnGdncCn&gt;&lt;/bfhnGdncCn&gt;&lt;wghtUt&gt;KG&lt;/wghtUt&gt;&lt;pckGcnt&gt;2100&lt;/pckGcnt&gt;&lt;cargTrcnRelaBsopTpcd&gt;보세운송 신고 수리&lt;/cargTrcnRelaBsopTpcd&gt;</t>
    <phoneticPr fontId="1" type="noConversion"/>
  </si>
  <si>
    <t>&lt;dclrNo&gt;030D8039307025U00654&lt;/dclrNo&gt;&lt;rlbrDttm&gt;&lt;/rlbrDttm&gt;&lt;wght&gt;15120&lt;/wght&gt;&lt;rlbrBssNo&gt;&lt;/rlbrBssNo&gt;&lt;bfhnGdncCn&gt;&lt;/bfhnGdncCn&gt;&lt;wghtUt&gt;KG&lt;/wghtUt&gt;&lt;pckGcnt&gt;2100&lt;/pckGcnt&gt;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</si>
  <si>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&lt;shedNm&gt;신선대감만터미널(주) 신선대CY&lt;/shedNm&gt;&lt;prcsDttm&gt;20251222001047&lt;/prcsDttm&gt;&lt;dclrNo&gt;03077016250515274A&lt;/dclrNo&gt;&lt;rlbrDttm&gt;2025-12-22 00:01:11&lt;/rlbrDttm&gt;&lt;wght&gt;15120&lt;/wght&gt;</t>
    <phoneticPr fontId="1" type="noConversion"/>
  </si>
  <si>
    <t>&lt;rlbrBssNo&gt;&lt;/rlbrBssNo&gt;&lt;bfhnGdncCn&gt;[부가사항] 신선대감만터미널(주) 신선대CY의 장치기간은 최대 3 개월 입니다.&lt;/bfhnGdncCn&gt;</t>
    <phoneticPr fontId="1" type="noConversion"/>
  </si>
  <si>
    <t>&lt;wghtUt&gt;KG&lt;/wghtUt&gt;&lt;pckGcnt&gt;2100&lt;/pckGcnt&gt;&lt;cargTrcnRelaBsopTpcd&gt;반입신고&lt;/cargTrcnRelaBsopTpcd&gt;&lt;pckUt&gt;CT&lt;/pckUt&gt;&lt;rlbrCn&gt;입항 반입&lt;/rlbrCn&gt;</t>
    <phoneticPr fontId="1" type="noConversion"/>
  </si>
  <si>
    <t>&lt;wght&gt;&lt;/wght&gt;&lt;rlbrBssNo&gt;&lt;/rlbrBssNo&gt;&lt;bfhnGdncCn&gt;&lt;/bfhnGdncCn&gt;&lt;wghtUt&gt;KG&lt;/wghtUt&gt;&lt;pckGcnt&gt;0&lt;/pckGcnt&gt;&lt;cargTrcnRelaBsopTpcd&gt;입항적재화물목록 운항정보 정정&lt;/cargTrcnRelaBsopTpcd&gt;</t>
    <phoneticPr fontId="1" type="noConversion"/>
  </si>
  <si>
    <t>&lt;rlbrDttm&gt;&lt;/rlbrDttm&gt;&lt;wght&gt;&lt;/wght&gt;&lt;rlbrBssNo&gt;&lt;/rlbrBssNo&gt;&lt;bfhnGdncCn&gt;&lt;/bfhnGdncCn&gt;&lt;wghtUt&gt;KG&lt;/wghtUt&gt;&lt;pckGcnt&gt;0&lt;/pckGcnt&gt;&lt;cargTrcnRelaBsopTpcd&gt;입항보고 수리&lt;/cargTrcnRelaBsopTpcd&gt;</t>
    <phoneticPr fontId="1" type="noConversion"/>
  </si>
  <si>
    <t>&lt;bfhnGdncCn&gt;&lt;/bfhnGdncCn&gt;&lt;wghtUt&gt;KG&lt;/wghtUt&gt;&lt;pckGcnt&gt;2100&lt;/pckGcnt&gt;&lt;cargTrcnRelaBsopTpcd&gt;하선신고 수리&lt;/cargTrcnRelaBsopTpcd&gt;</t>
    <phoneticPr fontId="1" type="noConversion"/>
  </si>
  <si>
    <t>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</t>
    <phoneticPr fontId="1" type="noConversion"/>
  </si>
  <si>
    <t>&lt;/cargCsclPrgsInfoQryRtnVo&gt;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</si>
  <si>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</si>
  <si>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</si>
  <si>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신선대CY&lt;/shedNm&gt;&lt;prcsDttm&gt;20251223094055&lt;/prcsDttm&gt;</t>
    <phoneticPr fontId="1" type="noConversion"/>
  </si>
  <si>
    <t>&lt;cargTrcnRelaBsopTpcd&gt;보세운송 신고 접수&lt;/cargTrcnRelaBsopTpcd&gt;&lt;pckUt&gt;CT&lt;/pckUt&gt;&lt;rlbrCn&gt;&lt;/rlbrCn&gt;&lt;shedSgn&gt;03077016&lt;/shedSgn&gt;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</si>
  <si>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</si>
  <si>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</si>
  <si>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&lt;pckUt&gt;&lt;/pckUt&gt;&lt;rlbrCn&gt;&lt;/rlbrCn&gt;&lt;shedSgn&gt;&lt;/shedSgn&gt;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</si>
  <si>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</si>
  <si>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</si>
  <si>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&lt;shedNm&gt;&lt;/shedNm&gt;&lt;prcsDttm&gt;20251221141848&lt;/prcsDttm&gt;&lt;dclrNo&gt;25SNKO4814I&lt;/dclrNo&gt;</t>
    <phoneticPr fontId="1" type="noConversion"/>
  </si>
  <si>
    <t>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</si>
  <si>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</si>
  <si>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</si>
  <si>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신선대CY&lt;/shedNm&gt;&lt;prcsDttm&gt;20251219155040&lt;/prcsDttm&gt;</t>
    <phoneticPr fontId="1" type="noConversion"/>
  </si>
  <si>
    <t>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</si>
  <si>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&lt;cargTrcnRelaBsopTpcd&gt;입항적재화물목록 제출&lt;/cargTrcnRelaBsopTpcd&gt;&lt;pckUt&gt;CT&lt;/pckUt&gt;&lt;rlbrCn&gt;&lt;/rlbrCn&gt;&lt;shedSgn&gt;03077016&lt;/shedSgn&gt;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</si>
  <si>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</si>
  <si>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&lt;ntceInfo&gt;&lt;/ntceInfo&gt;</t>
    <phoneticPr fontId="1" type="noConversion"/>
  </si>
  <si>
    <t>&lt;cargCsclPrgsInfoQryVo&gt;</t>
    <phoneticPr fontId="1" type="noConversion"/>
  </si>
  <si>
    <t>&lt;csclPrgsStts&gt;수입신고전&lt;/csclPrgsStts&gt;&lt;vydf&gt;2521N&lt;/vydf&gt;&lt;rlseDtyPridPassTpcd&gt;N&lt;/rlseDtyPridPassTpcd&gt;</t>
    <phoneticPr fontId="1" type="noConversion"/>
  </si>
  <si>
    <t>&lt;shedSgn&gt;03077016&lt;/shedSgn&gt;&lt;/cargCsclPrgsInfoDtlQryVo&gt;&lt;cargCsclPrgsInfoDtlQryVo&gt;&lt;shedNm&gt;&lt;/shedNm&gt;&lt;prcsDttm&gt;20251221141849&lt;/prcsDttm&gt;&lt;rlbrDttm&gt;&lt;/rlbrDttm&gt;</t>
    <phoneticPr fontId="1" type="noConversion"/>
  </si>
  <si>
    <t>&lt;dclrNo&gt;25SNKO4814I00000001&lt;/dclrNo&gt;</t>
    <phoneticPr fontId="1" type="noConversion"/>
  </si>
  <si>
    <t>&lt;cntrNo&gt;SEGU9786733&lt;/cntrNo&gt;&lt;mblNo&gt;HASLS21251200826&lt;/mblNo&gt;</t>
    <phoneticPr fontId="1" type="noConversion"/>
  </si>
  <si>
    <t>조회결과가 없을때 : 메시지가 아닌 없다는 결과 CONT -1</t>
    <phoneticPr fontId="1" type="noConversion"/>
  </si>
  <si>
    <t>상황</t>
    <phoneticPr fontId="1" type="noConversion"/>
  </si>
  <si>
    <t>상황1</t>
    <phoneticPr fontId="1" type="noConversion"/>
  </si>
  <si>
    <t>MATER BL 없음, 년도 없음</t>
    <phoneticPr fontId="1" type="noConversion"/>
  </si>
  <si>
    <t>HOUSE B/L 번호</t>
    <phoneticPr fontId="1" type="noConversion"/>
  </si>
  <si>
    <t>&lt;cargCsclPrgsInfoQryVo&gt;</t>
    <phoneticPr fontId="1" type="noConversion"/>
  </si>
  <si>
    <t>&lt;cargCsclPrgsInfoQryRtnVo&gt;&lt;ntceInfo&gt;&lt;/ntceInfo&gt;&lt;cargCsclPrgsInfoQryVo&gt;&lt;cntrNo&gt;SEGU9786733&lt;/cntrNo&gt;&lt;mblNo&gt;HASLS21251200826&lt;/mblNo&gt;&lt;/cargCsclPrgsInfoQryVo&gt;</t>
    <phoneticPr fontId="1" type="noConversion"/>
  </si>
  <si>
    <t>Option Explicit</t>
  </si>
  <si>
    <t>Const SERVICE_KEY As String = "c290s255d192h253h000l090g5"</t>
  </si>
  <si>
    <t>관세청에 기능별로 OPEN API 인증키를 발급받을수 있음.</t>
    <phoneticPr fontId="1" type="noConversion"/>
  </si>
  <si>
    <t xml:space="preserve">📌 관세청 화물통관진행정보조회 API 기본 URL ==&gt; https://unipass.customs.go.kr:38010/ext/rest/cargCsclPrgsInfoQry/retrieveCargCsclPrgsInfo   </t>
    <phoneticPr fontId="1" type="noConversion"/>
  </si>
  <si>
    <t>지금은 통관진행정보 조회에 한함</t>
    <phoneticPr fontId="1" type="noConversion"/>
  </si>
  <si>
    <t>MASTER BL인지 HOUSE BL인지 모르는 상태에서 BL은 SHEETS("SHEET1").RANGE("A2"),  년도는 SHEETS("SHEET1").RANGE("A2")</t>
    <phoneticPr fontId="1" type="noConversion"/>
  </si>
  <si>
    <t>B/L 번호(</t>
    <phoneticPr fontId="1" type="noConversion"/>
  </si>
  <si>
    <t>결과컨개수</t>
    <phoneticPr fontId="1" type="noConversion"/>
  </si>
  <si>
    <t>반출시간</t>
    <phoneticPr fontId="1" type="noConversion"/>
  </si>
  <si>
    <t>통관여부</t>
    <phoneticPr fontId="1" type="noConversion"/>
  </si>
  <si>
    <t>조회결과가 있을때 화물진행정보를 XML정보로 받을수 있다</t>
    <phoneticPr fontId="1" type="noConversion"/>
  </si>
  <si>
    <t>풀어보면 아래와 같다</t>
    <phoneticPr fontId="1" type="noConversion"/>
  </si>
  <si>
    <t>엑셀 VBA 요청</t>
    <phoneticPr fontId="1" type="noConversion"/>
  </si>
  <si>
    <r>
      <t>&lt;dclrDelyAdtxYn&gt;N&lt;/dclrDelyAdtxYn&gt;&lt;mtTrgtCargYnNm&gt;N&lt;/mtTrgtCargYnNm&gt;</t>
    </r>
    <r>
      <rPr>
        <b/>
        <sz val="11"/>
        <color theme="1"/>
        <rFont val="맑은 고딕"/>
        <family val="3"/>
        <charset val="129"/>
        <scheme val="minor"/>
      </rPr>
      <t>&lt;cargMtNo&gt;25SNKO4814I1012&lt;/cargMtNo&gt;</t>
    </r>
    <r>
      <rPr>
        <sz val="11"/>
        <color theme="1"/>
        <rFont val="맑은 고딕"/>
        <family val="2"/>
        <charset val="129"/>
        <scheme val="minor"/>
      </rPr>
      <t>&lt;blPtNm&gt;Simple&lt;/blPtNm&gt;</t>
    </r>
    <phoneticPr fontId="1" type="noConversion"/>
  </si>
  <si>
    <t>MBL</t>
    <phoneticPr fontId="1" type="noConversion"/>
  </si>
  <si>
    <t>KHHBUS2511007</t>
  </si>
  <si>
    <t>바다사랑4대</t>
    <phoneticPr fontId="1" type="noConversion"/>
  </si>
  <si>
    <t>BMOU9866934</t>
  </si>
  <si>
    <t>반출완료</t>
  </si>
  <si>
    <t>&lt;?xml version="1.0" encoding="UTF-8" standalone="yes"?&gt;&lt;cargCsclPrgsInfoQryRtnVo&gt;&lt;ntceInfo&gt;&lt;/ntceInfo&gt;&lt;cargCsclPrgsInfoQryVo&gt;&lt;csclPrgsStts&gt;수입신고수리&lt;/csclPrgsStts&gt;&lt;vydf&gt;0020E&lt;/vydf&gt;&lt;rlseDtyPridPassTpcd&gt;N&lt;/rlseDtyPridPassTpcd&gt;&lt;prnm&gt;FROZEN PACIFIC SAURY  COLOLABIS SAIRA&lt;/prnm&gt;&lt;ldprCd&gt;TWKHH&lt;/ldprCd&gt;&lt;shipNat&gt;LR&lt;/shipNat&gt;&lt;blPt&gt;C&lt;/blPt&gt;&lt;dsprNm&gt;부산신항&lt;/dsprNm&gt;&lt;etprDt&gt;20251120&lt;/etprDt&gt;&lt;prgsStCd&gt;CAGE12&lt;/prgsStCd&gt;&lt;msrm&gt;220&lt;/msrm&gt;&lt;wghtUt&gt;KG&lt;/wghtUt&gt;&lt;dsprCd&gt;KRBNP&lt;/dsprCd&gt;&lt;cntrGcnt&gt;4&lt;/cntrGcnt&gt;&lt;cargTp&gt;수입 일반화물&lt;/cargTp&gt;&lt;shcoFlcoSgn&gt;ONEY&lt;/shcoFlcoSgn&gt;&lt;pckGcnt&gt;9321&lt;/pckGcnt&gt;&lt;etprCstm&gt;부산세관&lt;/etprCstm&gt;&lt;shipNm&gt;CONTI ANNAPURNA&lt;/shipNm&gt;&lt;hblNo&gt;KHHBUS2511007&lt;/hblNo&gt;&lt;prcsDttm&gt;20251209081012&lt;/prcsDttm&gt;&lt;frwrSgn&gt;KANA&lt;/frwrSgn&gt;&lt;spcnCargCd&gt;&lt;/spcnCargCd&gt;&lt;ttwg&gt;98450&lt;/ttwg&gt;&lt;ldprNm&gt;Kaohsiung&lt;/ldprNm&gt;&lt;dclrDelyAdtxYn&gt;N&lt;/dclrDelyAdtxYn&gt;&lt;mtTrgtCargYnNm&gt;N&lt;/mtTrgtCargYnNm&gt;&lt;cargMtNo&gt;25ONEY1441I50090001&lt;/cargMtNo&gt;&lt;cntrNo&gt;BMOU9866934&lt;/cntrNo&gt;&lt;mblNo&gt;ONEYTPEF83731500&lt;/mblNo&gt;&lt;blPtNm&gt;Consol&lt;/blPtNm&gt;&lt;lodCntyCd&gt;TW&lt;/lodCntyCd&gt;&lt;prgsStts&gt;반출완료&lt;/prgsStts&gt;&lt;shcoFlco&gt;오션네트워크익스프레스코리아(주)&lt;/shcoFlco&gt;&lt;pckUt&gt;GT&lt;/pckUt&gt;&lt;shipNatNm&gt;라이베리아&lt;/shipNatNm&gt;&lt;agnc&gt;오션네트워크익스프레스코리아&lt;/agnc&gt;&lt;frwrEntsConm&gt;(주)가나해운&lt;/frwrEntsConm&gt;&lt;/cargCsclPrgsInfoQryVo&gt;&lt;tCnt&gt;23&lt;/tCnt&gt;&lt;cargCsclPrgsInfoDtlQryVo&gt;&lt;shedNm&gt;동일냉장(주)&lt;/shedNm&gt;&lt;prcsDttm&gt;20251209081012&lt;/prcsDttm&gt;&lt;dclrNo&gt;030115972500001641&lt;/dclrNo&gt;&lt;rlbrDttm&gt;2025-12-09 08:10:00&lt;/rlbrDttm&gt;&lt;wght&gt;11711&lt;/wght&gt;&lt;rlbrBssNo&gt;2356325120164M&lt;/rlbrBssNo&gt;&lt;bfhnGdncCn&gt;&lt;/bfhnGdncCn&gt;&lt;wghtUt&gt;KG&lt;/wghtUt&gt;&lt;pckGcnt&gt;1100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20251208152930&lt;/prcsDttm&gt;&lt;dclrNo&gt;2356325120164M&lt;/dclrNo&gt;&lt;rlbrDttm&gt;&lt;/rlbrDttm&gt;&lt;wght&gt;11711&lt;/wght&gt;&lt;rlbrBssNo&gt;&lt;/rlbrBssNo&gt;&lt;bfhnGdncCn&gt;&lt;/bfhnGdncCn&gt;&lt;wghtUt&gt;KG&lt;/wghtUt&gt;&lt;pckGcnt&gt;1100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20251208152114&lt;/prcsDttm&gt;&lt;dclrNo&gt;2356325120164M&lt;/dclrNo&gt;&lt;rlbrDttm&gt;&lt;/rlbrDttm&gt;&lt;wght&gt;11711&lt;/wght&gt;&lt;rlbrBssNo&gt;&lt;/rlbrBssNo&gt;&lt;bfhnGdncCn&gt;&lt;/bfhnGdncCn&gt;&lt;wghtUt&gt;KG&lt;/wghtUt&gt;&lt;pckGcnt&gt;1100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20251208150146&lt;/prcsDttm&gt;&lt;dclrNo&gt;2356325120164M&lt;/dclrNo&gt;&lt;rlbrDttm&gt;&lt;/rlbrDttm&gt;&lt;wght&gt;11711&lt;/wght&gt;&lt;rlbrBssNo&gt;&lt;/rlbrBssNo&gt;&lt;bfhnGdncCn&gt;&lt;/bfhnGdncCn&gt;&lt;wghtUt&gt;KG&lt;/wghtUt&gt;&lt;pckGcnt&gt;1100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20251208143134&lt;/prcsDttm&gt;&lt;dclrNo&gt;2356325120164M&lt;/dclrNo&gt;&lt;rlbrDttm&gt;&lt;/rlbrDttm&gt;&lt;wght&gt;11711&lt;/wght&gt;&lt;rlbrBssNo&gt;선민합동관세사무소&lt;/rlbrBssNo&gt;&lt;bfhnGdncCn&gt;&lt;/bfhnGdncCn&gt;&lt;wghtUt&gt;KG&lt;/wghtUt&gt;&lt;pckGcnt&gt;1100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20251201170400&lt;/prcsDttm&gt;&lt;dclrNo&gt;030115972500001594&lt;/dclrNo&gt;&lt;rlbrDttm&gt;2025-12-01 17:03:00&lt;/rlbrDttm&gt;&lt;wght&gt;15975&lt;/wght&gt;&lt;rlbrBssNo&gt;2356325120003M&lt;/rlbrBssNo&gt;&lt;bfhnGdncCn&gt;&lt;/bfhnGdncCn&gt;&lt;wghtUt&gt;KG&lt;/wghtUt&gt;&lt;pckGcnt&gt;1500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20251201142145&lt;/prcsDttm&gt;&lt;dclrNo&gt;2356325120003M&lt;/dclrNo&gt;&lt;rlbrDttm&gt;&lt;/rlbrDttm&gt;&lt;wght&gt;15975&lt;/wght&gt;&lt;rlbrBssNo&gt;&lt;/rlbrBssNo&gt;&lt;bfhnGdncCn&gt;&lt;/bfhnGdncCn&gt;&lt;wghtUt&gt;KG&lt;/wghtUt&gt;&lt;pckGcnt&gt;1500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20251201133535&lt;/prcsDttm&gt;&lt;dclrNo&gt;2356325120003M&lt;/dclrNo&gt;&lt;rlbrDttm&gt;&lt;/rlbrDttm&gt;&lt;wght&gt;15975&lt;/wght&gt;&lt;rlbrBssNo&gt;&lt;/rlbrBssNo&gt;&lt;bfhnGdncCn&gt;&lt;/bfhnGdncCn&gt;&lt;wghtUt&gt;KG&lt;/wghtUt&gt;&lt;pckGcnt&gt;1500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20251201112859&lt;/prcsDttm&gt;&lt;dclrNo&gt;2356325120003M&lt;/dclrNo&gt;&lt;rlbrDttm&gt;&lt;/rlbrDttm&gt;&lt;wght&gt;15975&lt;/wght&gt;&lt;rlbrBssNo&gt;&lt;/rlbrBssNo&gt;&lt;bfhnGdncCn&gt;&lt;/bfhnGdncCn&gt;&lt;wghtUt&gt;KG&lt;/wghtUt&gt;&lt;pckGcnt&gt;1500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20251201105834&lt;/prcsDttm&gt;&lt;dclrNo&gt;2356325120003M&lt;/dclrNo&gt;&lt;rlbrDttm&gt;&lt;/rlbrDttm&gt;&lt;wght&gt;15975&lt;/wght&gt;&lt;rlbrBssNo&gt;선민합동관세사무소&lt;/rlbrBssNo&gt;&lt;bfhnGdncCn&gt;&lt;/bfhnGdncCn&gt;&lt;wghtUt&gt;KG&lt;/wghtUt&gt;&lt;pckGcnt&gt;1500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20251126171152&lt;/prcsDttm&gt;&lt;dclrNo&gt;11-2BA2025400808415-01&lt;/dclrNo&gt;&lt;rlbrDttm&gt;2025-11-26 00:00:00&lt;/rlbrDttm&gt;&lt;wght&gt;89129&lt;/wght&gt;&lt;rlbrBssNo&gt;신청일자:25.11.24&lt;/rlbrBssNo&gt;&lt;bfhnGdncCn&gt;[부가사항] 최근 검사/검역 신청부터 결과 과정까지의 평균 소요시간은 16일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20251124161141&lt;/prcsDttm&gt;&lt;dclrNo&gt;2356325007BFC&lt;/dclrNo&gt;&lt;rlbrDttm&gt;2025-11-24 16:11:41&lt;/rlbrDttm&gt;&lt;wght&gt;89129&lt;/wght&gt;&lt;rlbrBssNo&gt;&lt;/rlbrBssNo&gt;&lt;bfhnGdncCn&gt;&lt;/bfhnGdncCn&gt;&lt;wghtUt&gt;KG&lt;/wghtUt&gt;&lt;pckGcnt&gt;9321&lt;/pckGcnt&gt;&lt;cargTrcnRelaBsopTpcd&gt;식품의약품 검사종류 확정(정밀)&lt;/cargTrcnRelaBsopTpcd&gt;&lt;pckUt&gt;CT&lt;/pckUt&gt;&lt;rlbrCn&gt;&lt;/rlbrCn&gt;&lt;shedSgn&gt;03011597&lt;/shedSgn&gt;&lt;/cargCsclPrgsInfoDtlQryVo&gt;&lt;cargCsclPrgsInfoDtlQryVo&gt;&lt;shedNm&gt;동일냉장(주)&lt;/shedNm&gt;&lt;prcsDttm&gt;20251121172129&lt;/prcsDttm&gt;&lt;dclrNo&gt;030115972500001296&lt;/dclrNo&gt;&lt;rlbrDttm&gt;2025-11-21 17:21:26&lt;/rlbrDttm&gt;&lt;wght&gt;98450&lt;/wght&gt;&lt;rlbrBssNo&gt;030D1030F66025406181&lt;/rlbrBssNo&gt;&lt;bfhnGdncCn&gt;[부가사항] 동일냉장(주)의 장치기간은 최대 6 개월 입니다.&lt;/bfhnGdncCn&gt;&lt;wghtUt&gt;KG&lt;/wghtUt&gt;&lt;pckGcnt&gt;9321&lt;/pckGcnt&gt;&lt;cargTrcnRelaBsopTpcd&gt;반입신고&lt;/cargTrcnRelaBsopTpcd&gt;&lt;pckUt&gt;GT&lt;/pckUt&gt;&lt;rlbrCn&gt;보세운송 반입&lt;/rlbrCn&gt;&lt;shedSgn&gt;03011597/001&lt;/shedSgn&gt;&lt;/cargCsclPrgsInfoDtlQryVo&gt;&lt;cargCsclPrgsInfoDtlQryVo&gt;&lt;shedNm&gt;에이치엠엠피에스에이신항만(주)&lt;/shedNm&gt;&lt;prcsDttm&gt;20251121144627&lt;/prcsDttm&gt;&lt;dclrNo&gt;03077011250374531A&lt;/dclrNo&gt;&lt;rlbrDttm&gt;2025-11-21 10:37:10&lt;/rlbrDttm&gt;&lt;wght&gt;98450&lt;/wght&gt;&lt;rlbrBssNo&gt;030D1030F66025406181&lt;/rlbrBssNo&gt;&lt;bfhnGdncCn&gt;&lt;/bfhnGdncCn&gt;&lt;wghtUt&gt;KG&lt;/wghtUt&gt;&lt;pckGcnt&gt;9321&lt;/pckGcnt&gt;&lt;cargTrcnRelaBsopTpcd&gt;반출신고&lt;/cargTrcnRelaBsopTpcd&gt;&lt;pckUt&gt;GT&lt;/pckUt&gt;&lt;rlbrCn&gt;보세운송 반출&lt;/rlbrCn&gt;&lt;shedSgn&gt;03077011&lt;/shedSgn&gt;&lt;/cargCsclPrgsInfoDtlQryVo&gt;&lt;cargCsclPrgsInfoDtlQryVo&gt;&lt;shedNm&gt;에이치엠엠피에스에이신항만(주)&lt;/shedNm&gt;&lt;prcsDttm&gt;20251120225148&lt;/prcsDttm&gt;&lt;dclrNo&gt;03077011250368782A&lt;/dclrNo&gt;&lt;rlbrDttm&gt;2025-11-20 22:50:36&lt;/rlbrDttm&gt;&lt;wght&gt;98450&lt;/wght&gt;&lt;rlbrBssNo&gt;&lt;/rlbrBssNo&gt;&lt;bfhnGdncCn&gt;[부가사항] 에이치엠엠피에스에이신항만(주)의 장치기간은 최대 3 개월 입니다.&lt;/bfhnGdncCn&gt;&lt;wghtUt&gt;KG&lt;/wghtUt&gt;&lt;pckGcnt&gt;9321&lt;/pckGcnt&gt;&lt;cargTrcnRelaBsopTpcd&gt;반입신고&lt;/cargTrcnRelaBsopTpcd&gt;&lt;pckUt&gt;GT&lt;/pckUt&gt;&lt;rlbrCn&gt;입항 반입&lt;/rlbrCn&gt;&lt;shedSgn&gt;03077011&lt;/shedSgn&gt;&lt;/cargCsclPrgsInfoDtlQryVo&gt;&lt;cargCsclPrgsInfoDtlQryVo&gt;&lt;shedNm&gt;&lt;/shedNm&gt;&lt;prcsDttm&gt;20251120164007&lt;/prcsDttm&gt;&lt;dclrNo&gt;25ONEY1441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20251120164006&lt;/prcsDttm&gt;&lt;dclrNo&gt;25ONEY1441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20251119154404&lt;/prcsDttm&gt;&lt;dclrNo&gt;25030145551&lt;/dclrNo&gt;&lt;rlbrDttm&gt;&lt;/rlbrDttm&gt;&lt;wght&gt;98450&lt;/wght&gt;&lt;rlbrBssNo&gt;하선반입기한:2025-11-25&lt;/rlbrBssNo&gt;&lt;bfhnGdncCn&gt;&lt;/bfhnGdncCn&gt;&lt;wghtUt&gt;KG&lt;/wghtUt&gt;&lt;pckGcnt&gt;9321&lt;/pckGcnt&gt;&lt;cargTrcnRelaBsopTpcd&gt;하선신고 수리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20251119154350&lt;/prcsDttm&gt;&lt;dclrNo&gt;030D1030F66025406181&lt;/dclrNo&gt;&lt;rlbrDttm&gt;(도)03011597동일냉장(주&lt;/rlbrDttm&gt;&lt;wght&gt;98450&lt;/wght&gt;&lt;rlbrBssNo&gt;(주)에스에스물류&lt;/rlbrBssNo&gt;&lt;bfhnGdncCn&gt;&lt;/bfhnGdncCn&gt;&lt;wghtUt&gt;KG&lt;/wghtUt&gt;&lt;pckGcnt&gt;9321&lt;/pckGcnt&gt;&lt;cargTrcnRelaBsopTpcd&gt;보세운송 신고 수리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20251119154306&lt;/prcsDttm&gt;&lt;dclrNo&gt;&lt;/dclrNo&gt;&lt;rlbrDttm&gt;&lt;/rlbrDttm&gt;&lt;wght&gt;98450&lt;/wght&gt;&lt;rlbrBssNo&gt;(주)가나해운&lt;/rlbrBssNo&gt;&lt;bfhnGdncCn&gt;&lt;/bfhnGdncCn&gt;&lt;wghtUt&gt;KG&lt;/wghtUt&gt;&lt;pckGcnt&gt;9321&lt;/pckGcnt&gt;&lt;cargTrcnRelaBsopTpcd&gt;입항적재화물목록 심사완료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20251119150635&lt;/prcsDttm&gt;&lt;dclrNo&gt;030D1030F66025406181&lt;/dclrNo&gt;&lt;rlbrDttm&gt;&lt;/rlbrDttm&gt;&lt;wght&gt;98450&lt;/wght&gt;&lt;rlbrBssNo&gt;&lt;/rlbrBssNo&gt;&lt;bfhnGdncCn&gt;&lt;/bfhnGdncCn&gt;&lt;wghtUt&gt;KG&lt;/wghtUt&gt;&lt;pckGcnt&gt;9321&lt;/pckGcnt&gt;&lt;cargTrcnRelaBsopTpcd&gt;보세운송 심사완료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20251119150601&lt;/prcsDttm&gt;&lt;dclrNo&gt;030D1030F66025406181&lt;/dclrNo&gt;&lt;rlbrDttm&gt;&lt;/rlbrDttm&gt;&lt;wght&gt;98450&lt;/wght&gt;&lt;rlbrBssNo&gt;&lt;/rlbrBssNo&gt;&lt;bfhnGdncCn&gt;&lt;/bfhnGdncCn&gt;&lt;wghtUt&gt;KG&lt;/wghtUt&gt;&lt;pckGcnt&gt;9321&lt;/pckGcnt&gt;&lt;cargTrcnRelaBsopTpcd&gt;보세운송 신고 접수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20251119141613&lt;/prcsDttm&gt;&lt;dclrNo&gt;&lt;/dclrNo&gt;&lt;rlbrDttm&gt;&lt;/rlbrDttm&gt;&lt;wght&gt;98450&lt;/wght&gt;&lt;rlbrBssNo&gt;&lt;/rlbrBssNo&gt;&lt;bfhnGdncCn&gt;&lt;/bfhnGdncCn&gt;&lt;wghtUt&gt;KG&lt;/wghtUt&gt;&lt;pckGcnt&gt;9321&lt;/pckGcnt&gt;&lt;cargTrcnRelaBsopTpcd&gt;입항적재화물목록 제출&lt;/cargTrcnRelaBsopTpcd&gt;&lt;pckUt&gt;GT&lt;/pckUt&gt;&lt;rlbrCn&gt;&lt;/rlbrCn&gt;&lt;shedSgn&gt;03077011&lt;/shedSgn&gt;&lt;/cargCsclPrgsInfoDtlQryVo&gt;&lt;/cargCsclPrgsInfoQryRtnVo&gt;</t>
    <phoneticPr fontId="1" type="noConversion"/>
  </si>
  <si>
    <t>ONEYTPEF83731500</t>
    <phoneticPr fontId="1" type="noConversion"/>
  </si>
  <si>
    <t>OBL</t>
    <phoneticPr fontId="1" type="noConversion"/>
  </si>
  <si>
    <t>컨번호첫번째</t>
    <phoneticPr fontId="1" type="noConversion"/>
  </si>
  <si>
    <t>NSGS82512063</t>
    <phoneticPr fontId="1" type="noConversion"/>
  </si>
  <si>
    <t>NSSLHCBSC2502063</t>
    <phoneticPr fontId="1" type="noConversion"/>
  </si>
  <si>
    <t>화물관리번호</t>
    <phoneticPr fontId="1" type="noConversion"/>
  </si>
  <si>
    <t>&lt;?xml version="1.0" encoding="UTF-8" standalone="yes"?&gt;&lt;cargCsclPrgsInfoQryRtnVo&gt;&lt;ntceInfo&gt;&lt;/ntceInfo&gt;&lt;cargCsclPrgsInfoQryVo&gt;&lt;csclPrgsStts&gt;수입신고수리&lt;/csclPrgsStts&gt;&lt;vydf&gt;0020E&lt;/vydf&gt;&lt;rlseDtyPridPassTpcd&gt;N&lt;/rlseDtyPridPassTpcd&gt;&lt;prnm&gt;FROZEN PACIFIC SAURY  COLOLABIS SAIRA&lt;/prnm&gt;&lt;ldprCd&gt;TWKHH&lt;/ldprCd&gt;&lt;shipNat&gt;LR&lt;/shipNat&gt;&lt;blPt&gt;C&lt;/blPt&gt;&lt;dsprNm&gt;부산신항&lt;/dsprNm&gt;&lt;etprDt&gt;20251120&lt;/etprDt&gt;&lt;prgsStCd&gt;CAGE12&lt;/prgsStCd&gt;&lt;msrm&gt;220&lt;/msrm&gt;&lt;wghtUt&gt;KG&lt;/wghtUt&gt;&lt;dsprCd&gt;KRBNP&lt;/dsprCd&gt;&lt;cntrGcnt&gt;4&lt;/cntrGcnt&gt;&lt;cargTp&gt;수입 일반화물&lt;/cargTp&gt;&lt;shcoFlcoSgn&gt;ONEY&lt;/shcoFlcoSgn&gt;&lt;pckGcnt&gt;9321&lt;/pckGcnt&gt;&lt;etprCstm&gt;부산세관&lt;/etprCstm&gt;&lt;shipNm&gt;CONTI ANNAPURNA&lt;/shipNm&gt;&lt;hblNo&gt;KHHBUS2511007&lt;/hblNo&gt;&lt;prcsDttm&gt;20251209081012&lt;/prcsDttm&gt;&lt;frwrSgn&gt;KANA&lt;/frwrSgn&gt;&lt;spcnCargCd&gt;&lt;/spcnCargCd&gt;&lt;ttwg&gt;98450&lt;/ttwg&gt;&lt;ldprNm&gt;Kaohsiung&lt;/ldprNm&gt;&lt;dclrDelyAdtxYn&gt;N&lt;/dclrDelyAdtxYn&gt;&lt;mtTrgtCargYnNm&gt;N&lt;/mtTrgtCargYnNm&gt;&lt;cargMtNo&gt;25ONEY1441I50090001&lt;/cargMtNo&gt;&lt;cntrNo&gt;BMOU9866934&lt;/cntrNo&gt;&lt;mblNo&gt;ONEYTPEF83731500&lt;/mblNo&gt;&lt;blPtNm&gt;Consol&lt;/blPtNm&gt;&lt;lodCntyCd&gt;TW&lt;/lodCntyCd&gt;&lt;prgsStts&gt;반출완료&lt;/prgsStts&gt;&lt;shcoFlco&gt;오션네트워크익스프레스코리아(주)&lt;/shcoFlco&gt;&lt;pckUt&gt;GT&lt;/pckUt&gt;&lt;shipNatNm&gt;라이베리아&lt;/shipNatNm&gt;&lt;agnc&gt;오션네트워크익스프레스코리아&lt;/agnc&gt;&lt;frwrEntsConm&gt;(주)가나해운&lt;/frwrEntsConm&gt;&lt;/cargCsclPrgsInfoQryVo&gt;&lt;tCnt&gt;23&lt;/tCnt&gt;&lt;cargCsclPrgsInfoDtlQryVo&gt;&lt;shedNm&gt;동일냉장(주)&lt;/shedNm&gt;&lt;prcsDttm&gt;20251209081012&lt;/prcsDttm&gt;&lt;dclrNo&gt;030115972500001641&lt;/dclrNo&gt;&lt;rlbrDttm&gt;2025-12-09 08:10:00&lt;/rlbrDttm&gt;&lt;wght&gt;11711&lt;/wght&gt;&lt;rlbrBssNo&gt;2356325120164M&lt;/rlbrBssNo&gt;&lt;bfhnGdncCn&gt;&lt;/bfhnGdncCn&gt;&lt;wghtUt&gt;KG&lt;/wghtUt&gt;&lt;pckGcnt&gt;1100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20251208152930&lt;/prcsDttm&gt;&lt;dclrNo&gt;2356325120164M&lt;/dclrNo&gt;&lt;rlbrDttm&gt;&lt;/rlbrDttm&gt;&lt;wght&gt;11711&lt;/wght&gt;&lt;rlbrBssNo&gt;&lt;/rlbrBssNo&gt;&lt;bfhnGdncCn&gt;&lt;/bfhnGdncCn&gt;&lt;wghtUt&gt;KG&lt;/wghtUt&gt;&lt;pckGcnt&gt;1100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20251208152114&lt;/prcsDttm&gt;&lt;dclrNo&gt;2356325120164M&lt;/dclrNo&gt;&lt;rlbrDttm&gt;&lt;/rlbrDttm&gt;&lt;wght&gt;11711&lt;/wght&gt;&lt;rlbrBssNo&gt;&lt;/rlbrBssNo&gt;&lt;bfhnGdncCn&gt;&lt;/bfhnGdncCn&gt;&lt;wghtUt&gt;KG&lt;/wghtUt&gt;&lt;pckGcnt&gt;1100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20251208150146&lt;/prcsDttm&gt;&lt;dclrNo&gt;2356325120164M&lt;/dclrNo&gt;&lt;rlbrDttm&gt;&lt;/rlbrDttm&gt;&lt;wght&gt;11711&lt;/wght&gt;&lt;rlbrBssNo&gt;&lt;/rlbrBssNo&gt;&lt;bfhnGdncCn&gt;&lt;/bfhnGdncCn&gt;&lt;wghtUt&gt;KG&lt;/wghtUt&gt;&lt;pckGcnt&gt;1100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20251208143134&lt;/prcsDttm&gt;&lt;dclrNo&gt;2356325120164M&lt;/dclrNo&gt;&lt;rlbrDttm&gt;&lt;/rlbrDttm&gt;&lt;wght&gt;11711&lt;/wght&gt;&lt;rlbrBssNo&gt;선민합동관세사무소&lt;/rlbrBssNo&gt;&lt;bfhnGdncCn&gt;&lt;/bfhnGdncCn&gt;&lt;wghtUt&gt;KG&lt;/wghtUt&gt;&lt;pckGcnt&gt;1100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20251201170400&lt;/prcsDttm&gt;&lt;dclrNo&gt;030115972500001594&lt;/dclrNo&gt;&lt;rlbrDttm&gt;2025-12-01 17:03:00&lt;/rlbrDttm&gt;&lt;wght&gt;15975&lt;/wght&gt;&lt;rlbrBssNo&gt;2356325120003M&lt;/rlbrBssNo&gt;&lt;bfhnGdncCn&gt;&lt;/bfhnGdncCn&gt;&lt;wghtUt&gt;KG&lt;/wghtUt&gt;&lt;pckGcnt&gt;1500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20251201142145&lt;/prcsDttm&gt;&lt;dclrNo&gt;2356325120003M&lt;/dclrNo&gt;&lt;rlbrDttm&gt;&lt;/rlbrDttm&gt;&lt;wght&gt;15975&lt;/wght&gt;&lt;rlbrBssNo&gt;&lt;/rlbrBssNo&gt;&lt;bfhnGdncCn&gt;&lt;/bfhnGdncCn&gt;&lt;wghtUt&gt;KG&lt;/wghtUt&gt;&lt;pckGcnt&gt;1500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20251201133535&lt;/prcsDttm&gt;&lt;dclrNo&gt;2356325120003M&lt;/dclrNo&gt;&lt;rlbrDttm&gt;&lt;/rlbrDttm&gt;&lt;wght&gt;15975&lt;/wght&gt;&lt;rlbrBssNo&gt;&lt;/rlbrBssNo&gt;&lt;bfhnGdncCn&gt;&lt;/bfhnGdncCn&gt;&lt;wghtUt&gt;KG&lt;/wghtUt&gt;&lt;pckGcnt&gt;1500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20251201112859&lt;/prcsDttm&gt;&lt;dclrNo&gt;2356325120003M&lt;/dclrNo&gt;&lt;rlbrDttm&gt;&lt;/rlbrDttm&gt;&lt;wght&gt;15975&lt;/wght&gt;&lt;rlbrBssNo&gt;&lt;/rlbrBssNo&gt;&lt;bfhnGdncCn&gt;&lt;/bfhnGdncCn&gt;&lt;wghtUt&gt;KG&lt;/wghtUt&gt;&lt;pckGcnt&gt;1500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20251201105834&lt;/prcsDttm&gt;&lt;dclrNo&gt;2356325120003M&lt;/dclrNo&gt;&lt;rlbrDttm&gt;&lt;/rlbrDttm&gt;&lt;wght&gt;15975&lt;/wght&gt;&lt;rlbrBssNo&gt;선민합동관세사무소&lt;/rlbrBssNo&gt;&lt;bfhnGdncCn&gt;&lt;/bfhnGdncCn&gt;&lt;wghtUt&gt;KG&lt;/wghtUt&gt;&lt;pckGcnt&gt;1500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20251126171152&lt;/prcsDttm&gt;&lt;dclrNo&gt;11-2BA2025400808415-01&lt;/dclrNo&gt;&lt;rlbrDttm&gt;2025-11-26 00:00:00&lt;/rlbrDttm&gt;&lt;wght&gt;89129&lt;/wght&gt;&lt;rlbrBssNo&gt;신청일자:25.11.24&lt;/rlbrBssNo&gt;&lt;bfhnGdncCn&gt;[부가사항] 최근 검사/검역 신청부터 결과 과정까지의 평균 소요시간은 16일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20251124161141&lt;/prcsDttm&gt;&lt;dclrNo&gt;2356325007BFC&lt;/dclrNo&gt;&lt;rlbrDttm&gt;2025-11-24 16:11:41&lt;/rlbrDttm&gt;&lt;wght&gt;89129&lt;/wght&gt;&lt;rlbrBssNo&gt;&lt;/rlbrBssNo&gt;&lt;bfhnGdncCn&gt;&lt;/bfhnGdncCn&gt;&lt;wghtUt&gt;KG&lt;/wghtUt&gt;&lt;pckGcnt&gt;9321&lt;/pckGcnt&gt;&lt;cargTrcnRelaBsopTpcd&gt;식품의약품 검사종류 확정(정밀)&lt;/cargTrcnRelaBsopTpcd&gt;&lt;pckUt&gt;CT&lt;/pckUt&gt;&lt;rlbrCn&gt;&lt;/rlbrCn&gt;&lt;shedSgn&gt;03011597&lt;/shedSgn&gt;&lt;/cargCsclPrgsInfoDtlQryVo&gt;&lt;cargCsclPrgsInfoDtlQryVo&gt;&lt;shedNm&gt;동일냉장(주)&lt;/shedNm&gt;&lt;prcsDttm&gt;20251121172129&lt;/prcsDttm&gt;&lt;dclrNo&gt;030115972500001296&lt;/dclrNo&gt;&lt;rlbrDttm&gt;2025-11-21 17:21:26&lt;/rlbrDttm&gt;&lt;wght&gt;98450&lt;/wght&gt;&lt;rlbrBssNo&gt;030D1030F66025406181&lt;/rlbrBssNo&gt;&lt;bfhnGdncCn&gt;[부가사항] 동일냉장(주)의 장치기간은 최대 6 개월 입니다.&lt;/bfhnGdncCn&gt;&lt;wghtUt&gt;KG&lt;/wghtUt&gt;&lt;pckGcnt&gt;9321&lt;/pckGcnt&gt;&lt;cargTrcnRelaBsopTpcd&gt;반입신고&lt;/cargTrcnRelaBsopTpcd&gt;&lt;pckUt&gt;GT&lt;/pckUt&gt;&lt;rlbrCn&gt;보세운송 반입&lt;/rlbrCn&gt;&lt;shedSgn&gt;03011597/001&lt;/shedSgn&gt;&lt;/cargCsclPrgsInfoDtlQryVo&gt;&lt;cargCsclPrgsInfoDtlQryVo&gt;&lt;shedNm&gt;에이치엠엠피에스에이신항만(주)&lt;/shedNm&gt;&lt;prcsDttm&gt;20251121144627&lt;/prcsDttm&gt;&lt;dclrNo&gt;03077011250374531A&lt;/dclrNo&gt;&lt;rlbrDttm&gt;2025-11-21 10:37:10&lt;/rlbrDttm&gt;&lt;wght&gt;98450&lt;/wght&gt;&lt;rlbrBssNo&gt;030D1030F66025406181&lt;/rlbrBssNo&gt;&lt;bfhnGdncCn&gt;&lt;/bfhnGdncCn&gt;&lt;wghtUt&gt;KG&lt;/wghtUt&gt;&lt;pckGcnt&gt;9321&lt;/pckGcnt&gt;&lt;cargTrcnRelaBsopTpcd&gt;반출신고&lt;/cargTrcnRelaBsopTpcd&gt;&lt;pckUt&gt;GT&lt;/pckUt&gt;&lt;rlbrCn&gt;보세운송 반출&lt;/rlbrCn&gt;&lt;shedSgn&gt;03077011&lt;/shedSgn&gt;&lt;/cargCsclPrgsInfoDtlQryVo&gt;&lt;cargCsclPrgsInfoDtlQryVo&gt;&lt;shedNm&gt;에이치엠엠피에스에이신항만(주)&lt;/shedNm&gt;&lt;prcsDttm&gt;20251120225148&lt;/prcsDttm&gt;&lt;dclrNo&gt;03077011250368782A&lt;/dclrNo&gt;&lt;rlbrDttm&gt;2025-11-20 22:50:36&lt;/rlbrDttm&gt;&lt;wght&gt;98450&lt;/wght&gt;&lt;rlbrBssNo&gt;&lt;/rlbrBssNo&gt;&lt;bfhnGdncCn&gt;[부가사항] 에이치엠엠피에스에이신항만(주)의 장치기간은 최대 3 개월 입니다.&lt;/bfhnGdncCn&gt;&lt;wghtUt&gt;KG&lt;/wghtUt&gt;&lt;pckGcnt&gt;9321&lt;/pckGcnt&gt;&lt;cargTrcnRelaBsopTpcd&gt;반입신고&lt;/cargTrcnRelaBsopTpcd&gt;&lt;pckUt&gt;GT&lt;/pckUt&gt;&lt;rlbrCn&gt;입항 반입&lt;/rlbrCn&gt;&lt;shedSgn&gt;03077011&lt;/shedSgn&gt;&lt;/cargCsclPrgsInfoDtlQryVo&gt;&lt;cargCsclPrgsInfoDtlQryVo&gt;&lt;shedNm&gt;&lt;/shedNm&gt;&lt;prcsDttm&gt;20251120164007&lt;/prcsDttm&gt;&lt;dclrNo&gt;25ONEY1441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20251120164006&lt;/prcsDttm&gt;&lt;dclrNo&gt;25ONEY1441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20251119154404&lt;/prcsDttm&gt;&lt;dclrNo&gt;25030145551&lt;/dclrNo&gt;&lt;rlbrDttm&gt;&lt;/rlbrDttm&gt;&lt;wght&gt;98450&lt;/wght&gt;&lt;rlbrBssNo&gt;하선반입기한:2025-11-25&lt;/rlbrBssNo&gt;&lt;bfhnGdncCn&gt;&lt;/bfhnGdncCn&gt;&lt;wghtUt&gt;KG&lt;/wghtUt&gt;&lt;pckGcnt&gt;9321&lt;/pckGcnt&gt;&lt;cargTrcnRelaBsopTpcd&gt;하선신고 수리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20251119154350&lt;/prcsDttm&gt;&lt;dclrNo&gt;030D1030F66025406181&lt;/dclrNo&gt;&lt;rlbrDttm&gt;(도)03011597동일냉장(주&lt;/rlbrDttm&gt;&lt;wght&gt;98450&lt;/wght&gt;&lt;rlbrBssNo&gt;(주)에스에스물류&lt;/rlbrBssNo&gt;&lt;bfhnGdncCn&gt;&lt;/bfhnGdncCn&gt;&lt;wghtUt&gt;KG&lt;/wghtUt&gt;&lt;pckGcnt&gt;9321&lt;/pckGcnt&gt;&lt;cargTrcnRelaBsopTpcd&gt;보세운송 신고 수리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20251119154306&lt;/prcsDttm&gt;&lt;dclrNo&gt;&lt;/dclrNo&gt;&lt;rlbrDttm&gt;&lt;/rlbrDttm&gt;&lt;wght&gt;98450&lt;/wght&gt;&lt;rlbrBssNo&gt;(주)가나해운&lt;/rlbrBssNo&gt;&lt;bfhnGdncCn&gt;&lt;/bfhnGdncCn&gt;&lt;wghtUt&gt;KG&lt;/wghtUt&gt;&lt;pckGcnt&gt;9321&lt;/pckGcnt&gt;&lt;cargTrcnRelaBsopTpcd&gt;입항적재화물목록 심사완료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20251119150635&lt;/prcsDttm&gt;&lt;dclrNo&gt;030D1030F66025406181&lt;/dclrNo&gt;&lt;rlbrDttm&gt;&lt;/rlbrDttm&gt;&lt;wght&gt;98450&lt;/wght&gt;&lt;rlbrBssNo&gt;&lt;/rlbrBssNo&gt;&lt;bfhnGdncCn&gt;&lt;/bfhnGdncCn&gt;&lt;wghtUt&gt;KG&lt;/wghtUt&gt;&lt;pckGcnt&gt;9321&lt;/pckGcnt&gt;&lt;cargTrcnRelaBsopTpcd&gt;보세운송 심사완료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20251119150601&lt;/prcsDttm&gt;&lt;dclrNo&gt;030D1030F66025406181&lt;/dclrNo&gt;&lt;rlbrDttm&gt;&lt;/rlbrDttm&gt;&lt;wght&gt;98450&lt;/wght&gt;&lt;rlbrBssNo&gt;&lt;/rlbrBssNo&gt;&lt;bfhnGdncCn&gt;&lt;/bfhnGdncCn&gt;&lt;wghtUt&gt;KG&lt;/wghtUt&gt;&lt;pckGcnt&gt;9321&lt;/pckGcnt&gt;&lt;cargTrcnRelaBsopTpcd&gt;보세운송 신고 접수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20251119141613&lt;/prcsDttm&gt;&lt;dclrNo&gt;&lt;/dclrNo&gt;&lt;rlbrDttm&gt;&lt;/rlbrDttm&gt;&lt;wght&gt;98450&lt;/wght&gt;&lt;rlbrBssNo&gt;&lt;/rlbrBssNo&gt;&lt;bfhnGdncCn&gt;&lt;/bfhnGdncCn&gt;&lt;wghtUt&gt;KG&lt;/wghtUt&gt;&lt;pckGcnt&gt;9321&lt;/pckGcnt&gt;&lt;cargTrcnRelaBsopTpcd&gt;입항적재화물목록 제출&lt;/cargTrcnRelaBsopTpcd&gt;&lt;pckUt&gt;GT&lt;/pckUt&gt;&lt;rlbrCn&gt;&lt;/rlbrCn&gt;&lt;shedSgn&gt;03077011&lt;/shedSgn&gt;&lt;/cargCsclPrgsInfoDtlQryVo&gt;&lt;/cargCsclPrgsInfoQryRtnVo&gt;</t>
    <phoneticPr fontId="1" type="noConversion"/>
  </si>
  <si>
    <t>https://unipass.customs.go.kr/csp/myc/bsopspptinfo/cscllgstinfo/ImpCargPrgsInfoMtCtr/openMYC0405105Q.do?cargMtNo=25ONEY1441I50090001</t>
    <phoneticPr fontId="1" type="noConversion"/>
  </si>
  <si>
    <t>작성</t>
    <phoneticPr fontId="1" type="noConversion"/>
  </si>
  <si>
    <t>면허</t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</si>
  <si>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</si>
  <si>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</si>
  <si>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</si>
  <si>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</si>
  <si>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</si>
  <si>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</si>
  <si>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</si>
  <si>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</si>
  <si>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</si>
  <si>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</si>
  <si>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운.도VBA</t>
    <phoneticPr fontId="1" type="noConversion"/>
  </si>
  <si>
    <t>화찰BL</t>
    <phoneticPr fontId="1" type="noConversion"/>
  </si>
  <si>
    <t>화찰 선명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</si>
  <si>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</si>
  <si>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</si>
  <si>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</si>
  <si>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○</t>
  </si>
  <si>
    <t>SGN501734600</t>
  </si>
  <si>
    <t>미래(경기도)</t>
    <phoneticPr fontId="1" type="noConversion"/>
  </si>
  <si>
    <t>FBIU5685852</t>
  </si>
  <si>
    <t>새우</t>
    <phoneticPr fontId="1" type="noConversion"/>
  </si>
  <si>
    <t>새우</t>
    <phoneticPr fontId="1" type="noConversion"/>
  </si>
  <si>
    <t>BPT신선대</t>
    <phoneticPr fontId="1" type="noConversion"/>
  </si>
  <si>
    <t>STARSHIP MERCURY</t>
  </si>
  <si>
    <t>25NSSLL066I-0013-</t>
  </si>
  <si>
    <t>2025.12.22</t>
  </si>
  <si>
    <t>HASLC04251000133</t>
  </si>
  <si>
    <t>우원홀딩스</t>
  </si>
  <si>
    <t>SZLU3640621</t>
  </si>
  <si>
    <t>가리비</t>
  </si>
  <si>
    <t>HASLC04251000133</t>
    <phoneticPr fontId="1" type="noConversion"/>
  </si>
  <si>
    <t>SAWASDEE BALTIC</t>
    <phoneticPr fontId="1" type="noConversion"/>
  </si>
  <si>
    <t>25SNKO4832I-2049-0001</t>
    <phoneticPr fontId="1" type="noConversion"/>
  </si>
  <si>
    <t>2025.12.23</t>
    <phoneticPr fontId="1" type="noConversion"/>
  </si>
  <si>
    <t>HASLS21251200325</t>
  </si>
  <si>
    <t>우원홀딩스</t>
    <phoneticPr fontId="1" type="noConversion"/>
  </si>
  <si>
    <t>SZLU2020190</t>
  </si>
  <si>
    <t>문어등</t>
    <phoneticPr fontId="1" type="noConversion"/>
  </si>
  <si>
    <t>SS북항.BPT신선대</t>
    <phoneticPr fontId="1" type="noConversion"/>
  </si>
  <si>
    <t>HASLS21251200325</t>
    <phoneticPr fontId="1" type="noConversion"/>
  </si>
  <si>
    <t>LAEM CHABANG VOYAGER</t>
    <phoneticPr fontId="1" type="noConversion"/>
  </si>
  <si>
    <t>25HASL2149I-2222-</t>
    <phoneticPr fontId="1" type="noConversion"/>
  </si>
  <si>
    <t>2025.12.19</t>
    <phoneticPr fontId="1" type="noConversion"/>
  </si>
  <si>
    <t>HDMUSGNA17207600</t>
  </si>
  <si>
    <t>HMMU5201857</t>
  </si>
  <si>
    <t>SS신항.HPNT</t>
    <phoneticPr fontId="1" type="noConversion"/>
  </si>
  <si>
    <t>HMM MIRACLE</t>
  </si>
  <si>
    <t>25HDMUA653I-0210-</t>
  </si>
  <si>
    <t>2025.12.21</t>
  </si>
  <si>
    <t>씨케이글로벌</t>
  </si>
  <si>
    <t>SEGU9786733</t>
  </si>
  <si>
    <t>새우</t>
  </si>
  <si>
    <t/>
  </si>
  <si>
    <t>J&amp;J.BPT신선대</t>
    <phoneticPr fontId="1" type="noConversion"/>
  </si>
  <si>
    <t>HASLS21251200826</t>
    <phoneticPr fontId="1" type="noConversion"/>
  </si>
  <si>
    <t>SAWASDEE PACIFIC</t>
    <phoneticPr fontId="1" type="noConversion"/>
  </si>
  <si>
    <t>25SNKO4814I-1012-</t>
    <phoneticPr fontId="1" type="noConversion"/>
  </si>
  <si>
    <t>2025.12.21</t>
    <phoneticPr fontId="1" type="noConversion"/>
  </si>
  <si>
    <t>KMTCSUB2447551</t>
  </si>
  <si>
    <t>FBIU5561189</t>
  </si>
  <si>
    <t>J&amp;J.DGT</t>
    <phoneticPr fontId="1" type="noConversion"/>
  </si>
  <si>
    <t>KMTCSUB2447551</t>
    <phoneticPr fontId="1" type="noConversion"/>
  </si>
  <si>
    <t>BELAWAN</t>
    <phoneticPr fontId="1" type="noConversion"/>
  </si>
  <si>
    <t>25KMTC4421I-0075-</t>
    <phoneticPr fontId="1" type="noConversion"/>
  </si>
  <si>
    <t>KMTCSUB2448548</t>
  </si>
  <si>
    <t>SZLU9296452</t>
  </si>
  <si>
    <t>KMTCSUB2448548</t>
    <phoneticPr fontId="1" type="noConversion"/>
  </si>
  <si>
    <t>BELAWAN</t>
    <phoneticPr fontId="1" type="noConversion"/>
  </si>
  <si>
    <t>25KMTC4421I-0068-</t>
    <phoneticPr fontId="1" type="noConversion"/>
  </si>
  <si>
    <t>2025.12.21</t>
    <phoneticPr fontId="1" type="noConversion"/>
  </si>
  <si>
    <t>MEDUFX859756</t>
  </si>
  <si>
    <t>수월한</t>
  </si>
  <si>
    <t>MSCU7310447</t>
  </si>
  <si>
    <t>닭다리살</t>
    <phoneticPr fontId="1" type="noConversion"/>
  </si>
  <si>
    <t>닭다리살</t>
    <phoneticPr fontId="1" type="noConversion"/>
  </si>
  <si>
    <t>천일정기화물.PNIT</t>
    <phoneticPr fontId="1" type="noConversion"/>
  </si>
  <si>
    <t>MEDUFX859756</t>
    <phoneticPr fontId="1" type="noConversion"/>
  </si>
  <si>
    <t>MSC CARLOTTA</t>
    <phoneticPr fontId="1" type="noConversion"/>
  </si>
  <si>
    <t>MSC CARLOTTA</t>
    <phoneticPr fontId="1" type="noConversion"/>
  </si>
  <si>
    <t>25MSCU2305I-0015-</t>
    <phoneticPr fontId="1" type="noConversion"/>
  </si>
  <si>
    <t>2025.12.18</t>
    <phoneticPr fontId="1" type="noConversion"/>
  </si>
  <si>
    <t>MEDUFX853544</t>
  </si>
  <si>
    <t>이마트</t>
  </si>
  <si>
    <t>TTNU8462301</t>
  </si>
  <si>
    <t>천일정기화물.PNIT</t>
    <phoneticPr fontId="1" type="noConversion"/>
  </si>
  <si>
    <t>MEDUFX853544</t>
    <phoneticPr fontId="1" type="noConversion"/>
  </si>
  <si>
    <t>25MSCU2305I-0013-</t>
    <phoneticPr fontId="1" type="noConversion"/>
  </si>
  <si>
    <t>KMTCLCH5440123</t>
  </si>
  <si>
    <t>참트레이딩</t>
    <phoneticPr fontId="1" type="noConversion"/>
  </si>
  <si>
    <t>FBIU5378584</t>
  </si>
  <si>
    <t>닭고기</t>
  </si>
  <si>
    <t>나모티엘에스.허치슨감만</t>
  </si>
  <si>
    <t>KMTCLCH5440123</t>
    <phoneticPr fontId="1" type="noConversion"/>
  </si>
  <si>
    <t>KMTC GWANGYANG</t>
    <phoneticPr fontId="1" type="noConversion"/>
  </si>
  <si>
    <t>25KMTC4207I-0114-</t>
    <phoneticPr fontId="1" type="noConversion"/>
  </si>
  <si>
    <t>HLCUPN4250972800</t>
  </si>
  <si>
    <t>동원홈푸드</t>
  </si>
  <si>
    <t>HLBU9368446</t>
  </si>
  <si>
    <t>닭다리살</t>
  </si>
  <si>
    <t>ACE.PNC</t>
    <phoneticPr fontId="1" type="noConversion"/>
  </si>
  <si>
    <t>HLCUPN4250972800</t>
    <phoneticPr fontId="1" type="noConversion"/>
  </si>
  <si>
    <t>CORCOVADO</t>
    <phoneticPr fontId="1" type="noConversion"/>
  </si>
  <si>
    <t>25HLCU9011I-7003-</t>
    <phoneticPr fontId="1" type="noConversion"/>
  </si>
  <si>
    <t>2025.12.22</t>
    <phoneticPr fontId="1" type="noConversion"/>
  </si>
  <si>
    <t>HLCUPN4250972865</t>
  </si>
  <si>
    <t>HLBU9329579</t>
  </si>
  <si>
    <t>HLCUPN4250972865</t>
    <phoneticPr fontId="1" type="noConversion"/>
  </si>
  <si>
    <t>CORCOVADO</t>
    <phoneticPr fontId="1" type="noConversion"/>
  </si>
  <si>
    <t>25HLCU9011I-7007-</t>
    <phoneticPr fontId="1" type="noConversion"/>
  </si>
  <si>
    <t>2025.12.22</t>
    <phoneticPr fontId="1" type="noConversion"/>
  </si>
  <si>
    <t>HLCUPN4250972887</t>
  </si>
  <si>
    <t>HLBU9412997</t>
  </si>
  <si>
    <t>HLCUPN4250972887</t>
    <phoneticPr fontId="1" type="noConversion"/>
  </si>
  <si>
    <t>25HLCU9011I-7008-</t>
    <phoneticPr fontId="1" type="noConversion"/>
  </si>
  <si>
    <t>SAO500903600</t>
  </si>
  <si>
    <t>대상 주식회사</t>
    <phoneticPr fontId="1" type="noConversion"/>
  </si>
  <si>
    <t>PCIU6153162</t>
  </si>
  <si>
    <t>닭다리</t>
  </si>
  <si>
    <t>SS신항.DGT</t>
    <phoneticPr fontId="1" type="noConversion"/>
  </si>
  <si>
    <t>SAO500903600</t>
    <phoneticPr fontId="1" type="noConversion"/>
  </si>
  <si>
    <t>KOTA CANTIK</t>
    <phoneticPr fontId="1" type="noConversion"/>
  </si>
  <si>
    <t>25PILK0101I-0003-</t>
    <phoneticPr fontId="1" type="noConversion"/>
  </si>
  <si>
    <t>ONEYSAOF55456501</t>
  </si>
  <si>
    <t>ONEU9034179</t>
  </si>
  <si>
    <t>ZEPHYR LUMOS</t>
  </si>
  <si>
    <t>25ONEY1581I-7192-</t>
  </si>
  <si>
    <t>2025.12.24</t>
  </si>
  <si>
    <t>HLCUPN4250972905</t>
  </si>
  <si>
    <t>HLBU6053698</t>
  </si>
  <si>
    <t>HLCUPN4250972905</t>
    <phoneticPr fontId="1" type="noConversion"/>
  </si>
  <si>
    <t>25HLCU9011I-7009-</t>
    <phoneticPr fontId="1" type="noConversion"/>
  </si>
  <si>
    <t>KMTCXMN0839499</t>
  </si>
  <si>
    <t>씨에이치씨</t>
  </si>
  <si>
    <t>SEGU9684290</t>
  </si>
  <si>
    <t>SAWASDEE SUNRISE</t>
  </si>
  <si>
    <t>25SNKO4855I-0135-0001</t>
  </si>
  <si>
    <t>KMTCBKK3786030</t>
  </si>
  <si>
    <t>한국축지</t>
  </si>
  <si>
    <t>SEKU9386650</t>
  </si>
  <si>
    <t>게맛살</t>
  </si>
  <si>
    <t>25SNKO4855I-0019-</t>
  </si>
  <si>
    <t>KHHBUS2511004</t>
  </si>
  <si>
    <t>바다사랑</t>
  </si>
  <si>
    <t>꽁치</t>
  </si>
  <si>
    <t>KKFU6746401</t>
  </si>
  <si>
    <t>16:00</t>
  </si>
  <si>
    <t>양충영</t>
  </si>
  <si>
    <t>SS신항(ONE).HPNT</t>
  </si>
  <si>
    <t>CONTI ANNAPURNA</t>
  </si>
  <si>
    <t>ONEU9336184</t>
  </si>
  <si>
    <t>TTNU8803178</t>
  </si>
  <si>
    <t>08:26</t>
  </si>
  <si>
    <t>KHHBUS2511004</t>
    <phoneticPr fontId="1" type="noConversion"/>
  </si>
  <si>
    <t>CONTI ANNAPURNA</t>
    <phoneticPr fontId="1" type="noConversion"/>
  </si>
  <si>
    <t>25ONEY1441I-5006-0001</t>
    <phoneticPr fontId="1" type="noConversion"/>
  </si>
  <si>
    <t>2025.11.20</t>
    <phoneticPr fontId="1" type="noConversion"/>
  </si>
  <si>
    <t>ONEU9436619</t>
  </si>
  <si>
    <t>SZLU9742404</t>
  </si>
  <si>
    <t>ONEU9475702</t>
  </si>
  <si>
    <t>SZLU9548277</t>
  </si>
  <si>
    <t>MEDUR6025270</t>
  </si>
  <si>
    <t>BL분할</t>
    <phoneticPr fontId="1" type="noConversion"/>
  </si>
  <si>
    <t>25MSCU6323i-0007</t>
    <phoneticPr fontId="1" type="noConversion"/>
  </si>
  <si>
    <t>_0001</t>
    <phoneticPr fontId="1" type="noConversion"/>
  </si>
  <si>
    <t>_0002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</si>
</sst>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yy&quot;-&quot;m&quot;-&quot;d\ h:mm;@"/>
    <numFmt numFmtId="177" formatCode="#,##0_ "/>
    <numFmt numFmtId="178" formatCode="m&quot;/&quot;d;@"/>
    <numFmt numFmtId="179" formatCode="#,##0.00_ "/>
    <numFmt numFmtId="180" formatCode="0_);[Red]\(0\)"/>
    <numFmt numFmtId="181" formatCode="mm\/dd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0"/>
      <color theme="1"/>
      <name val="Arial Unicode MS"/>
      <family val="3"/>
      <charset val="129"/>
    </font>
    <font>
      <b/>
      <sz val="13.5"/>
      <color theme="1"/>
      <name val="맑은 고딕"/>
      <family val="3"/>
      <charset val="129"/>
      <scheme val="minor"/>
    </font>
    <font>
      <sz val="8"/>
      <color theme="1"/>
      <name val="바탕체"/>
      <family val="1"/>
      <charset val="129"/>
    </font>
    <font>
      <sz val="11"/>
      <color theme="7" tint="-0.499984740745262"/>
      <name val="맑은 고딕"/>
      <family val="2"/>
      <charset val="129"/>
      <scheme val="minor"/>
    </font>
    <font>
      <sz val="11"/>
      <color theme="7" tint="-0.499984740745262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name val="바탕체"/>
      <family val="1"/>
      <charset val="129"/>
    </font>
    <font>
      <sz val="9"/>
      <name val="맑은 고딕"/>
      <family val="3"/>
      <charset val="129"/>
      <scheme val="minor"/>
    </font>
    <font>
      <sz val="10"/>
      <color rgb="FF4D4C4C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 applyAlignment="1">
      <alignment vertical="center" wrapText="1"/>
    </xf>
    <xf numFmtId="0" fontId="2" fillId="0" borderId="0" xfId="0" applyFont="1">
      <alignment vertical="center"/>
    </xf>
    <xf numFmtId="49" fontId="7" fillId="0" borderId="1" xfId="0" applyNumberFormat="1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22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12" fillId="0" borderId="1" xfId="0" applyFont="1" applyBorder="1">
      <alignment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>
      <alignment vertical="center"/>
    </xf>
    <xf numFmtId="177" fontId="7" fillId="0" borderId="1" xfId="0" applyNumberFormat="1" applyFont="1" applyFill="1" applyBorder="1" applyAlignment="1">
      <alignment horizontal="center" vertical="center" shrinkToFit="1"/>
    </xf>
    <xf numFmtId="178" fontId="13" fillId="0" borderId="1" xfId="0" applyNumberFormat="1" applyFont="1" applyFill="1" applyBorder="1" applyAlignment="1">
      <alignment horizontal="center" vertical="center" shrinkToFit="1"/>
    </xf>
    <xf numFmtId="178" fontId="7" fillId="0" borderId="1" xfId="0" applyNumberFormat="1" applyFont="1" applyFill="1" applyBorder="1" applyAlignment="1">
      <alignment horizontal="center" vertical="center"/>
    </xf>
    <xf numFmtId="22" fontId="7" fillId="0" borderId="1" xfId="0" applyNumberFormat="1" applyFont="1" applyFill="1" applyBorder="1">
      <alignment vertical="center"/>
    </xf>
    <xf numFmtId="0" fontId="7" fillId="4" borderId="1" xfId="0" applyFont="1" applyFill="1" applyBorder="1">
      <alignment vertical="center"/>
    </xf>
    <xf numFmtId="177" fontId="7" fillId="4" borderId="1" xfId="0" applyNumberFormat="1" applyFont="1" applyFill="1" applyBorder="1">
      <alignment vertical="center"/>
    </xf>
    <xf numFmtId="179" fontId="7" fillId="4" borderId="1" xfId="0" applyNumberFormat="1" applyFont="1" applyFill="1" applyBorder="1">
      <alignment vertical="center"/>
    </xf>
    <xf numFmtId="180" fontId="7" fillId="0" borderId="1" xfId="0" applyNumberFormat="1" applyFont="1" applyFill="1" applyBorder="1">
      <alignment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>
      <alignment vertical="center"/>
    </xf>
    <xf numFmtId="49" fontId="7" fillId="5" borderId="1" xfId="0" applyNumberFormat="1" applyFont="1" applyFill="1" applyBorder="1">
      <alignment vertical="center"/>
    </xf>
    <xf numFmtId="177" fontId="7" fillId="5" borderId="1" xfId="0" applyNumberFormat="1" applyFont="1" applyFill="1" applyBorder="1" applyAlignment="1">
      <alignment horizontal="center" vertical="center" shrinkToFit="1"/>
    </xf>
    <xf numFmtId="178" fontId="13" fillId="5" borderId="1" xfId="0" applyNumberFormat="1" applyFont="1" applyFill="1" applyBorder="1" applyAlignment="1">
      <alignment horizontal="center" vertical="center" shrinkToFit="1"/>
    </xf>
    <xf numFmtId="178" fontId="7" fillId="5" borderId="1" xfId="0" applyNumberFormat="1" applyFont="1" applyFill="1" applyBorder="1" applyAlignment="1">
      <alignment horizontal="center" vertical="center"/>
    </xf>
    <xf numFmtId="180" fontId="7" fillId="5" borderId="1" xfId="0" applyNumberFormat="1" applyFont="1" applyFill="1" applyBorder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left" vertical="center" wrapText="1"/>
    </xf>
    <xf numFmtId="0" fontId="14" fillId="0" borderId="1" xfId="0" applyFont="1" applyBorder="1" applyAlignment="1">
      <alignment horizontal="center" vertical="center"/>
    </xf>
    <xf numFmtId="0" fontId="12" fillId="6" borderId="1" xfId="0" applyFont="1" applyFill="1" applyBorder="1">
      <alignment vertical="center"/>
    </xf>
    <xf numFmtId="181" fontId="12" fillId="6" borderId="1" xfId="0" applyNumberFormat="1" applyFont="1" applyFill="1" applyBorder="1" applyAlignment="1">
      <alignment horizontal="left" vertical="center"/>
    </xf>
    <xf numFmtId="49" fontId="12" fillId="6" borderId="1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2" fillId="0" borderId="0" xfId="0" applyFont="1" applyFill="1" applyBorder="1">
      <alignment vertical="center"/>
    </xf>
    <xf numFmtId="181" fontId="12" fillId="6" borderId="0" xfId="0" applyNumberFormat="1" applyFont="1" applyFill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523875</xdr:colOff>
      <xdr:row>2</xdr:row>
      <xdr:rowOff>57150</xdr:rowOff>
    </xdr:from>
    <xdr:to>
      <xdr:col>14</xdr:col>
      <xdr:colOff>514350</xdr:colOff>
      <xdr:row>3</xdr:row>
      <xdr:rowOff>133350</xdr:rowOff>
    </xdr:to>
    <xdr:sp macro="[0]!화물통관진행정보_BL자동판별" textlink="">
      <xdr:nvSpPr>
        <xdr:cNvPr id="2" name="TextBox 1"/>
        <xdr:cNvSpPr txBox="1"/>
      </xdr:nvSpPr>
      <xdr:spPr>
        <a:xfrm>
          <a:off x="9763125" y="476250"/>
          <a:ext cx="38481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Sub </a:t>
          </a:r>
          <a:r>
            <a:rPr lang="ko-KR" altLang="en-US" sz="1100"/>
            <a:t>화물통관진행정보조회</a:t>
          </a:r>
          <a:r>
            <a:rPr lang="en-US" altLang="ko-KR" sz="1100"/>
            <a:t>_XML</a:t>
          </a:r>
          <a:r>
            <a:rPr lang="ko-KR" altLang="en-US" sz="1100"/>
            <a:t>원문확인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  <xdr:twoCellAnchor editAs="oneCell">
    <xdr:from>
      <xdr:col>19</xdr:col>
      <xdr:colOff>266700</xdr:colOff>
      <xdr:row>20</xdr:row>
      <xdr:rowOff>123825</xdr:rowOff>
    </xdr:from>
    <xdr:to>
      <xdr:col>24</xdr:col>
      <xdr:colOff>95250</xdr:colOff>
      <xdr:row>29</xdr:row>
      <xdr:rowOff>1285875</xdr:rowOff>
    </xdr:to>
    <xdr:pic>
      <xdr:nvPicPr>
        <xdr:cNvPr id="3" name="그림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4314825"/>
          <a:ext cx="3257550" cy="6819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457200</xdr:colOff>
      <xdr:row>28</xdr:row>
      <xdr:rowOff>114300</xdr:rowOff>
    </xdr:from>
    <xdr:to>
      <xdr:col>32</xdr:col>
      <xdr:colOff>533400</xdr:colOff>
      <xdr:row>98</xdr:row>
      <xdr:rowOff>38100</xdr:rowOff>
    </xdr:to>
    <xdr:pic>
      <xdr:nvPicPr>
        <xdr:cNvPr id="2" name="그림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4724400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571500</xdr:colOff>
      <xdr:row>8</xdr:row>
      <xdr:rowOff>161925</xdr:rowOff>
    </xdr:from>
    <xdr:to>
      <xdr:col>28</xdr:col>
      <xdr:colOff>619125</xdr:colOff>
      <xdr:row>20</xdr:row>
      <xdr:rowOff>66675</xdr:rowOff>
    </xdr:to>
    <xdr:pic>
      <xdr:nvPicPr>
        <xdr:cNvPr id="3" name="그림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1838325"/>
          <a:ext cx="13763625" cy="2419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180975</xdr:rowOff>
    </xdr:from>
    <xdr:to>
      <xdr:col>27</xdr:col>
      <xdr:colOff>333375</xdr:colOff>
      <xdr:row>70</xdr:row>
      <xdr:rowOff>104775</xdr:rowOff>
    </xdr:to>
    <xdr:pic>
      <xdr:nvPicPr>
        <xdr:cNvPr id="2" name="그림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7775" y="180975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219075</xdr:colOff>
      <xdr:row>6</xdr:row>
      <xdr:rowOff>171450</xdr:rowOff>
    </xdr:to>
    <xdr:pic>
      <xdr:nvPicPr>
        <xdr:cNvPr id="3" name="그림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6</xdr:col>
      <xdr:colOff>209550</xdr:colOff>
      <xdr:row>15</xdr:row>
      <xdr:rowOff>0</xdr:rowOff>
    </xdr:to>
    <xdr:pic>
      <xdr:nvPicPr>
        <xdr:cNvPr id="4" name="그림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76400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295275</xdr:colOff>
      <xdr:row>2</xdr:row>
      <xdr:rowOff>123825</xdr:rowOff>
    </xdr:from>
    <xdr:to>
      <xdr:col>20</xdr:col>
      <xdr:colOff>514350</xdr:colOff>
      <xdr:row>9</xdr:row>
      <xdr:rowOff>85725</xdr:rowOff>
    </xdr:to>
    <xdr:pic>
      <xdr:nvPicPr>
        <xdr:cNvPr id="2" name="그림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333375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11</xdr:row>
      <xdr:rowOff>28575</xdr:rowOff>
    </xdr:from>
    <xdr:to>
      <xdr:col>20</xdr:col>
      <xdr:colOff>209550</xdr:colOff>
      <xdr:row>18</xdr:row>
      <xdr:rowOff>28575</xdr:rowOff>
    </xdr:to>
    <xdr:pic>
      <xdr:nvPicPr>
        <xdr:cNvPr id="3" name="그림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24075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20</xdr:row>
      <xdr:rowOff>28575</xdr:rowOff>
    </xdr:from>
    <xdr:to>
      <xdr:col>20</xdr:col>
      <xdr:colOff>171450</xdr:colOff>
      <xdr:row>27</xdr:row>
      <xdr:rowOff>0</xdr:rowOff>
    </xdr:to>
    <xdr:pic>
      <xdr:nvPicPr>
        <xdr:cNvPr id="4" name="그림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10025"/>
          <a:ext cx="4286250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47625</xdr:rowOff>
    </xdr:from>
    <xdr:to>
      <xdr:col>9</xdr:col>
      <xdr:colOff>28575</xdr:colOff>
      <xdr:row>13</xdr:row>
      <xdr:rowOff>104775</xdr:rowOff>
    </xdr:to>
    <xdr:pic>
      <xdr:nvPicPr>
        <xdr:cNvPr id="5" name="그림 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95375"/>
          <a:ext cx="6200775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0"/>
  <sheetViews>
    <sheetView workbookViewId="0">
      <selection activeCell="E6" sqref="E6"/>
    </sheetView>
  </sheetViews>
  <sheetFormatPr defaultRowHeight="16.5"/>
  <cols>
    <col min="1" max="1" width="19.625" customWidth="1"/>
    <col min="2" max="2" width="12.125" customWidth="1"/>
    <col min="3" max="4" width="19.625" customWidth="1"/>
    <col min="5" max="5" width="22.875" customWidth="1"/>
    <col min="6" max="6" width="10.375" customWidth="1"/>
    <col min="7" max="7" width="14.75" customWidth="1"/>
    <col min="8" max="8" width="12.875" customWidth="1"/>
    <col min="11" max="11" width="14.625" customWidth="1"/>
  </cols>
  <sheetData>
    <row r="1" spans="1:17">
      <c r="A1" s="8" t="s">
        <v>124</v>
      </c>
      <c r="B1" s="8" t="s">
        <v>64</v>
      </c>
      <c r="C1" s="8" t="s">
        <v>115</v>
      </c>
      <c r="D1" s="8" t="s">
        <v>143</v>
      </c>
      <c r="E1" s="8" t="s">
        <v>65</v>
      </c>
      <c r="F1" s="8" t="s">
        <v>125</v>
      </c>
      <c r="G1" s="8" t="s">
        <v>140</v>
      </c>
      <c r="H1" s="8" t="s">
        <v>126</v>
      </c>
      <c r="I1" s="8" t="s">
        <v>127</v>
      </c>
      <c r="J1" s="8"/>
      <c r="K1" s="8"/>
    </row>
    <row r="2" spans="1:17">
      <c r="A2" s="19" t="s">
        <v>133</v>
      </c>
      <c r="B2" s="14">
        <v>2025</v>
      </c>
      <c r="C2" s="9" t="s">
        <v>133</v>
      </c>
      <c r="D2" s="9"/>
      <c r="E2" t="s">
        <v>144</v>
      </c>
      <c r="F2">
        <v>4</v>
      </c>
      <c r="G2" s="17" t="s">
        <v>135</v>
      </c>
      <c r="H2" s="18">
        <v>46000.340277777781</v>
      </c>
      <c r="I2" t="s">
        <v>136</v>
      </c>
      <c r="Q2" s="16"/>
    </row>
    <row r="6" spans="1:17">
      <c r="F6" s="5"/>
    </row>
    <row r="14" spans="1:17" s="16" customFormat="1"/>
    <row r="17" spans="1:17">
      <c r="J17">
        <v>2025</v>
      </c>
      <c r="K17" s="9" t="s">
        <v>66</v>
      </c>
      <c r="L17" t="s">
        <v>132</v>
      </c>
    </row>
    <row r="18" spans="1:17">
      <c r="J18">
        <v>2025</v>
      </c>
      <c r="K18" s="19" t="s">
        <v>133</v>
      </c>
      <c r="L18" t="s">
        <v>134</v>
      </c>
      <c r="M18" t="s">
        <v>139</v>
      </c>
      <c r="N18" t="s">
        <v>138</v>
      </c>
    </row>
    <row r="19" spans="1:17">
      <c r="K19" t="s">
        <v>141</v>
      </c>
      <c r="M19" t="s">
        <v>139</v>
      </c>
      <c r="N19" t="s">
        <v>142</v>
      </c>
    </row>
    <row r="20" spans="1:17">
      <c r="D20" t="s">
        <v>145</v>
      </c>
    </row>
    <row r="29" spans="1:17" ht="313.5" customHeight="1">
      <c r="A29" s="38" t="s">
        <v>137</v>
      </c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</row>
    <row r="30" spans="1:17" ht="313.5" customHeight="1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</row>
  </sheetData>
  <mergeCells count="2">
    <mergeCell ref="A29:Q29"/>
    <mergeCell ref="A30:Q30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70"/>
  <sheetViews>
    <sheetView topLeftCell="A13" workbookViewId="0">
      <selection activeCell="C24" sqref="C24"/>
    </sheetView>
  </sheetViews>
  <sheetFormatPr defaultRowHeight="18" customHeight="1"/>
  <cols>
    <col min="12" max="12" width="16.875" customWidth="1"/>
    <col min="13" max="13" width="24.25" customWidth="1"/>
  </cols>
  <sheetData>
    <row r="1" spans="1:12" ht="18" customHeight="1">
      <c r="A1" t="s">
        <v>2</v>
      </c>
      <c r="L1" t="s">
        <v>0</v>
      </c>
    </row>
    <row r="2" spans="1:12" ht="18" customHeight="1">
      <c r="L2" t="s">
        <v>1</v>
      </c>
    </row>
    <row r="3" spans="1:12" ht="18" customHeight="1">
      <c r="L3" t="s">
        <v>10</v>
      </c>
    </row>
    <row r="4" spans="1:12" ht="18" customHeight="1">
      <c r="L4" t="s">
        <v>11</v>
      </c>
    </row>
    <row r="5" spans="1:12" ht="18" customHeight="1">
      <c r="L5" t="s">
        <v>7</v>
      </c>
    </row>
    <row r="8" spans="1:12" ht="18" customHeight="1">
      <c r="L8" t="s">
        <v>3</v>
      </c>
    </row>
    <row r="9" spans="1:12" ht="18" customHeight="1">
      <c r="L9" t="s">
        <v>5</v>
      </c>
    </row>
    <row r="10" spans="1:12" ht="18" customHeight="1">
      <c r="L10" t="s">
        <v>8</v>
      </c>
    </row>
    <row r="11" spans="1:12" ht="18" customHeight="1">
      <c r="L11" t="s">
        <v>9</v>
      </c>
    </row>
    <row r="12" spans="1:12" ht="18" customHeight="1">
      <c r="L12" t="s">
        <v>7</v>
      </c>
    </row>
    <row r="15" spans="1:12" ht="18" customHeight="1">
      <c r="L15" s="6" t="s">
        <v>12</v>
      </c>
    </row>
    <row r="17" spans="12:13" ht="18" customHeight="1">
      <c r="L17" s="5" t="s">
        <v>4</v>
      </c>
    </row>
    <row r="18" spans="12:13" ht="18" customHeight="1">
      <c r="L18" s="5" t="s">
        <v>63</v>
      </c>
    </row>
    <row r="19" spans="12:13" ht="18" customHeight="1">
      <c r="L19" s="5" t="s">
        <v>13</v>
      </c>
    </row>
    <row r="20" spans="12:13" ht="18" customHeight="1">
      <c r="L20" s="5" t="s">
        <v>6</v>
      </c>
    </row>
    <row r="22" spans="12:13" ht="18" customHeight="1">
      <c r="L22" s="6" t="s">
        <v>14</v>
      </c>
    </row>
    <row r="24" spans="12:13" ht="18" customHeight="1">
      <c r="L24" s="3" t="s">
        <v>15</v>
      </c>
      <c r="M24" s="3" t="s">
        <v>16</v>
      </c>
    </row>
    <row r="25" spans="12:13" ht="18" customHeight="1">
      <c r="L25" s="7" t="s">
        <v>17</v>
      </c>
      <c r="M25" s="4" t="s">
        <v>18</v>
      </c>
    </row>
    <row r="26" spans="12:13" ht="18" customHeight="1">
      <c r="L26" s="7" t="s">
        <v>19</v>
      </c>
      <c r="M26" s="4" t="s">
        <v>20</v>
      </c>
    </row>
    <row r="28" spans="12:13" ht="18" customHeight="1">
      <c r="L28" t="s">
        <v>21</v>
      </c>
    </row>
    <row r="29" spans="12:13" ht="18" customHeight="1">
      <c r="L29" t="s">
        <v>22</v>
      </c>
    </row>
    <row r="31" spans="12:13" ht="18" customHeight="1">
      <c r="L31" t="s">
        <v>23</v>
      </c>
    </row>
    <row r="32" spans="12:13" ht="18" customHeight="1">
      <c r="L32" s="5" t="s">
        <v>24</v>
      </c>
    </row>
    <row r="36" spans="12:12" ht="18" customHeight="1">
      <c r="L36" s="1" t="s">
        <v>25</v>
      </c>
    </row>
    <row r="38" spans="12:12" ht="18" customHeight="1">
      <c r="L38" s="6" t="s">
        <v>26</v>
      </c>
    </row>
    <row r="40" spans="12:12" ht="18" customHeight="1">
      <c r="L40" s="5" t="s">
        <v>4</v>
      </c>
    </row>
    <row r="41" spans="12:12" ht="18" customHeight="1">
      <c r="L41" s="5" t="s">
        <v>27</v>
      </c>
    </row>
    <row r="42" spans="12:12" ht="18" customHeight="1">
      <c r="L42" s="5" t="s">
        <v>28</v>
      </c>
    </row>
    <row r="43" spans="12:12" ht="18" customHeight="1">
      <c r="L43" s="5" t="s">
        <v>29</v>
      </c>
    </row>
    <row r="44" spans="12:12" ht="18" customHeight="1">
      <c r="L44" s="5" t="s">
        <v>30</v>
      </c>
    </row>
    <row r="45" spans="12:12" ht="18" customHeight="1">
      <c r="L45" s="5" t="s">
        <v>31</v>
      </c>
    </row>
    <row r="46" spans="12:12" ht="18" customHeight="1">
      <c r="L46" s="5" t="s">
        <v>32</v>
      </c>
    </row>
    <row r="47" spans="12:12" ht="18" customHeight="1">
      <c r="L47" s="5" t="s">
        <v>33</v>
      </c>
    </row>
    <row r="48" spans="12:12" ht="18" customHeight="1">
      <c r="L48" s="5" t="s">
        <v>34</v>
      </c>
    </row>
    <row r="49" spans="12:13" ht="18" customHeight="1">
      <c r="L49" s="5" t="s">
        <v>35</v>
      </c>
    </row>
    <row r="50" spans="12:13" ht="18" customHeight="1">
      <c r="L50" s="5" t="s">
        <v>36</v>
      </c>
    </row>
    <row r="51" spans="12:13" ht="18" customHeight="1">
      <c r="L51" s="5" t="s">
        <v>37</v>
      </c>
    </row>
    <row r="52" spans="12:13" ht="18" customHeight="1">
      <c r="L52" s="5" t="s">
        <v>38</v>
      </c>
    </row>
    <row r="53" spans="12:13" ht="18" customHeight="1">
      <c r="L53" s="5" t="s">
        <v>39</v>
      </c>
    </row>
    <row r="54" spans="12:13" ht="18" customHeight="1">
      <c r="L54" s="5" t="s">
        <v>6</v>
      </c>
    </row>
    <row r="58" spans="12:13" ht="18" customHeight="1">
      <c r="L58" s="2" t="s">
        <v>40</v>
      </c>
    </row>
    <row r="60" spans="12:13" ht="18" customHeight="1">
      <c r="L60" s="3" t="s">
        <v>41</v>
      </c>
      <c r="M60" s="3" t="s">
        <v>42</v>
      </c>
    </row>
    <row r="61" spans="12:13" ht="18" customHeight="1">
      <c r="L61" s="7" t="s">
        <v>43</v>
      </c>
      <c r="M61" s="4" t="s">
        <v>44</v>
      </c>
    </row>
    <row r="62" spans="12:13" ht="18" customHeight="1">
      <c r="L62" s="7" t="s">
        <v>45</v>
      </c>
      <c r="M62" s="4" t="s">
        <v>46</v>
      </c>
    </row>
    <row r="63" spans="12:13" ht="18" customHeight="1">
      <c r="L63" s="7" t="s">
        <v>47</v>
      </c>
      <c r="M63" s="4" t="s">
        <v>48</v>
      </c>
    </row>
    <row r="64" spans="12:13" ht="18" customHeight="1">
      <c r="L64" s="7" t="s">
        <v>49</v>
      </c>
      <c r="M64" s="4" t="s">
        <v>50</v>
      </c>
    </row>
    <row r="65" spans="12:13" ht="18" customHeight="1">
      <c r="L65" s="7" t="s">
        <v>51</v>
      </c>
      <c r="M65" s="4" t="s">
        <v>52</v>
      </c>
    </row>
    <row r="66" spans="12:13" ht="18" customHeight="1">
      <c r="L66" s="7" t="s">
        <v>53</v>
      </c>
      <c r="M66" s="4" t="s">
        <v>54</v>
      </c>
    </row>
    <row r="67" spans="12:13" ht="18" customHeight="1">
      <c r="L67" s="7" t="s">
        <v>55</v>
      </c>
      <c r="M67" s="4" t="s">
        <v>56</v>
      </c>
    </row>
    <row r="68" spans="12:13" ht="18" customHeight="1">
      <c r="L68" s="7" t="s">
        <v>57</v>
      </c>
      <c r="M68" s="4" t="s">
        <v>58</v>
      </c>
    </row>
    <row r="69" spans="12:13" ht="18" customHeight="1">
      <c r="L69" s="7" t="s">
        <v>59</v>
      </c>
      <c r="M69" s="4" t="s">
        <v>60</v>
      </c>
    </row>
    <row r="70" spans="12:13" ht="18" customHeight="1">
      <c r="L70" s="7" t="s">
        <v>61</v>
      </c>
      <c r="M70" s="4" t="s">
        <v>62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61"/>
  <sheetViews>
    <sheetView topLeftCell="A4" workbookViewId="0">
      <selection activeCell="F14" sqref="F14"/>
    </sheetView>
  </sheetViews>
  <sheetFormatPr defaultRowHeight="16.5"/>
  <cols>
    <col min="1" max="1" width="2.375" customWidth="1"/>
    <col min="2" max="2" width="3.375" customWidth="1"/>
  </cols>
  <sheetData>
    <row r="1" spans="1:13">
      <c r="A1" t="s">
        <v>130</v>
      </c>
    </row>
    <row r="7" spans="1:13">
      <c r="A7" t="s">
        <v>128</v>
      </c>
    </row>
    <row r="8" spans="1:13">
      <c r="A8" t="s">
        <v>67</v>
      </c>
    </row>
    <row r="9" spans="1:13">
      <c r="A9" t="s">
        <v>129</v>
      </c>
    </row>
    <row r="10" spans="1:13">
      <c r="A10" t="s">
        <v>69</v>
      </c>
      <c r="M10" s="5"/>
    </row>
    <row r="11" spans="1:13">
      <c r="A11" t="s">
        <v>68</v>
      </c>
      <c r="M11" s="5"/>
    </row>
    <row r="12" spans="1:13">
      <c r="B12" t="s">
        <v>105</v>
      </c>
    </row>
    <row r="13" spans="1:13">
      <c r="B13" s="10" t="s">
        <v>106</v>
      </c>
    </row>
    <row r="14" spans="1:13">
      <c r="C14" t="s">
        <v>107</v>
      </c>
    </row>
    <row r="15" spans="1:13">
      <c r="C15" t="s">
        <v>70</v>
      </c>
    </row>
    <row r="16" spans="1:13">
      <c r="C16" t="s">
        <v>71</v>
      </c>
    </row>
    <row r="17" spans="1:3">
      <c r="C17" t="s">
        <v>72</v>
      </c>
    </row>
    <row r="18" spans="1:3">
      <c r="C18" t="s">
        <v>131</v>
      </c>
    </row>
    <row r="19" spans="1:3">
      <c r="C19" s="8" t="s">
        <v>110</v>
      </c>
    </row>
    <row r="20" spans="1:3">
      <c r="C20" t="s">
        <v>73</v>
      </c>
    </row>
    <row r="21" spans="1:3">
      <c r="B21" s="10" t="s">
        <v>74</v>
      </c>
    </row>
    <row r="22" spans="1:3">
      <c r="B22" t="s">
        <v>75</v>
      </c>
    </row>
    <row r="23" spans="1:3">
      <c r="A23" s="10"/>
      <c r="B23" s="10" t="s">
        <v>76</v>
      </c>
    </row>
    <row r="24" spans="1:3">
      <c r="C24" t="s">
        <v>77</v>
      </c>
    </row>
    <row r="25" spans="1:3">
      <c r="C25" t="s">
        <v>78</v>
      </c>
    </row>
    <row r="26" spans="1:3">
      <c r="C26" t="s">
        <v>88</v>
      </c>
    </row>
    <row r="27" spans="1:3">
      <c r="A27" s="11"/>
      <c r="B27" s="11" t="s">
        <v>89</v>
      </c>
    </row>
    <row r="28" spans="1:3">
      <c r="A28" s="11"/>
      <c r="B28" s="11" t="s">
        <v>76</v>
      </c>
    </row>
    <row r="29" spans="1:3">
      <c r="C29" t="s">
        <v>90</v>
      </c>
    </row>
    <row r="30" spans="1:3">
      <c r="C30" t="s">
        <v>79</v>
      </c>
    </row>
    <row r="31" spans="1:3">
      <c r="C31" t="s">
        <v>91</v>
      </c>
    </row>
    <row r="32" spans="1:3">
      <c r="A32" s="11"/>
      <c r="B32" s="11" t="s">
        <v>92</v>
      </c>
    </row>
    <row r="33" spans="1:3">
      <c r="A33" s="11"/>
      <c r="B33" s="11" t="s">
        <v>93</v>
      </c>
    </row>
    <row r="34" spans="1:3">
      <c r="C34" t="s">
        <v>80</v>
      </c>
    </row>
    <row r="35" spans="1:3">
      <c r="C35" t="s">
        <v>81</v>
      </c>
    </row>
    <row r="36" spans="1:3">
      <c r="C36" t="s">
        <v>82</v>
      </c>
    </row>
    <row r="37" spans="1:3">
      <c r="C37" t="s">
        <v>108</v>
      </c>
    </row>
    <row r="38" spans="1:3">
      <c r="C38" s="13" t="s">
        <v>109</v>
      </c>
    </row>
    <row r="39" spans="1:3">
      <c r="C39" t="s">
        <v>83</v>
      </c>
    </row>
    <row r="40" spans="1:3">
      <c r="C40" t="s">
        <v>94</v>
      </c>
    </row>
    <row r="41" spans="1:3">
      <c r="A41" s="11"/>
      <c r="B41" s="11" t="s">
        <v>95</v>
      </c>
    </row>
    <row r="42" spans="1:3">
      <c r="A42" s="11"/>
      <c r="B42" s="11" t="s">
        <v>96</v>
      </c>
    </row>
    <row r="43" spans="1:3">
      <c r="C43" t="s">
        <v>97</v>
      </c>
    </row>
    <row r="44" spans="1:3">
      <c r="C44" t="s">
        <v>84</v>
      </c>
    </row>
    <row r="45" spans="1:3">
      <c r="C45" t="s">
        <v>94</v>
      </c>
    </row>
    <row r="46" spans="1:3">
      <c r="A46" s="10"/>
      <c r="B46" s="10" t="s">
        <v>92</v>
      </c>
    </row>
    <row r="47" spans="1:3">
      <c r="A47" s="11"/>
      <c r="B47" s="11" t="s">
        <v>93</v>
      </c>
    </row>
    <row r="48" spans="1:3">
      <c r="C48" t="s">
        <v>98</v>
      </c>
    </row>
    <row r="49" spans="1:3">
      <c r="C49" t="s">
        <v>85</v>
      </c>
    </row>
    <row r="50" spans="1:3">
      <c r="C50" t="s">
        <v>99</v>
      </c>
    </row>
    <row r="51" spans="1:3">
      <c r="A51" s="10"/>
      <c r="B51" s="10" t="s">
        <v>100</v>
      </c>
    </row>
    <row r="52" spans="1:3">
      <c r="A52" s="11"/>
      <c r="B52" s="11" t="s">
        <v>96</v>
      </c>
    </row>
    <row r="53" spans="1:3">
      <c r="C53" t="s">
        <v>101</v>
      </c>
    </row>
    <row r="54" spans="1:3">
      <c r="C54" t="s">
        <v>86</v>
      </c>
    </row>
    <row r="55" spans="1:3">
      <c r="C55" t="s">
        <v>99</v>
      </c>
    </row>
    <row r="56" spans="1:3">
      <c r="A56" s="10"/>
      <c r="B56" s="10" t="s">
        <v>100</v>
      </c>
      <c r="C56" s="11"/>
    </row>
    <row r="57" spans="1:3">
      <c r="A57" s="11"/>
      <c r="B57" s="11" t="s">
        <v>96</v>
      </c>
      <c r="C57" s="11"/>
    </row>
    <row r="58" spans="1:3">
      <c r="C58" t="s">
        <v>102</v>
      </c>
    </row>
    <row r="59" spans="1:3">
      <c r="C59" t="s">
        <v>103</v>
      </c>
    </row>
    <row r="60" spans="1:3">
      <c r="A60" s="10"/>
      <c r="B60" s="10" t="s">
        <v>104</v>
      </c>
    </row>
    <row r="61" spans="1:3">
      <c r="A61" s="12" t="s">
        <v>87</v>
      </c>
      <c r="B61" s="10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G1:AD1"/>
  <sheetViews>
    <sheetView topLeftCell="E1" workbookViewId="0">
      <selection activeCell="AC15" sqref="AC15"/>
    </sheetView>
  </sheetViews>
  <sheetFormatPr defaultRowHeight="16.5"/>
  <cols>
    <col min="7" max="30" width="9" style="15"/>
  </cols>
  <sheetData/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20"/>
  <sheetViews>
    <sheetView workbookViewId="0">
      <selection activeCell="A20" sqref="A20"/>
    </sheetView>
  </sheetViews>
  <sheetFormatPr defaultRowHeight="16.5"/>
  <sheetData>
    <row r="1" spans="1:20">
      <c r="A1" t="s">
        <v>120</v>
      </c>
      <c r="T1" t="s">
        <v>111</v>
      </c>
    </row>
    <row r="2" spans="1:20">
      <c r="A2" t="s">
        <v>122</v>
      </c>
    </row>
    <row r="3" spans="1:20">
      <c r="B3" t="s">
        <v>118</v>
      </c>
    </row>
    <row r="4" spans="1:20">
      <c r="B4" t="s">
        <v>119</v>
      </c>
    </row>
    <row r="5" spans="1:20">
      <c r="A5" t="s">
        <v>121</v>
      </c>
    </row>
    <row r="20" spans="1:1">
      <c r="A20" t="s">
        <v>123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workbookViewId="0">
      <selection activeCell="C6" sqref="C6"/>
    </sheetView>
  </sheetViews>
  <sheetFormatPr defaultRowHeight="16.5"/>
  <sheetData>
    <row r="1" spans="1:2">
      <c r="A1" t="s">
        <v>112</v>
      </c>
    </row>
    <row r="2" spans="1:2">
      <c r="A2" t="s">
        <v>113</v>
      </c>
      <c r="B2" t="s">
        <v>114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C13"/>
  <sheetViews>
    <sheetView workbookViewId="0">
      <selection activeCell="K18" sqref="K18"/>
    </sheetView>
  </sheetViews>
  <sheetFormatPr defaultRowHeight="16.5"/>
  <sheetData>
    <row r="2" spans="1:3">
      <c r="A2" t="s">
        <v>117</v>
      </c>
    </row>
    <row r="3" spans="1:3">
      <c r="B3" t="s">
        <v>105</v>
      </c>
    </row>
    <row r="4" spans="1:3">
      <c r="B4" s="10" t="s">
        <v>116</v>
      </c>
    </row>
    <row r="10" spans="1:3">
      <c r="C10" s="8" t="s">
        <v>110</v>
      </c>
    </row>
    <row r="11" spans="1:3">
      <c r="C11" t="s">
        <v>73</v>
      </c>
    </row>
    <row r="12" spans="1:3">
      <c r="B12" s="10" t="s">
        <v>74</v>
      </c>
    </row>
    <row r="13" spans="1:3">
      <c r="B13" t="s">
        <v>75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P19"/>
  <sheetViews>
    <sheetView tabSelected="1" topLeftCell="I1" workbookViewId="0">
      <selection activeCell="Y11" sqref="Y11"/>
    </sheetView>
  </sheetViews>
  <sheetFormatPr defaultRowHeight="16.5"/>
  <cols>
    <col min="1" max="1" width="2.125" style="37" customWidth="1"/>
    <col min="2" max="2" width="2.75" style="37" customWidth="1"/>
    <col min="3" max="3" width="13.875" style="37" customWidth="1"/>
    <col min="4" max="4" width="9.25" style="37" customWidth="1"/>
    <col min="5" max="5" width="9.125" style="37" customWidth="1"/>
    <col min="6" max="6" width="7.625" style="37" customWidth="1"/>
    <col min="7" max="7" width="5.5" style="37" customWidth="1"/>
    <col min="8" max="8" width="9.125" style="37" customWidth="1"/>
    <col min="9" max="9" width="4.75" style="37" customWidth="1"/>
    <col min="10" max="10" width="1.75" style="37" customWidth="1"/>
    <col min="11" max="11" width="5.125" style="37" customWidth="1"/>
    <col min="12" max="12" width="4.75" style="37" customWidth="1"/>
    <col min="13" max="13" width="2.875" style="37" customWidth="1"/>
    <col min="14" max="14" width="6.375" style="37" customWidth="1"/>
    <col min="15" max="15" width="3.5" style="37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</cols>
  <sheetData>
    <row r="1" spans="1:42">
      <c r="A1" s="20" t="s">
        <v>146</v>
      </c>
      <c r="B1" s="21" t="s">
        <v>147</v>
      </c>
      <c r="C1" s="21" t="s">
        <v>148</v>
      </c>
      <c r="D1" s="21" t="s">
        <v>149</v>
      </c>
      <c r="E1" s="21" t="s">
        <v>150</v>
      </c>
      <c r="F1" s="21" t="s">
        <v>151</v>
      </c>
      <c r="G1" s="22" t="s">
        <v>152</v>
      </c>
      <c r="H1" s="21" t="s">
        <v>153</v>
      </c>
      <c r="I1" s="23" t="s">
        <v>154</v>
      </c>
      <c r="J1" s="21" t="s">
        <v>155</v>
      </c>
      <c r="K1" s="24" t="s">
        <v>156</v>
      </c>
      <c r="L1" s="9" t="s">
        <v>157</v>
      </c>
      <c r="M1" s="25" t="s">
        <v>155</v>
      </c>
      <c r="N1" s="21" t="s">
        <v>158</v>
      </c>
      <c r="O1" s="25" t="str">
        <f ca="1">TEXT(NOW(),"mm/dd aaa hh:mm")</f>
        <v>12/24 수 16:05</v>
      </c>
      <c r="P1" s="26" t="s">
        <v>159</v>
      </c>
      <c r="Q1" s="26" t="s">
        <v>160</v>
      </c>
      <c r="R1" s="26" t="s">
        <v>44</v>
      </c>
      <c r="S1" s="27" t="s">
        <v>161</v>
      </c>
      <c r="T1" s="28" t="s">
        <v>162</v>
      </c>
      <c r="U1" s="26" t="s">
        <v>163</v>
      </c>
      <c r="W1" s="39">
        <v>20251124</v>
      </c>
      <c r="X1" s="19">
        <v>1307</v>
      </c>
      <c r="Y1" s="19" t="s">
        <v>289</v>
      </c>
      <c r="Z1" s="19" t="s">
        <v>290</v>
      </c>
      <c r="AA1" s="19">
        <v>2300</v>
      </c>
      <c r="AB1" s="19" t="s">
        <v>291</v>
      </c>
      <c r="AC1" s="19" t="s">
        <v>292</v>
      </c>
      <c r="AD1" s="40"/>
      <c r="AE1" s="41">
        <v>45982</v>
      </c>
      <c r="AF1" s="42" t="s">
        <v>293</v>
      </c>
      <c r="AG1" s="42" t="s">
        <v>294</v>
      </c>
      <c r="AH1" s="36"/>
      <c r="AI1" s="31" t="s">
        <v>295</v>
      </c>
      <c r="AJ1" s="31"/>
      <c r="AK1" s="26"/>
      <c r="AL1" s="26" t="s">
        <v>296</v>
      </c>
      <c r="AM1" s="26"/>
      <c r="AN1" s="27"/>
      <c r="AO1" s="28"/>
      <c r="AP1" s="26"/>
    </row>
    <row r="2" spans="1:42">
      <c r="A2" s="20">
        <v>1</v>
      </c>
      <c r="B2" s="21" t="s">
        <v>164</v>
      </c>
      <c r="C2" s="9" t="s">
        <v>165</v>
      </c>
      <c r="D2" s="21" t="s">
        <v>166</v>
      </c>
      <c r="E2" s="21" t="s">
        <v>167</v>
      </c>
      <c r="F2" s="21" t="s">
        <v>169</v>
      </c>
      <c r="G2" s="22">
        <v>2079</v>
      </c>
      <c r="H2" s="21"/>
      <c r="I2" s="23">
        <v>46014</v>
      </c>
      <c r="J2" s="21">
        <v>1</v>
      </c>
      <c r="K2" s="24"/>
      <c r="L2" s="9"/>
      <c r="M2" s="29"/>
      <c r="N2" s="21" t="s">
        <v>170</v>
      </c>
      <c r="O2" s="21"/>
      <c r="P2" s="26" t="s">
        <v>165</v>
      </c>
      <c r="Q2" s="26" t="s">
        <v>171</v>
      </c>
      <c r="R2" s="26" t="s">
        <v>172</v>
      </c>
      <c r="S2" s="27">
        <v>2373</v>
      </c>
      <c r="T2" s="28">
        <v>15188.8</v>
      </c>
      <c r="U2" s="26" t="s">
        <v>173</v>
      </c>
      <c r="W2" s="39">
        <v>20251124</v>
      </c>
      <c r="X2" s="19">
        <v>1307</v>
      </c>
      <c r="Y2" s="19" t="s">
        <v>289</v>
      </c>
      <c r="Z2" s="19" t="s">
        <v>290</v>
      </c>
      <c r="AA2" s="19">
        <v>2270</v>
      </c>
      <c r="AB2" s="19" t="s">
        <v>291</v>
      </c>
      <c r="AC2" s="19" t="s">
        <v>297</v>
      </c>
      <c r="AD2" s="40"/>
      <c r="AE2" s="41">
        <v>45982</v>
      </c>
      <c r="AF2" s="42" t="s">
        <v>293</v>
      </c>
      <c r="AG2" s="42" t="s">
        <v>294</v>
      </c>
      <c r="AH2" s="36"/>
      <c r="AI2" s="31" t="s">
        <v>295</v>
      </c>
      <c r="AJ2" s="31"/>
      <c r="AK2" s="26"/>
      <c r="AL2" s="26" t="s">
        <v>296</v>
      </c>
      <c r="AM2" s="26"/>
      <c r="AN2" s="27"/>
      <c r="AO2" s="28"/>
      <c r="AP2" s="26"/>
    </row>
    <row r="3" spans="1:42">
      <c r="A3" s="20">
        <v>1</v>
      </c>
      <c r="B3" s="21" t="s">
        <v>164</v>
      </c>
      <c r="C3" s="9" t="s">
        <v>174</v>
      </c>
      <c r="D3" s="21" t="s">
        <v>175</v>
      </c>
      <c r="E3" s="21" t="s">
        <v>176</v>
      </c>
      <c r="F3" s="21" t="s">
        <v>177</v>
      </c>
      <c r="G3" s="22">
        <v>600</v>
      </c>
      <c r="H3" s="21"/>
      <c r="I3" s="23">
        <v>46014</v>
      </c>
      <c r="J3" s="21">
        <v>1</v>
      </c>
      <c r="K3" s="24"/>
      <c r="L3" s="9"/>
      <c r="M3" s="29">
        <v>20</v>
      </c>
      <c r="N3" s="21"/>
      <c r="O3" s="21"/>
      <c r="P3" s="26" t="s">
        <v>178</v>
      </c>
      <c r="Q3" s="26" t="s">
        <v>179</v>
      </c>
      <c r="R3" s="26" t="s">
        <v>180</v>
      </c>
      <c r="S3" s="27">
        <v>600</v>
      </c>
      <c r="T3" s="28">
        <v>4740</v>
      </c>
      <c r="U3" s="26" t="s">
        <v>181</v>
      </c>
      <c r="W3" s="39">
        <v>20251124</v>
      </c>
      <c r="X3" s="19">
        <v>1307</v>
      </c>
      <c r="Y3" s="19" t="s">
        <v>289</v>
      </c>
      <c r="Z3" s="19" t="s">
        <v>290</v>
      </c>
      <c r="AA3" s="19">
        <v>2260</v>
      </c>
      <c r="AB3" s="19" t="s">
        <v>291</v>
      </c>
      <c r="AC3" s="19" t="s">
        <v>298</v>
      </c>
      <c r="AD3" s="40"/>
      <c r="AE3" s="41">
        <v>45983</v>
      </c>
      <c r="AF3" s="42" t="s">
        <v>299</v>
      </c>
      <c r="AG3" s="42" t="s">
        <v>294</v>
      </c>
      <c r="AH3" s="36"/>
      <c r="AI3" s="31" t="s">
        <v>295</v>
      </c>
      <c r="AJ3" s="31"/>
      <c r="AK3" s="26" t="s">
        <v>300</v>
      </c>
      <c r="AL3" s="26" t="s">
        <v>301</v>
      </c>
      <c r="AM3" s="26" t="s">
        <v>302</v>
      </c>
      <c r="AN3" s="27">
        <v>15730</v>
      </c>
      <c r="AO3" s="28">
        <v>170940</v>
      </c>
      <c r="AP3" s="26" t="s">
        <v>303</v>
      </c>
    </row>
    <row r="4" spans="1:42">
      <c r="A4" s="20">
        <v>1</v>
      </c>
      <c r="B4" s="21" t="s">
        <v>164</v>
      </c>
      <c r="C4" s="9" t="s">
        <v>182</v>
      </c>
      <c r="D4" s="21" t="s">
        <v>183</v>
      </c>
      <c r="E4" s="21" t="s">
        <v>184</v>
      </c>
      <c r="F4" s="21" t="s">
        <v>185</v>
      </c>
      <c r="G4" s="22">
        <v>869</v>
      </c>
      <c r="H4" s="21"/>
      <c r="I4" s="23">
        <v>46014</v>
      </c>
      <c r="J4" s="21">
        <v>1</v>
      </c>
      <c r="K4" s="24"/>
      <c r="L4" s="9"/>
      <c r="M4" s="29"/>
      <c r="N4" s="21" t="s">
        <v>186</v>
      </c>
      <c r="O4" s="21"/>
      <c r="P4" s="26" t="s">
        <v>187</v>
      </c>
      <c r="Q4" s="26" t="s">
        <v>188</v>
      </c>
      <c r="R4" s="26" t="s">
        <v>189</v>
      </c>
      <c r="S4" s="27">
        <v>869</v>
      </c>
      <c r="T4" s="28">
        <v>6923.26</v>
      </c>
      <c r="U4" s="26" t="s">
        <v>190</v>
      </c>
      <c r="W4" s="39">
        <v>20251124</v>
      </c>
      <c r="X4" s="19">
        <v>1307</v>
      </c>
      <c r="Y4" s="19" t="s">
        <v>289</v>
      </c>
      <c r="Z4" s="19" t="s">
        <v>290</v>
      </c>
      <c r="AA4" s="19">
        <v>2290</v>
      </c>
      <c r="AB4" s="19" t="s">
        <v>291</v>
      </c>
      <c r="AC4" s="19" t="s">
        <v>304</v>
      </c>
      <c r="AD4" s="40"/>
      <c r="AE4" s="41">
        <v>45983</v>
      </c>
      <c r="AF4" s="42" t="s">
        <v>299</v>
      </c>
      <c r="AG4" s="42" t="s">
        <v>294</v>
      </c>
      <c r="AH4" s="36"/>
      <c r="AI4" s="31" t="s">
        <v>295</v>
      </c>
      <c r="AJ4" s="31"/>
      <c r="AK4" s="26"/>
      <c r="AL4" s="26" t="s">
        <v>296</v>
      </c>
      <c r="AM4" s="26"/>
      <c r="AN4" s="27"/>
      <c r="AO4" s="28"/>
      <c r="AP4" s="26"/>
    </row>
    <row r="5" spans="1:42">
      <c r="A5" s="20">
        <v>1</v>
      </c>
      <c r="B5" s="21" t="s">
        <v>164</v>
      </c>
      <c r="C5" s="9" t="s">
        <v>191</v>
      </c>
      <c r="D5" s="21" t="s">
        <v>183</v>
      </c>
      <c r="E5" s="21" t="s">
        <v>192</v>
      </c>
      <c r="F5" s="21" t="s">
        <v>168</v>
      </c>
      <c r="G5" s="22">
        <v>1600</v>
      </c>
      <c r="H5" s="21"/>
      <c r="I5" s="23">
        <v>46014</v>
      </c>
      <c r="J5" s="21">
        <v>1</v>
      </c>
      <c r="K5" s="24"/>
      <c r="L5" s="9"/>
      <c r="M5" s="29">
        <v>20</v>
      </c>
      <c r="N5" s="21" t="s">
        <v>193</v>
      </c>
      <c r="O5" s="21"/>
      <c r="P5" s="26" t="s">
        <v>191</v>
      </c>
      <c r="Q5" s="26" t="s">
        <v>194</v>
      </c>
      <c r="R5" s="26" t="s">
        <v>195</v>
      </c>
      <c r="S5" s="27">
        <v>1600</v>
      </c>
      <c r="T5" s="28">
        <v>6720</v>
      </c>
      <c r="U5" s="26" t="s">
        <v>196</v>
      </c>
      <c r="W5" s="39">
        <v>20251124</v>
      </c>
      <c r="X5" s="19">
        <v>1307</v>
      </c>
      <c r="Y5" s="19" t="s">
        <v>289</v>
      </c>
      <c r="Z5" s="19" t="s">
        <v>290</v>
      </c>
      <c r="AA5" s="19">
        <v>2290</v>
      </c>
      <c r="AB5" s="19" t="s">
        <v>291</v>
      </c>
      <c r="AC5" s="19" t="s">
        <v>305</v>
      </c>
      <c r="AD5" s="40"/>
      <c r="AE5" s="41">
        <v>45983</v>
      </c>
      <c r="AF5" s="42" t="s">
        <v>299</v>
      </c>
      <c r="AG5" s="42" t="s">
        <v>294</v>
      </c>
      <c r="AH5" s="36"/>
      <c r="AI5" s="31" t="s">
        <v>295</v>
      </c>
      <c r="AJ5" s="31"/>
      <c r="AK5" s="26"/>
      <c r="AL5" s="26" t="s">
        <v>296</v>
      </c>
      <c r="AM5" s="26"/>
      <c r="AN5" s="27"/>
      <c r="AO5" s="28"/>
      <c r="AP5" s="26"/>
    </row>
    <row r="6" spans="1:42">
      <c r="A6" s="20">
        <v>1</v>
      </c>
      <c r="B6" s="21" t="s">
        <v>164</v>
      </c>
      <c r="C6" s="9" t="s">
        <v>66</v>
      </c>
      <c r="D6" s="21" t="s">
        <v>197</v>
      </c>
      <c r="E6" s="21" t="s">
        <v>198</v>
      </c>
      <c r="F6" s="21" t="s">
        <v>199</v>
      </c>
      <c r="G6" s="22">
        <v>2100</v>
      </c>
      <c r="H6" s="21"/>
      <c r="I6" s="23">
        <v>46015</v>
      </c>
      <c r="J6" s="21">
        <v>1</v>
      </c>
      <c r="K6" s="24"/>
      <c r="L6" s="9"/>
      <c r="M6" s="29" t="s">
        <v>200</v>
      </c>
      <c r="N6" s="21" t="s">
        <v>201</v>
      </c>
      <c r="O6" s="21"/>
      <c r="P6" s="26" t="s">
        <v>202</v>
      </c>
      <c r="Q6" s="26" t="s">
        <v>203</v>
      </c>
      <c r="R6" s="26" t="s">
        <v>204</v>
      </c>
      <c r="S6" s="27">
        <v>2100</v>
      </c>
      <c r="T6" s="28">
        <v>15120</v>
      </c>
      <c r="U6" s="26" t="s">
        <v>205</v>
      </c>
      <c r="W6" s="39">
        <v>20251124</v>
      </c>
      <c r="X6" s="19">
        <v>1307</v>
      </c>
      <c r="Y6" s="19" t="s">
        <v>289</v>
      </c>
      <c r="Z6" s="19" t="s">
        <v>290</v>
      </c>
      <c r="AA6" s="19">
        <v>2270</v>
      </c>
      <c r="AB6" s="19" t="s">
        <v>291</v>
      </c>
      <c r="AC6" s="19" t="s">
        <v>306</v>
      </c>
      <c r="AD6" s="40"/>
      <c r="AE6" s="41">
        <v>45983</v>
      </c>
      <c r="AF6" s="42" t="s">
        <v>299</v>
      </c>
      <c r="AG6" s="42" t="s">
        <v>294</v>
      </c>
      <c r="AH6" s="36"/>
      <c r="AI6" s="31" t="s">
        <v>295</v>
      </c>
      <c r="AJ6" s="31"/>
      <c r="AK6" s="26"/>
      <c r="AL6" s="26" t="s">
        <v>296</v>
      </c>
      <c r="AM6" s="26"/>
      <c r="AN6" s="27"/>
      <c r="AO6" s="28"/>
      <c r="AP6" s="26"/>
    </row>
    <row r="7" spans="1:42">
      <c r="A7" s="20">
        <v>1</v>
      </c>
      <c r="B7" s="21" t="s">
        <v>164</v>
      </c>
      <c r="C7" s="9" t="s">
        <v>206</v>
      </c>
      <c r="D7" s="21" t="s">
        <v>197</v>
      </c>
      <c r="E7" s="21" t="s">
        <v>207</v>
      </c>
      <c r="F7" s="21" t="s">
        <v>199</v>
      </c>
      <c r="G7" s="22">
        <v>1800</v>
      </c>
      <c r="H7" s="21"/>
      <c r="I7" s="23">
        <v>46015</v>
      </c>
      <c r="J7" s="21">
        <v>1</v>
      </c>
      <c r="K7" s="24"/>
      <c r="L7" s="9"/>
      <c r="M7" s="29" t="s">
        <v>200</v>
      </c>
      <c r="N7" s="21" t="s">
        <v>208</v>
      </c>
      <c r="O7" s="21"/>
      <c r="P7" s="26" t="s">
        <v>209</v>
      </c>
      <c r="Q7" s="26" t="s">
        <v>210</v>
      </c>
      <c r="R7" s="26" t="s">
        <v>211</v>
      </c>
      <c r="S7" s="27">
        <v>1800</v>
      </c>
      <c r="T7" s="28">
        <v>21600</v>
      </c>
      <c r="U7" s="26" t="s">
        <v>205</v>
      </c>
      <c r="W7" s="39">
        <v>20251124</v>
      </c>
      <c r="X7" s="19">
        <v>1307</v>
      </c>
      <c r="Y7" s="19" t="s">
        <v>289</v>
      </c>
      <c r="Z7" s="19" t="s">
        <v>290</v>
      </c>
      <c r="AA7" s="19">
        <v>2050</v>
      </c>
      <c r="AB7" s="19" t="s">
        <v>291</v>
      </c>
      <c r="AC7" s="19" t="s">
        <v>307</v>
      </c>
      <c r="AD7" s="40"/>
      <c r="AE7" s="41">
        <v>45983</v>
      </c>
      <c r="AF7" s="42" t="s">
        <v>299</v>
      </c>
      <c r="AG7" s="42" t="s">
        <v>294</v>
      </c>
      <c r="AH7" s="36"/>
      <c r="AI7" s="31" t="s">
        <v>295</v>
      </c>
      <c r="AJ7" s="31"/>
      <c r="AK7" s="26"/>
      <c r="AL7" s="26" t="s">
        <v>296</v>
      </c>
      <c r="AM7" s="26"/>
      <c r="AN7" s="27"/>
      <c r="AO7" s="28"/>
      <c r="AP7" s="26"/>
    </row>
    <row r="8" spans="1:42">
      <c r="A8" s="20">
        <v>1</v>
      </c>
      <c r="B8" s="21" t="s">
        <v>164</v>
      </c>
      <c r="C8" s="9" t="s">
        <v>212</v>
      </c>
      <c r="D8" s="21" t="s">
        <v>197</v>
      </c>
      <c r="E8" s="21" t="s">
        <v>213</v>
      </c>
      <c r="F8" s="21" t="s">
        <v>199</v>
      </c>
      <c r="G8" s="22">
        <v>1800</v>
      </c>
      <c r="H8" s="21"/>
      <c r="I8" s="23">
        <v>46015</v>
      </c>
      <c r="J8" s="21">
        <v>1</v>
      </c>
      <c r="K8" s="24"/>
      <c r="L8" s="9"/>
      <c r="M8" s="29" t="s">
        <v>200</v>
      </c>
      <c r="N8" s="21" t="s">
        <v>208</v>
      </c>
      <c r="O8" s="21"/>
      <c r="P8" s="26" t="s">
        <v>214</v>
      </c>
      <c r="Q8" s="26" t="s">
        <v>215</v>
      </c>
      <c r="R8" s="26" t="s">
        <v>216</v>
      </c>
      <c r="S8" s="27">
        <v>1800</v>
      </c>
      <c r="T8" s="28">
        <v>21600</v>
      </c>
      <c r="U8" s="26" t="s">
        <v>217</v>
      </c>
    </row>
    <row r="9" spans="1:42">
      <c r="A9" s="20">
        <v>1</v>
      </c>
      <c r="B9" s="21" t="s">
        <v>164</v>
      </c>
      <c r="C9" s="9" t="s">
        <v>218</v>
      </c>
      <c r="D9" s="21" t="s">
        <v>219</v>
      </c>
      <c r="E9" s="21" t="s">
        <v>220</v>
      </c>
      <c r="F9" s="21" t="s">
        <v>222</v>
      </c>
      <c r="G9" s="22">
        <v>1958</v>
      </c>
      <c r="H9" s="21"/>
      <c r="I9" s="23">
        <v>46014</v>
      </c>
      <c r="J9" s="21">
        <v>2</v>
      </c>
      <c r="K9" s="24"/>
      <c r="L9" s="9"/>
      <c r="M9" s="29"/>
      <c r="N9" s="21" t="s">
        <v>223</v>
      </c>
      <c r="O9" s="21"/>
      <c r="P9" s="26" t="s">
        <v>224</v>
      </c>
      <c r="Q9" s="26" t="s">
        <v>226</v>
      </c>
      <c r="R9" s="26" t="s">
        <v>227</v>
      </c>
      <c r="S9" s="27">
        <v>1958</v>
      </c>
      <c r="T9" s="28">
        <v>24563.16</v>
      </c>
      <c r="U9" s="26" t="s">
        <v>228</v>
      </c>
      <c r="Y9" s="43" t="s">
        <v>308</v>
      </c>
      <c r="AA9" t="s">
        <v>309</v>
      </c>
      <c r="AB9" s="44" t="s">
        <v>310</v>
      </c>
      <c r="AD9" s="19" t="s">
        <v>311</v>
      </c>
      <c r="AE9" s="19" t="s">
        <v>312</v>
      </c>
    </row>
    <row r="10" spans="1:42">
      <c r="A10" s="20">
        <v>1</v>
      </c>
      <c r="B10" s="21" t="s">
        <v>164</v>
      </c>
      <c r="C10" s="9" t="s">
        <v>229</v>
      </c>
      <c r="D10" s="21" t="s">
        <v>230</v>
      </c>
      <c r="E10" s="21" t="s">
        <v>231</v>
      </c>
      <c r="F10" s="21" t="s">
        <v>221</v>
      </c>
      <c r="G10" s="22">
        <v>1940</v>
      </c>
      <c r="H10" s="21"/>
      <c r="I10" s="23">
        <v>46014</v>
      </c>
      <c r="J10" s="21">
        <v>2</v>
      </c>
      <c r="K10" s="24"/>
      <c r="L10" s="9"/>
      <c r="M10" s="29"/>
      <c r="N10" s="21" t="s">
        <v>232</v>
      </c>
      <c r="O10" s="21"/>
      <c r="P10" s="26" t="s">
        <v>233</v>
      </c>
      <c r="Q10" s="26" t="s">
        <v>225</v>
      </c>
      <c r="R10" s="26" t="s">
        <v>234</v>
      </c>
      <c r="S10" s="27">
        <v>1940</v>
      </c>
      <c r="T10" s="28">
        <v>24225.919999999998</v>
      </c>
      <c r="U10" s="26" t="s">
        <v>228</v>
      </c>
      <c r="Y10">
        <v>2106</v>
      </c>
      <c r="AD10">
        <v>1567</v>
      </c>
      <c r="AE10" s="45">
        <v>539</v>
      </c>
    </row>
    <row r="11" spans="1:42">
      <c r="A11" s="20">
        <v>1</v>
      </c>
      <c r="B11" s="21" t="s">
        <v>164</v>
      </c>
      <c r="C11" s="9" t="s">
        <v>235</v>
      </c>
      <c r="D11" s="21" t="s">
        <v>236</v>
      </c>
      <c r="E11" s="21" t="s">
        <v>237</v>
      </c>
      <c r="F11" s="21" t="s">
        <v>238</v>
      </c>
      <c r="G11" s="22">
        <v>1872</v>
      </c>
      <c r="H11" s="21"/>
      <c r="I11" s="23">
        <v>46014</v>
      </c>
      <c r="J11" s="21">
        <v>2</v>
      </c>
      <c r="K11" s="24"/>
      <c r="L11" s="9"/>
      <c r="M11" s="29"/>
      <c r="N11" s="21" t="s">
        <v>239</v>
      </c>
      <c r="O11" s="21"/>
      <c r="P11" s="26" t="s">
        <v>240</v>
      </c>
      <c r="Q11" s="26" t="s">
        <v>241</v>
      </c>
      <c r="R11" s="26" t="s">
        <v>242</v>
      </c>
      <c r="S11" s="27">
        <v>1872</v>
      </c>
      <c r="T11" s="28">
        <v>23587.200000000001</v>
      </c>
      <c r="U11" s="26" t="s">
        <v>190</v>
      </c>
    </row>
    <row r="12" spans="1:42">
      <c r="A12" s="30">
        <v>1</v>
      </c>
      <c r="B12" s="31" t="s">
        <v>164</v>
      </c>
      <c r="C12" s="32" t="s">
        <v>243</v>
      </c>
      <c r="D12" s="31" t="s">
        <v>244</v>
      </c>
      <c r="E12" s="31" t="s">
        <v>245</v>
      </c>
      <c r="F12" s="31" t="s">
        <v>246</v>
      </c>
      <c r="G12" s="33">
        <v>1947</v>
      </c>
      <c r="H12" s="31"/>
      <c r="I12" s="34">
        <v>46015</v>
      </c>
      <c r="J12" s="31">
        <v>2</v>
      </c>
      <c r="K12" s="35"/>
      <c r="L12" s="32"/>
      <c r="M12" s="36" t="s">
        <v>200</v>
      </c>
      <c r="N12" s="31" t="s">
        <v>247</v>
      </c>
      <c r="O12" s="31"/>
      <c r="P12" s="26" t="s">
        <v>248</v>
      </c>
      <c r="Q12" s="26" t="s">
        <v>249</v>
      </c>
      <c r="R12" s="26" t="s">
        <v>250</v>
      </c>
      <c r="S12" s="27">
        <v>1947</v>
      </c>
      <c r="T12" s="28">
        <v>24349.14</v>
      </c>
      <c r="U12" s="26" t="s">
        <v>251</v>
      </c>
    </row>
    <row r="13" spans="1:42">
      <c r="A13" s="30">
        <v>1</v>
      </c>
      <c r="B13" s="31" t="s">
        <v>164</v>
      </c>
      <c r="C13" s="32" t="s">
        <v>252</v>
      </c>
      <c r="D13" s="31" t="s">
        <v>244</v>
      </c>
      <c r="E13" s="31" t="s">
        <v>253</v>
      </c>
      <c r="F13" s="31" t="s">
        <v>246</v>
      </c>
      <c r="G13" s="33">
        <v>1958</v>
      </c>
      <c r="H13" s="31"/>
      <c r="I13" s="34">
        <v>46015</v>
      </c>
      <c r="J13" s="31">
        <v>2</v>
      </c>
      <c r="K13" s="35"/>
      <c r="L13" s="32"/>
      <c r="M13" s="36" t="s">
        <v>200</v>
      </c>
      <c r="N13" s="31" t="s">
        <v>247</v>
      </c>
      <c r="O13" s="31"/>
      <c r="P13" s="26" t="s">
        <v>254</v>
      </c>
      <c r="Q13" s="26" t="s">
        <v>255</v>
      </c>
      <c r="R13" s="26" t="s">
        <v>256</v>
      </c>
      <c r="S13" s="27">
        <v>1958</v>
      </c>
      <c r="T13" s="28">
        <v>24486.83</v>
      </c>
      <c r="U13" s="26" t="s">
        <v>257</v>
      </c>
    </row>
    <row r="14" spans="1:42">
      <c r="A14" s="30">
        <v>1</v>
      </c>
      <c r="B14" s="31" t="s">
        <v>164</v>
      </c>
      <c r="C14" s="32" t="s">
        <v>258</v>
      </c>
      <c r="D14" s="31" t="s">
        <v>244</v>
      </c>
      <c r="E14" s="31" t="s">
        <v>259</v>
      </c>
      <c r="F14" s="31" t="s">
        <v>246</v>
      </c>
      <c r="G14" s="33">
        <v>1953</v>
      </c>
      <c r="H14" s="31"/>
      <c r="I14" s="34">
        <v>46015</v>
      </c>
      <c r="J14" s="31">
        <v>2</v>
      </c>
      <c r="K14" s="35"/>
      <c r="L14" s="32"/>
      <c r="M14" s="36" t="s">
        <v>200</v>
      </c>
      <c r="N14" s="31" t="s">
        <v>247</v>
      </c>
      <c r="O14" s="31"/>
      <c r="P14" s="26" t="s">
        <v>260</v>
      </c>
      <c r="Q14" s="26" t="s">
        <v>255</v>
      </c>
      <c r="R14" s="26" t="s">
        <v>261</v>
      </c>
      <c r="S14" s="27">
        <v>1953</v>
      </c>
      <c r="T14" s="28">
        <v>24424.28</v>
      </c>
      <c r="U14" s="26" t="s">
        <v>251</v>
      </c>
    </row>
    <row r="15" spans="1:42">
      <c r="A15" s="30">
        <v>2</v>
      </c>
      <c r="B15" s="31" t="s">
        <v>164</v>
      </c>
      <c r="C15" s="32" t="s">
        <v>262</v>
      </c>
      <c r="D15" s="31" t="s">
        <v>263</v>
      </c>
      <c r="E15" s="31" t="s">
        <v>264</v>
      </c>
      <c r="F15" s="31" t="s">
        <v>265</v>
      </c>
      <c r="G15" s="33">
        <v>1875</v>
      </c>
      <c r="H15" s="31"/>
      <c r="I15" s="34">
        <v>46013</v>
      </c>
      <c r="J15" s="31">
        <v>2</v>
      </c>
      <c r="K15" s="35"/>
      <c r="L15" s="32"/>
      <c r="M15" s="36"/>
      <c r="N15" s="31" t="s">
        <v>266</v>
      </c>
      <c r="O15" s="31"/>
      <c r="P15" s="26" t="s">
        <v>267</v>
      </c>
      <c r="Q15" s="26" t="s">
        <v>268</v>
      </c>
      <c r="R15" s="26" t="s">
        <v>269</v>
      </c>
      <c r="S15" s="27">
        <v>1875</v>
      </c>
      <c r="T15" s="28">
        <v>23197.5</v>
      </c>
      <c r="U15" s="26" t="s">
        <v>257</v>
      </c>
    </row>
    <row r="16" spans="1:42">
      <c r="A16" s="30">
        <v>2</v>
      </c>
      <c r="B16" s="31" t="s">
        <v>164</v>
      </c>
      <c r="C16" s="32" t="s">
        <v>270</v>
      </c>
      <c r="D16" s="31" t="s">
        <v>263</v>
      </c>
      <c r="E16" s="31" t="s">
        <v>271</v>
      </c>
      <c r="F16" s="31" t="s">
        <v>238</v>
      </c>
      <c r="G16" s="33">
        <v>1980</v>
      </c>
      <c r="H16" s="31"/>
      <c r="I16" s="34">
        <v>46015</v>
      </c>
      <c r="J16" s="31">
        <v>2</v>
      </c>
      <c r="K16" s="35"/>
      <c r="L16" s="32"/>
      <c r="M16" s="36"/>
      <c r="N16" s="31"/>
      <c r="O16" s="31"/>
      <c r="P16" s="26" t="s">
        <v>270</v>
      </c>
      <c r="Q16" s="26" t="s">
        <v>272</v>
      </c>
      <c r="R16" s="26" t="s">
        <v>273</v>
      </c>
      <c r="S16" s="27">
        <v>1980</v>
      </c>
      <c r="T16" s="28">
        <v>24948</v>
      </c>
      <c r="U16" s="26" t="s">
        <v>274</v>
      </c>
    </row>
    <row r="17" spans="1:21">
      <c r="A17" s="30">
        <v>2</v>
      </c>
      <c r="B17" s="31" t="s">
        <v>164</v>
      </c>
      <c r="C17" s="32" t="s">
        <v>275</v>
      </c>
      <c r="D17" s="31" t="s">
        <v>244</v>
      </c>
      <c r="E17" s="31" t="s">
        <v>276</v>
      </c>
      <c r="F17" s="31" t="s">
        <v>246</v>
      </c>
      <c r="G17" s="33">
        <v>1953</v>
      </c>
      <c r="H17" s="31"/>
      <c r="I17" s="34">
        <v>46015</v>
      </c>
      <c r="J17" s="31">
        <v>2</v>
      </c>
      <c r="K17" s="35"/>
      <c r="L17" s="32"/>
      <c r="M17" s="36" t="s">
        <v>200</v>
      </c>
      <c r="N17" s="31" t="s">
        <v>247</v>
      </c>
      <c r="O17" s="31"/>
      <c r="P17" s="26" t="s">
        <v>277</v>
      </c>
      <c r="Q17" s="26" t="s">
        <v>249</v>
      </c>
      <c r="R17" s="26" t="s">
        <v>278</v>
      </c>
      <c r="S17" s="27">
        <v>1953</v>
      </c>
      <c r="T17" s="28">
        <v>24424.29</v>
      </c>
      <c r="U17" s="26" t="s">
        <v>251</v>
      </c>
    </row>
    <row r="18" spans="1:21">
      <c r="A18" s="30">
        <v>2</v>
      </c>
      <c r="B18" s="31" t="s">
        <v>164</v>
      </c>
      <c r="C18" s="32" t="s">
        <v>279</v>
      </c>
      <c r="D18" s="31" t="s">
        <v>280</v>
      </c>
      <c r="E18" s="31" t="s">
        <v>281</v>
      </c>
      <c r="F18" s="31" t="s">
        <v>199</v>
      </c>
      <c r="G18" s="33">
        <v>1800</v>
      </c>
      <c r="H18" s="31"/>
      <c r="I18" s="34">
        <v>46015</v>
      </c>
      <c r="J18" s="31">
        <v>1</v>
      </c>
      <c r="K18" s="35"/>
      <c r="L18" s="32"/>
      <c r="M18" s="36"/>
      <c r="N18" s="31"/>
      <c r="O18" s="31"/>
      <c r="P18" s="26" t="s">
        <v>279</v>
      </c>
      <c r="Q18" s="26" t="s">
        <v>282</v>
      </c>
      <c r="R18" s="26" t="s">
        <v>283</v>
      </c>
      <c r="S18" s="27">
        <v>1800</v>
      </c>
      <c r="T18" s="28">
        <v>21000</v>
      </c>
      <c r="U18" s="26" t="s">
        <v>274</v>
      </c>
    </row>
    <row r="19" spans="1:21">
      <c r="A19" s="30">
        <v>2</v>
      </c>
      <c r="B19" s="31" t="s">
        <v>164</v>
      </c>
      <c r="C19" s="32" t="s">
        <v>284</v>
      </c>
      <c r="D19" s="31" t="s">
        <v>285</v>
      </c>
      <c r="E19" s="31" t="s">
        <v>286</v>
      </c>
      <c r="F19" s="31" t="s">
        <v>287</v>
      </c>
      <c r="G19" s="33">
        <v>1100</v>
      </c>
      <c r="H19" s="31"/>
      <c r="I19" s="34">
        <v>46015</v>
      </c>
      <c r="J19" s="31">
        <v>1</v>
      </c>
      <c r="K19" s="35"/>
      <c r="L19" s="32"/>
      <c r="M19" s="36">
        <v>20</v>
      </c>
      <c r="N19" s="31"/>
      <c r="O19" s="31"/>
      <c r="P19" s="26" t="s">
        <v>284</v>
      </c>
      <c r="Q19" s="26" t="s">
        <v>282</v>
      </c>
      <c r="R19" s="26" t="s">
        <v>288</v>
      </c>
      <c r="S19" s="27">
        <v>1100</v>
      </c>
      <c r="T19" s="28">
        <v>10520</v>
      </c>
      <c r="U19" s="26" t="s">
        <v>274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XML문자열</vt:lpstr>
      <vt:lpstr>XML컨1개</vt:lpstr>
      <vt:lpstr>진행정보와XML매칭</vt:lpstr>
      <vt:lpstr>정리정보</vt:lpstr>
      <vt:lpstr>상황</vt:lpstr>
      <vt:lpstr>Sheet5</vt:lpstr>
      <vt:lpstr>Sheet6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dcterms:created xsi:type="dcterms:W3CDTF">2025-12-23T01:38:32Z</dcterms:created>
  <dcterms:modified xsi:type="dcterms:W3CDTF">2025-12-24T07:05:44Z</dcterms:modified>
</cp:coreProperties>
</file>