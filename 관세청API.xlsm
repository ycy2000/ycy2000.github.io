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COM\Documents\git_project\ycy2000.github.io\"/>
    </mc:Choice>
  </mc:AlternateContent>
  <bookViews>
    <workbookView xWindow="-120" yWindow="-120" windowWidth="29040" windowHeight="15720" activeTab="2"/>
  </bookViews>
  <sheets>
    <sheet name="예정" sheetId="4" r:id="rId1"/>
    <sheet name="리스트" sheetId="11" r:id="rId2"/>
    <sheet name="입항관리" sheetId="5" r:id="rId3"/>
    <sheet name="XML컨1개" sheetId="6" r:id="rId4"/>
    <sheet name="결과있을때" sheetId="7" r:id="rId5"/>
    <sheet name="정리정보" sheetId="8" r:id="rId6"/>
    <sheet name="연습" sheetId="10" r:id="rId7"/>
    <sheet name="Sheet1" sheetId="12" r:id="rId8"/>
    <sheet name="연습2" sheetId="13" r:id="rId9"/>
    <sheet name="보관" sheetId="14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10" l="1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17" i="5"/>
  <c r="E16" i="5"/>
  <c r="E13" i="5"/>
  <c r="E12" i="5"/>
  <c r="E11" i="5"/>
  <c r="F1" i="5" s="1"/>
  <c r="E10" i="5"/>
  <c r="E8" i="5"/>
  <c r="J2" i="5"/>
  <c r="K1" i="5"/>
  <c r="A1" i="5"/>
  <c r="U35" i="4" l="1"/>
  <c r="U34" i="4"/>
  <c r="U33" i="4"/>
  <c r="U31" i="4"/>
  <c r="U30" i="4"/>
  <c r="U29" i="4"/>
  <c r="U28" i="4"/>
  <c r="U27" i="4"/>
  <c r="U26" i="4"/>
  <c r="U25" i="4"/>
  <c r="U24" i="4"/>
  <c r="AK1" i="11" l="1"/>
  <c r="O1" i="11" l="1"/>
</calcChain>
</file>

<file path=xl/sharedStrings.xml><?xml version="1.0" encoding="utf-8"?>
<sst xmlns="http://schemas.openxmlformats.org/spreadsheetml/2006/main" count="2477" uniqueCount="1175">
  <si>
    <t>화물관리번호</t>
  </si>
  <si>
    <t>&lt;?xml version="1.0" encoding="UTF-8" standalone="yes"?&gt;&lt;cargCsclPrgsInfoQryRtnVo&gt;&lt;ntceInfo&gt;&lt;/ntceInfo&gt;&lt;cargCsclPrgsInfoQryVo&gt;&lt;csclPrgsStts&gt;수입신고전&lt;/csclPrgsStts&gt;&lt;vydf&gt;2521N&lt;/vydf&gt;&lt;rlseDtyPridPassTpcd&gt;N&lt;/rlseDtyPridPassTpcd&gt;&lt;prnm&gt;FROZEN NOBASHI VANNAMEI SHRIMP&lt;/prnm&gt;&lt;ldprCd&gt;VNSGN&lt;/ldprCd&gt;&lt;shipNat&gt;KR&lt;/shipNat&gt;&lt;blPt&gt;S&lt;/blPt&gt;&lt;dsprNm&gt;부산항&lt;/dsprNm&gt;&lt;etprDt&gt;20251221&lt;/etprDt&gt;&lt;prgsStCd&gt;CAGG02&lt;/prgsStCd&gt;&lt;msrm&gt;50&lt;/msrm&gt;&lt;wghtUt&gt;KG&lt;/wghtUt&gt;&lt;dsprCd&gt;KRPUS&lt;/dsprCd&gt;&lt;cntrGcnt&gt;1&lt;/cntrGcnt&gt;&lt;cargTp&gt;수입 일반화물&lt;/cargTp&gt;&lt;shcoFlcoSgn&gt;SNKO&lt;/shcoFlcoSgn&gt;&lt;pckGcnt&gt;2100&lt;/pckGcnt&gt;&lt;etprCstm&gt;부산세관&lt;/etprCstm&gt;&lt;shipNm&gt;SAWASDEE PACIFIC&lt;/shipNm&gt;&lt;hblNo&gt;&lt;/hblNo&gt;&lt;prcsDttm&gt;20251223094258&lt;/prcsDttm&gt;&lt;frwrSgn&gt;&lt;/frwrSgn&gt;&lt;spcnCargCd&gt;&lt;/spcnCargCd&gt;&lt;ttwg&gt;15120&lt;/ttwg&gt;&lt;ldprNm&gt;Ho Chi Minh City&lt;/ldprNm&gt;&lt;dclrDelyAdtxYn&gt;N&lt;/dclrDelyAdtxYn&gt;&lt;mtTrgtCargYnNm&gt;N&lt;/mtTrgtCargYnNm&gt;&lt;cargMtNo&gt;25SNKO4814I1012&lt;/cargMtNo&gt;&lt;cntrNo&gt;SEGU9786733&lt;/cntrNo&gt;&lt;mblNo&gt;HASLS21251200826&lt;/mblNo&gt;&lt;blPtNm&gt;Simple&lt;/blPtNm&gt;&lt;lodCntyCd&gt;VN&lt;/lodCntyCd&gt;&lt;prgsStts&gt;보세운송 신고 수리&lt;/prgsStts&gt;&lt;shcoFlco&gt;장금상선(주)&lt;/shcoFlco&gt;&lt;pckUt&gt;CT&lt;/pckUt&gt;&lt;shipNatNm&gt;한국&lt;/shipNatNm&gt;&lt;agnc&gt;장금상선(주)&lt;/agnc&gt;&lt;frwrEntsConm&gt;&lt;/frwrEntsConm&gt;&lt;/cargCsclPrgsInfoQryVo&gt;&lt;tCnt&gt;8&lt;/tCnt&gt;&lt;cargCsclPrgsInfoDtlQryVo&gt;&lt;shedNm&gt;신선대감만터미널(주) 신선대CY&lt;/shedNm&gt;&lt;prcsDttm&gt;20251223094258&lt;/prcsDttm&gt;&lt;dclrNo&gt;030D8039307025U00654&lt;/dclrNo&gt;&lt;rlbrDttm&gt;(도)03011597동일냉장(주&lt;/rlbrDttm&gt;&lt;wght&gt;15120&lt;/wght&gt;&lt;rlbrBssNo&gt;(주)부산특수물류&lt;/rlbrBssNo&gt;&lt;bfhnGdncCn&gt;&lt;/bfhnGdncCn&gt;&lt;wghtUt&gt;KG&lt;/wghtUt&gt;&lt;pckGcnt&gt;2100&lt;/pckGcnt&gt;&lt;cargTrcnRelaBsopTpcd&gt;보세운송 신고 수리&lt;/cargTrcnRelaBsopTpcd&gt;&lt;pckUt&gt;CT&lt;/pckUt&gt;&lt;rlbrCn&gt;&lt;/rlbrCn&gt;&lt;shedSgn&gt;03077016&lt;/shedSgn&gt;&lt;/cargCsclPrgsInfoDtlQryVo&gt;&lt;cargCsclPrgsInfoDtlQryVo&gt;&lt;shedNm&gt;신선대감만터미널(주)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20251223094055&lt;/prcsDttm&gt;&lt;dclrNo&gt;030D8039307025U00654&lt;/dclrNo&gt;&lt;rlbrDttm&gt;&lt;/rlbrDttm&gt;&lt;wght&gt;15120&lt;/wght&gt;&lt;rlbrBssNo&gt;&lt;/rlbrBssNo&gt;&lt;bfhnGdncCn&gt;&lt;/bfhnGdncCn&gt;&lt;wghtUt&gt;KG&lt;/wghtUt&gt;&lt;pckGcnt&gt;2100&lt;/pckGcnt&gt;&lt;cargTrcnRelaBsopTpcd&gt;보세운송 신고 접수&lt;/cargTrcnRelaBsopTpcd&gt;&lt;pckUt&gt;CT&lt;/pckUt&gt;&lt;rlbrCn&gt;&lt;/rlbrCn&gt;&lt;shedSgn&gt;03077016&lt;/shedSgn&gt;&lt;/cargCsclPrgsInfoDtlQryVo&gt;&lt;cargCsclPrgsInfoDtlQryVo&gt;&lt;shedNm&gt;신선대감만터미널(주) 신선대CY&lt;/shedNm&gt;&lt;prcsDttm&gt;20251222001047&lt;/prcsDttm&gt;&lt;dclrNo&gt;03077016250515274A&lt;/dclrNo&gt;&lt;rlbrDttm&gt;2025-12-22 00:01:11&lt;/rlbrDttm&gt;&lt;wght&gt;15120&lt;/wght&gt;&lt;rlbrBssNo&gt;&lt;/rlbrBssNo&gt;&lt;bfhnGdncCn&gt;[부가사항] 신선대감만터미널(주) 신선대CY의 장치기간은 최대 3 개월 입니다.&lt;/bfhnGdncCn&gt;&lt;wghtUt&gt;KG&lt;/wghtUt&gt;&lt;pckGcnt&gt;2100&lt;/pckGcnt&gt;&lt;cargTrcnRelaBsopTpcd&gt;반입신고&lt;/cargTrcnRelaBsopTpcd&gt;&lt;pckUt&gt;CT&lt;/pckUt&gt;&lt;rlbrCn&gt;입항 반입&lt;/rlbrCn&gt;&lt;shedSgn&gt;03077016&lt;/shedSgn&gt;&lt;/cargCsclPrgsInfoDtlQryVo&gt;&lt;cargCsclPrgsInfoDtlQryVo&gt;&lt;shedNm&gt;&lt;/shedNm&gt;&lt;prcsDttm&gt;20251221141849&lt;/prcsDttm&gt;&lt;dclrNo&gt;25SNKO4814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20251221141848&lt;/prcsDttm&gt;&lt;dclrNo&gt;25SNKO4814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수리&lt;/cargTrcnRelaBsopTpcd&gt;&lt;pckUt&gt;&lt;/pckUt&gt;&lt;rlbrCn&gt;&lt;/rlbrCn&gt;&lt;shedSgn&gt;&lt;/shedSgn&gt;&lt;/cargCsclPrgsInfoDtlQryVo&gt;&lt;cargCsclPrgsInfoDtlQryVo&gt;&lt;shedNm&gt;신선대감만터미널(주) 신선대CY&lt;/shedNm&gt;&lt;prcsDttm&gt;20251219170415&lt;/prcsDttm&gt;&lt;dclrNo&gt;25030149921&lt;/dclrNo&gt;&lt;rlbrDttm&gt;&lt;/rlbrDttm&gt;&lt;wght&gt;15120&lt;/wght&gt;&lt;rlbrBssNo&gt;하선반입기한:2025-12-26&lt;/rlbrBssNo&gt;&lt;bfhnGdncCn&gt;&lt;/bfhnGdncCn&gt;&lt;wghtUt&gt;KG&lt;/wghtUt&gt;&lt;pckGcnt&gt;2100&lt;/pckGcnt&gt;&lt;cargTrcnRelaBsopTpcd&gt;하선신고 수리&lt;/cargTrcnRelaBsopTpcd&gt;&lt;pckUt&gt;CT&lt;/pckUt&gt;&lt;rlbrCn&gt;&lt;/rlbrCn&gt;&lt;shedSgn&gt;03077016&lt;/shedSgn&gt;&lt;/cargCsclPrgsInfoDtlQryVo&gt;&lt;cargCsclPrgsInfoDtlQryVo&gt;&lt;shedNm&gt;신선대감만터미널(주)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20251219155040&lt;/prcsDttm&gt;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심사완료&lt;/cargTrcnRelaBsopTpcd&gt;&lt;pckUt&gt;CT&lt;/pckUt&gt;&lt;rlbrCn&gt;&lt;/rlbrCn&gt;&lt;shedSgn&gt;03077016&lt;/shedSgn&gt;&lt;/cargCsclPrgsInfoDtlQryVo&gt;&lt;cargCsclPrgsInfoDtlQryVo&gt;&lt;shedNm&gt;신선대감만터미널(주)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20251219144255&lt;/prcsDttm&gt;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제출&lt;/cargTrcnRelaBsopTpcd&gt;&lt;pckUt&gt;CT&lt;/pckUt&gt;&lt;rlbrCn&gt;&lt;/rlbrCn&gt;&lt;shedSgn&gt;03077016&lt;/shedSgn&gt;&lt;/cargCsclPrgsInfoDtlQryVo&gt;&lt;/cargCsclPrgsInfoQryRtnVo&gt;</t>
    <phoneticPr fontId="1" type="noConversion"/>
  </si>
  <si>
    <t>&lt;cargCsclPrgsInfoQryRtnVo&gt;</t>
    <phoneticPr fontId="1" type="noConversion"/>
  </si>
  <si>
    <t>&lt;?xml version="1.0" encoding="UTF-8" standalone="yes"?&gt;</t>
    <phoneticPr fontId="1" type="noConversion"/>
  </si>
  <si>
    <t>&lt;prnm&gt;FROZEN NOBASHI VANNAMEI SHRIMP&lt;/prnm&gt;&lt;ldprCd&gt;VNSGN&lt;/ldprCd&gt;&lt;shipNat&gt;KR&lt;/shipNat&gt;&lt;blPt&gt;S&lt;/blPt&gt;&lt;dsprNm&gt;부산항&lt;/dsprNm&gt;&lt;etprDt&gt;20251221&lt;/etprDt&gt;&lt;prgsStCd&gt;CAGG02&lt;/prgsStCd&gt;</t>
    <phoneticPr fontId="1" type="noConversion"/>
  </si>
  <si>
    <t>&lt;msrm&gt;50&lt;/msrm&gt;&lt;wghtUt&gt;KG&lt;/wghtUt&gt;&lt;dsprCd&gt;KRPUS&lt;/dsprCd&gt;&lt;cntrGcnt&gt;1&lt;/cntrGcnt&gt;&lt;cargTp&gt;수입 일반화물&lt;/cargTp&gt;&lt;shcoFlcoSgn&gt;SNKO&lt;/shcoFlcoSgn&gt;&lt;pckGcnt&gt;2100&lt;/pckGcnt&gt;&lt;etprCstm&gt;부산세관&lt;/etprCstm&gt;</t>
    <phoneticPr fontId="1" type="noConversion"/>
  </si>
  <si>
    <t>&lt;shipNm&gt;SAWASDEE PACIFIC&lt;/shipNm&gt;&lt;hblNo&gt;&lt;/hblNo&gt;&lt;prcsDttm&gt;20251223094258&lt;/prcsDttm&gt;&lt;frwrSgn&gt;&lt;/frwrSgn&gt;&lt;spcnCargCd&gt;&lt;/spcnCargCd&gt;&lt;ttwg&gt;15120&lt;/ttwg&gt;&lt;ldprNm&gt;Ho Chi Minh City&lt;/ldprNm&gt;</t>
    <phoneticPr fontId="1" type="noConversion"/>
  </si>
  <si>
    <t>&lt;lodCntyCd&gt;VN&lt;/lodCntyCd&gt;&lt;prgsStts&gt;보세운송 신고 수리&lt;/prgsStts&gt;&lt;shcoFlco&gt;장금상선(주)&lt;/shcoFlco&gt;&lt;pckUt&gt;CT&lt;/pckUt&gt;&lt;shipNatNm&gt;한국&lt;/shipNatNm&gt;&lt;agnc&gt;장금상선(주)&lt;/agnc&gt;&lt;frwrEntsConm&gt;&lt;/frwrEntsConm&gt;</t>
    <phoneticPr fontId="1" type="noConversion"/>
  </si>
  <si>
    <t>&lt;/cargCsclPrgsInfoQryVo&gt;</t>
    <phoneticPr fontId="1" type="noConversion"/>
  </si>
  <si>
    <t>&lt;tCnt&gt;8&lt;/tCnt&gt;</t>
    <phoneticPr fontId="1" type="noConversion"/>
  </si>
  <si>
    <t>&lt;cargCsclPrgsInfoDtlQryVo&gt;</t>
    <phoneticPr fontId="1" type="noConversion"/>
  </si>
  <si>
    <t>&lt;shedNm&gt;신선대감만터미널(주) 신선대CY&lt;/shedNm&gt;&lt;prcsDttm&gt;20251223094258&lt;/prcsDttm&gt;&lt;dclrNo&gt;030D8039307025U00654&lt;/dclrNo&gt;&lt;rlbrDttm&gt;(도)03011597동일냉장(주&lt;/rlbrDttm&gt;&lt;wght&gt;15120&lt;/wght&gt;</t>
    <phoneticPr fontId="1" type="noConversion"/>
  </si>
  <si>
    <t>&lt;rlbrBssNo&gt;(주)부산특수물류&lt;/rlbrBssNo&gt;&lt;bfhnGdncCn&gt;&lt;/bfhnGdncCn&gt;&lt;wghtUt&gt;KG&lt;/wghtUt&gt;&lt;pckGcnt&gt;2100&lt;/pckGcnt&gt;&lt;cargTrcnRelaBsopTpcd&gt;보세운송 신고 수리&lt;/cargTrcnRelaBsopTpcd&gt;</t>
    <phoneticPr fontId="1" type="noConversion"/>
  </si>
  <si>
    <t>&lt;dclrNo&gt;030D8039307025U00654&lt;/dclrNo&gt;&lt;rlbrDttm&gt;&lt;/rlbrDttm&gt;&lt;wght&gt;15120&lt;/wght&gt;&lt;rlbrBssNo&gt;&lt;/rlbrBssNo&gt;&lt;bfhnGdncCn&gt;&lt;/bfhnGdncCn&gt;&lt;wghtUt&gt;KG&lt;/wghtUt&gt;&lt;pckGcnt&gt;2100&lt;/pckGcnt&gt;</t>
    <phoneticPr fontId="1" type="noConversion"/>
  </si>
  <si>
    <t>&lt;shedNm&gt;신선대감만터미널(주) 신선대CY&lt;/shedNm&gt;&lt;prcsDttm&gt;20251222001047&lt;/prcsDttm&gt;&lt;dclrNo&gt;03077016250515274A&lt;/dclrNo&gt;&lt;rlbrDttm&gt;2025-12-22 00:01:11&lt;/rlbrDttm&gt;&lt;wght&gt;15120&lt;/wght&gt;</t>
    <phoneticPr fontId="1" type="noConversion"/>
  </si>
  <si>
    <t>&lt;rlbrBssNo&gt;&lt;/rlbrBssNo&gt;&lt;bfhnGdncCn&gt;[부가사항] 신선대감만터미널(주) 신선대CY의 장치기간은 최대 3 개월 입니다.&lt;/bfhnGdncCn&gt;</t>
    <phoneticPr fontId="1" type="noConversion"/>
  </si>
  <si>
    <t>&lt;wghtUt&gt;KG&lt;/wghtUt&gt;&lt;pckGcnt&gt;2100&lt;/pckGcnt&gt;&lt;cargTrcnRelaBsopTpcd&gt;반입신고&lt;/cargTrcnRelaBsopTpcd&gt;&lt;pckUt&gt;CT&lt;/pckUt&gt;&lt;rlbrCn&gt;입항 반입&lt;/rlbrCn&gt;</t>
    <phoneticPr fontId="1" type="noConversion"/>
  </si>
  <si>
    <t>&lt;wght&gt;&lt;/wght&gt;&lt;rlbrBssNo&gt;&lt;/rlbrBssNo&gt;&lt;bfhnGdncCn&gt;&lt;/bfhnGdncCn&gt;&lt;wghtUt&gt;KG&lt;/wghtUt&gt;&lt;pckGcnt&gt;0&lt;/pckGcnt&gt;&lt;cargTrcnRelaBsopTpcd&gt;입항적재화물목록 운항정보 정정&lt;/cargTrcnRelaBsopTpcd&gt;</t>
    <phoneticPr fontId="1" type="noConversion"/>
  </si>
  <si>
    <t>&lt;rlbrDttm&gt;&lt;/rlbrDttm&gt;&lt;wght&gt;&lt;/wght&gt;&lt;rlbrBssNo&gt;&lt;/rlbrBssNo&gt;&lt;bfhnGdncCn&gt;&lt;/bfhnGdncCn&gt;&lt;wghtUt&gt;KG&lt;/wghtUt&gt;&lt;pckGcnt&gt;0&lt;/pckGcnt&gt;&lt;cargTrcnRelaBsopTpcd&gt;입항보고 수리&lt;/cargTrcnRelaBsopTpcd&gt;</t>
    <phoneticPr fontId="1" type="noConversion"/>
  </si>
  <si>
    <t>&lt;bfhnGdncCn&gt;&lt;/bfhnGdncCn&gt;&lt;wghtUt&gt;KG&lt;/wghtUt&gt;&lt;pckGcnt&gt;2100&lt;/pckGcnt&gt;&lt;cargTrcnRelaBsopTpcd&gt;하선신고 수리&lt;/cargTrcnRelaBsopTpcd&gt;</t>
    <phoneticPr fontId="1" type="noConversion"/>
  </si>
  <si>
    <t>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심사완료&lt;/cargTrcnRelaBsopTpcd&gt;</t>
    <phoneticPr fontId="1" type="noConversion"/>
  </si>
  <si>
    <t>&lt;/cargCsclPrgsInfoQryRtnVo&gt;</t>
    <phoneticPr fontId="1" type="noConversion"/>
  </si>
  <si>
    <t>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</si>
  <si>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</si>
  <si>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&lt;shedNm&gt;신선대감만터미널(주) 신선대CY&lt;/shedNm&gt;&lt;prcsDttm&gt;20251223094055&lt;/prcsDttm&gt;</t>
    <phoneticPr fontId="1" type="noConversion"/>
  </si>
  <si>
    <t>&lt;cargTrcnRelaBsopTpcd&gt;보세운송 신고 접수&lt;/cargTrcnRelaBsopTpcd&gt;&lt;pckUt&gt;CT&lt;/pckUt&gt;&lt;rlbrCn&gt;&lt;/rlbrCn&gt;&lt;shedSgn&gt;03077016&lt;/shedSgn&gt;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</si>
  <si>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</si>
  <si>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&lt;cargCsclPrgsInfoDtlQryVo&gt;</t>
    <phoneticPr fontId="1" type="noConversion"/>
  </si>
  <si>
    <t>&lt;pckUt&gt;&lt;/pckUt&gt;&lt;rlbrCn&gt;&lt;/rlbrCn&gt;&lt;shedSgn&gt;&lt;/shedSgn&gt;</t>
    <phoneticPr fontId="1" type="noConversion"/>
  </si>
  <si>
    <t>&lt;/cargCsclPrgsInfoDtlQryVo&gt;</t>
    <phoneticPr fontId="1" type="noConversion"/>
  </si>
  <si>
    <t>&lt;cargCsclPrgsInfoDtlQryVo&gt;</t>
    <phoneticPr fontId="1" type="noConversion"/>
  </si>
  <si>
    <t>&lt;shedNm&gt;&lt;/shedNm&gt;&lt;prcsDttm&gt;20251221141848&lt;/prcsDttm&gt;&lt;dclrNo&gt;25SNKO4814I&lt;/dclrNo&gt;</t>
    <phoneticPr fontId="1" type="noConversion"/>
  </si>
  <si>
    <t>&lt;shedNm&gt;신선대감만터미널(주) 신선대CY&lt;/shedNm&gt;&lt;prcsDttm&gt;20251219170415&lt;/prcsDttm&gt;&lt;dclrNo&gt;25030149921&lt;/dclrNo&gt;&lt;rlbrDttm&gt;&lt;/rlbrDttm&gt;&lt;wght&gt;15120&lt;/wght&gt;&lt;rlbrBssNo&gt;하선반입기한:2025-12-26&lt;/rlbrBssNo&gt;</t>
    <phoneticPr fontId="1" type="noConversion"/>
  </si>
  <si>
    <t>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</si>
  <si>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</si>
  <si>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&lt;shedNm&gt;신선대감만터미널(주) 신선대CY&lt;/shedNm&gt;&lt;prcsDttm&gt;20251219155040&lt;/prcsDttm&gt;</t>
    <phoneticPr fontId="1" type="noConversion"/>
  </si>
  <si>
    <t>&lt;shedNm&gt;신선대감만터미널(주) 신선대CY&lt;/shedNm&gt;&lt;prcsDttm&gt;20251219144255&lt;/prcsDttm&gt;&lt;dclrNo&gt;&lt;/dclrNo&gt;&lt;rlbrDttm&gt;&lt;/rlbrDttm&gt;&lt;wght&gt;15120&lt;/wght&gt;&lt;rlbrBssNo&gt;&lt;/rlbrBssNo&gt;&lt;bfhnGdncCn&gt;&lt;/bfhnGdncCn&gt;&lt;wghtUt&gt;KG&lt;/wghtUt&gt;&lt;pckGcnt&gt;2100&lt;/pckGcnt&gt;</t>
    <phoneticPr fontId="1" type="noConversion"/>
  </si>
  <si>
    <t>&lt;cargTrcnRelaBsopTpcd&gt;입항적재화물목록 제출&lt;/cargTrcnRelaBsopTpcd&gt;&lt;pckUt&gt;CT&lt;/pckUt&gt;&lt;rlbrCn&gt;&lt;/rlbrCn&gt;&lt;shedSgn&gt;03077016&lt;/shedSgn&gt;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</si>
  <si>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</si>
  <si>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&lt;ntceInfo&gt;&lt;/ntceInfo&gt;</t>
    <phoneticPr fontId="1" type="noConversion"/>
  </si>
  <si>
    <t>&lt;cargCsclPrgsInfoQryVo&gt;</t>
    <phoneticPr fontId="1" type="noConversion"/>
  </si>
  <si>
    <t>&lt;csclPrgsStts&gt;수입신고전&lt;/csclPrgsStts&gt;&lt;vydf&gt;2521N&lt;/vydf&gt;&lt;rlseDtyPridPassTpcd&gt;N&lt;/rlseDtyPridPassTpcd&gt;</t>
    <phoneticPr fontId="1" type="noConversion"/>
  </si>
  <si>
    <t>&lt;shedSgn&gt;03077016&lt;/shedSgn&gt;&lt;/cargCsclPrgsInfoDtlQryVo&gt;&lt;cargCsclPrgsInfoDtlQryVo&gt;&lt;shedNm&gt;&lt;/shedNm&gt;&lt;prcsDttm&gt;20251221141849&lt;/prcsDttm&gt;&lt;rlbrDttm&gt;&lt;/rlbrDttm&gt;</t>
    <phoneticPr fontId="1" type="noConversion"/>
  </si>
  <si>
    <t>&lt;dclrNo&gt;25SNKO4814I00000001&lt;/dclrNo&gt;</t>
    <phoneticPr fontId="1" type="noConversion"/>
  </si>
  <si>
    <t>&lt;cntrNo&gt;SEGU9786733&lt;/cntrNo&gt;&lt;mblNo&gt;HASLS21251200826&lt;/mblNo&gt;</t>
    <phoneticPr fontId="1" type="noConversion"/>
  </si>
  <si>
    <t>조회결과가 없을때 : 메시지가 아닌 없다는 결과 CONT -1</t>
    <phoneticPr fontId="1" type="noConversion"/>
  </si>
  <si>
    <t>Option Explicit</t>
  </si>
  <si>
    <t>Const SERVICE_KEY As String = "c290s255d192h253h000l090g5"</t>
  </si>
  <si>
    <t>관세청에 기능별로 OPEN API 인증키를 발급받을수 있음.</t>
    <phoneticPr fontId="1" type="noConversion"/>
  </si>
  <si>
    <t xml:space="preserve">📌 관세청 화물통관진행정보조회 API 기본 URL ==&gt; https://unipass.customs.go.kr:38010/ext/rest/cargCsclPrgsInfoQry/retrieveCargCsclPrgsInfo   </t>
    <phoneticPr fontId="1" type="noConversion"/>
  </si>
  <si>
    <t>지금은 통관진행정보 조회에 한함</t>
    <phoneticPr fontId="1" type="noConversion"/>
  </si>
  <si>
    <t>MASTER BL인지 HOUSE BL인지 모르는 상태에서 BL은 SHEETS("SHEET1").RANGE("A2"),  년도는 SHEETS("SHEET1").RANGE("A2")</t>
    <phoneticPr fontId="1" type="noConversion"/>
  </si>
  <si>
    <t>조회결과가 있을때 화물진행정보를 XML정보로 받을수 있다</t>
    <phoneticPr fontId="1" type="noConversion"/>
  </si>
  <si>
    <t>풀어보면 아래와 같다</t>
    <phoneticPr fontId="1" type="noConversion"/>
  </si>
  <si>
    <t>엑셀 VBA 요청</t>
    <phoneticPr fontId="1" type="noConversion"/>
  </si>
  <si>
    <r>
      <t>&lt;dclrDelyAdtxYn&gt;N&lt;/dclrDelyAdtxYn&gt;&lt;mtTrgtCargYnNm&gt;N&lt;/mtTrgtCargYnNm&gt;</t>
    </r>
    <r>
      <rPr>
        <b/>
        <sz val="11"/>
        <color theme="1"/>
        <rFont val="맑은 고딕"/>
        <family val="3"/>
        <charset val="129"/>
        <scheme val="minor"/>
      </rPr>
      <t>&lt;cargMtNo&gt;25SNKO4814I1012&lt;/cargMtNo&gt;</t>
    </r>
    <r>
      <rPr>
        <sz val="11"/>
        <color theme="1"/>
        <rFont val="맑은 고딕"/>
        <family val="2"/>
        <charset val="129"/>
        <scheme val="minor"/>
      </rPr>
      <t>&lt;blPtNm&gt;Simple&lt;/blPtNm&gt;</t>
    </r>
    <phoneticPr fontId="1" type="noConversion"/>
  </si>
  <si>
    <t>작성</t>
    <phoneticPr fontId="1" type="noConversion"/>
  </si>
  <si>
    <t>면허</t>
  </si>
  <si>
    <t>B/LNO.</t>
  </si>
  <si>
    <t>화주</t>
  </si>
  <si>
    <t>컨테이너NO.</t>
    <phoneticPr fontId="1" type="noConversion"/>
  </si>
  <si>
    <t>품명</t>
  </si>
  <si>
    <t>수량</t>
  </si>
  <si>
    <t>반입NO.</t>
    <phoneticPr fontId="1" type="noConversion"/>
  </si>
  <si>
    <t>입항일</t>
    <phoneticPr fontId="1" type="noConversion"/>
  </si>
  <si>
    <t>구분</t>
    <phoneticPr fontId="1" type="noConversion"/>
  </si>
  <si>
    <t>도착일</t>
    <phoneticPr fontId="1" type="noConversion"/>
  </si>
  <si>
    <t>도착시간</t>
    <phoneticPr fontId="1" type="noConversion"/>
  </si>
  <si>
    <t>운.도VBA</t>
    <phoneticPr fontId="1" type="noConversion"/>
  </si>
  <si>
    <t>화찰BL</t>
    <phoneticPr fontId="1" type="noConversion"/>
  </si>
  <si>
    <t>화찰 선명</t>
    <phoneticPr fontId="1" type="noConversion"/>
  </si>
  <si>
    <t>화찰수량</t>
    <phoneticPr fontId="1" type="noConversion"/>
  </si>
  <si>
    <t>화찰중량</t>
    <phoneticPr fontId="1" type="noConversion"/>
  </si>
  <si>
    <t>화찰입항</t>
    <phoneticPr fontId="1" type="noConversion"/>
  </si>
  <si>
    <t>○</t>
  </si>
  <si>
    <t>BPT신선대</t>
    <phoneticPr fontId="1" type="noConversion"/>
  </si>
  <si>
    <t>우원홀딩스</t>
  </si>
  <si>
    <t>2025.12.19</t>
    <phoneticPr fontId="1" type="noConversion"/>
  </si>
  <si>
    <t/>
  </si>
  <si>
    <t>2025.12.21</t>
    <phoneticPr fontId="1" type="noConversion"/>
  </si>
  <si>
    <t>수월한</t>
  </si>
  <si>
    <t>2025.12.18</t>
    <phoneticPr fontId="1" type="noConversion"/>
  </si>
  <si>
    <t>이마트</t>
  </si>
  <si>
    <t>KMTCLCH5440123</t>
  </si>
  <si>
    <t>참트레이딩</t>
    <phoneticPr fontId="1" type="noConversion"/>
  </si>
  <si>
    <t>KMTCLCH5440123</t>
    <phoneticPr fontId="1" type="noConversion"/>
  </si>
  <si>
    <t>KMTC GWANGYANG</t>
    <phoneticPr fontId="1" type="noConversion"/>
  </si>
  <si>
    <t>25KMTC4207I-0114-</t>
    <phoneticPr fontId="1" type="noConversion"/>
  </si>
  <si>
    <t>HLCUPN4250972800</t>
  </si>
  <si>
    <t>동원홈푸드</t>
  </si>
  <si>
    <t>ACE.PNC</t>
    <phoneticPr fontId="1" type="noConversion"/>
  </si>
  <si>
    <t>HLCUPN4250972800</t>
    <phoneticPr fontId="1" type="noConversion"/>
  </si>
  <si>
    <t>CORCOVADO</t>
    <phoneticPr fontId="1" type="noConversion"/>
  </si>
  <si>
    <t>25HLCU9011I-7003-</t>
    <phoneticPr fontId="1" type="noConversion"/>
  </si>
  <si>
    <t>2025.12.22</t>
    <phoneticPr fontId="1" type="noConversion"/>
  </si>
  <si>
    <t>HLCUPN4250972865</t>
  </si>
  <si>
    <t>HLCUPN4250972865</t>
    <phoneticPr fontId="1" type="noConversion"/>
  </si>
  <si>
    <t>25HLCU9011I-7007-</t>
    <phoneticPr fontId="1" type="noConversion"/>
  </si>
  <si>
    <t>HLCUPN4250972887</t>
  </si>
  <si>
    <t>HLCUPN4250972887</t>
    <phoneticPr fontId="1" type="noConversion"/>
  </si>
  <si>
    <t>25HLCU9011I-7008-</t>
    <phoneticPr fontId="1" type="noConversion"/>
  </si>
  <si>
    <t>SAO500903600</t>
  </si>
  <si>
    <t>대상 주식회사</t>
    <phoneticPr fontId="1" type="noConversion"/>
  </si>
  <si>
    <t>SS신항.DGT</t>
    <phoneticPr fontId="1" type="noConversion"/>
  </si>
  <si>
    <t>SAO500903600</t>
    <phoneticPr fontId="1" type="noConversion"/>
  </si>
  <si>
    <t>KOTA CANTIK</t>
    <phoneticPr fontId="1" type="noConversion"/>
  </si>
  <si>
    <t>25PILK0101I-0003-</t>
    <phoneticPr fontId="1" type="noConversion"/>
  </si>
  <si>
    <t>ZEPHYR LUMOS</t>
  </si>
  <si>
    <t>2025.12.24</t>
  </si>
  <si>
    <t>HLCUPN4250972905</t>
  </si>
  <si>
    <t>HLCUPN4250972905</t>
    <phoneticPr fontId="1" type="noConversion"/>
  </si>
  <si>
    <t>25HLCU9011I-7009-</t>
    <phoneticPr fontId="1" type="noConversion"/>
  </si>
  <si>
    <t>한국축지</t>
  </si>
  <si>
    <t>SEGU9684290</t>
    <phoneticPr fontId="1" type="noConversion"/>
  </si>
  <si>
    <t>CORCOVADO</t>
  </si>
  <si>
    <t>KMTCXMN0839499</t>
    <phoneticPr fontId="1" type="noConversion"/>
  </si>
  <si>
    <t>뉴아시아</t>
    <phoneticPr fontId="1" type="noConversion"/>
  </si>
  <si>
    <t>뉴아시아</t>
  </si>
  <si>
    <t>ONEYSAOF55284400</t>
  </si>
  <si>
    <t>EGLV360500161333</t>
  </si>
  <si>
    <t>HDMUSAOA19640104</t>
  </si>
  <si>
    <t>HDMUSAOA19640111</t>
  </si>
  <si>
    <t>SNKO190251102713</t>
  </si>
  <si>
    <t>HDMUSAOA49544004</t>
  </si>
  <si>
    <t>MEDUFX853510</t>
  </si>
  <si>
    <t>ONEYBKKFCD979700</t>
  </si>
  <si>
    <t>EGLV360500127976</t>
  </si>
  <si>
    <t>대상 주식회사</t>
  </si>
  <si>
    <t>HDMUSAOA31150001</t>
  </si>
  <si>
    <t>HASLC05251203795</t>
  </si>
  <si>
    <t>SAO500856200</t>
  </si>
  <si>
    <t>아스트로스</t>
  </si>
  <si>
    <t>ONEYSAOF50727800</t>
  </si>
  <si>
    <t>현대그린</t>
  </si>
  <si>
    <t>PCSLLCBSC2500048</t>
  </si>
  <si>
    <t>PCSLLCBSC2500049</t>
  </si>
  <si>
    <t>KMTCNBO9268010</t>
  </si>
  <si>
    <t>세현</t>
  </si>
  <si>
    <t>KMTCLCH5446822</t>
  </si>
  <si>
    <t>참트레이딩</t>
  </si>
  <si>
    <t>MEDUJJ143505</t>
  </si>
  <si>
    <t>HDMUSGNA09855200</t>
  </si>
  <si>
    <t>MEDUHI500545</t>
  </si>
  <si>
    <t>EGLV360500167935</t>
  </si>
  <si>
    <t>MAEU721119161</t>
  </si>
  <si>
    <t>SSZ1708682</t>
  </si>
  <si>
    <t>LMM0561277</t>
  </si>
  <si>
    <t>삼영수산</t>
  </si>
  <si>
    <t>LMM0562123</t>
  </si>
  <si>
    <t>EGLV360500171274</t>
  </si>
  <si>
    <t>EGLV360500178431</t>
  </si>
  <si>
    <t>SAO500855900</t>
  </si>
  <si>
    <t>SAO500886100</t>
  </si>
  <si>
    <t>SSZ1720111</t>
  </si>
  <si>
    <t>ONEYSAOF64576806</t>
  </si>
  <si>
    <t>SSZ1711920</t>
  </si>
  <si>
    <t>HLCUPN4251067265</t>
  </si>
  <si>
    <t>HASLS22251200378</t>
  </si>
  <si>
    <t>SNKO190251201016</t>
  </si>
  <si>
    <t>MEDUHI500552</t>
  </si>
  <si>
    <t>MEDUJJ113896</t>
  </si>
  <si>
    <t>HDMUSAOA29140500</t>
  </si>
  <si>
    <t>YM COOPERATION</t>
  </si>
  <si>
    <t>EVER VIVE</t>
  </si>
  <si>
    <t>HYUNDAI HONGKONG</t>
  </si>
  <si>
    <t>POS HOCHIMINH</t>
  </si>
  <si>
    <t>25ONEY1581I-7186-</t>
  </si>
  <si>
    <t>HPNT</t>
    <phoneticPr fontId="1" type="noConversion"/>
  </si>
  <si>
    <t>15:17</t>
    <phoneticPr fontId="1" type="noConversion"/>
  </si>
  <si>
    <t>HDMUSGNA13851900</t>
    <phoneticPr fontId="1" type="noConversion"/>
  </si>
  <si>
    <t>HMM MIRACLE</t>
    <phoneticPr fontId="1" type="noConversion"/>
  </si>
  <si>
    <t>25HDMUA653I-0204-</t>
    <phoneticPr fontId="1" type="noConversion"/>
  </si>
  <si>
    <t>HDMUSGNA23031603</t>
    <phoneticPr fontId="1" type="noConversion"/>
  </si>
  <si>
    <t>25HDMUA653I-0212-</t>
    <phoneticPr fontId="1" type="noConversion"/>
  </si>
  <si>
    <t>16:10</t>
    <phoneticPr fontId="1" type="noConversion"/>
  </si>
  <si>
    <t>HDMUSGNA56434801</t>
    <phoneticPr fontId="1" type="noConversion"/>
  </si>
  <si>
    <t>25HDMUA653I-0213-</t>
    <phoneticPr fontId="1" type="noConversion"/>
  </si>
  <si>
    <t>SAWASDEE SUNRISE</t>
    <phoneticPr fontId="1" type="noConversion"/>
  </si>
  <si>
    <t>25SNKO4855I-0135-0001</t>
    <phoneticPr fontId="1" type="noConversion"/>
  </si>
  <si>
    <t>2025.12.24</t>
    <phoneticPr fontId="1" type="noConversion"/>
  </si>
  <si>
    <t>KMTCBKK3786030</t>
    <phoneticPr fontId="1" type="noConversion"/>
  </si>
  <si>
    <t>25SNKO4855I-0019-</t>
    <phoneticPr fontId="1" type="noConversion"/>
  </si>
  <si>
    <t>허치슨감만</t>
    <phoneticPr fontId="1" type="noConversion"/>
  </si>
  <si>
    <t>ONEYBKKFBH352900</t>
    <phoneticPr fontId="1" type="noConversion"/>
  </si>
  <si>
    <t>ZHONG GU SHAN DONG</t>
    <phoneticPr fontId="1" type="noConversion"/>
  </si>
  <si>
    <t>25ONEY1517I-5027-</t>
    <phoneticPr fontId="1" type="noConversion"/>
  </si>
  <si>
    <t>2025.12.17</t>
    <phoneticPr fontId="1" type="noConversion"/>
  </si>
  <si>
    <t>ONEYSAOF55456501</t>
    <phoneticPr fontId="1" type="noConversion"/>
  </si>
  <si>
    <t>ZEPHYR LUMOS</t>
    <phoneticPr fontId="1" type="noConversion"/>
  </si>
  <si>
    <t>25ONEY1581I-7192-</t>
    <phoneticPr fontId="1" type="noConversion"/>
  </si>
  <si>
    <t>ONEYBKKFCB669800</t>
    <phoneticPr fontId="1" type="noConversion"/>
  </si>
  <si>
    <t>YM COOPERATION</t>
    <phoneticPr fontId="1" type="noConversion"/>
  </si>
  <si>
    <t>25YMJA0222I-5028-</t>
    <phoneticPr fontId="1" type="noConversion"/>
  </si>
  <si>
    <t>HJNC</t>
    <phoneticPr fontId="1" type="noConversion"/>
  </si>
  <si>
    <t>DGT</t>
    <phoneticPr fontId="1" type="noConversion"/>
  </si>
  <si>
    <t>EVER VIVE(NSB)</t>
    <phoneticPr fontId="1" type="noConversion"/>
  </si>
  <si>
    <t>HYUNDAI HONGKONG</t>
    <phoneticPr fontId="1" type="noConversion"/>
  </si>
  <si>
    <t>POS HOCHIMINH</t>
    <phoneticPr fontId="1" type="noConversion"/>
  </si>
  <si>
    <t>MOL EARNEST(SX2)</t>
    <phoneticPr fontId="1" type="noConversion"/>
  </si>
  <si>
    <t>PNC</t>
  </si>
  <si>
    <t>MSC MARIE</t>
    <phoneticPr fontId="1" type="noConversion"/>
  </si>
  <si>
    <t>EVER VERT(NSB)</t>
    <phoneticPr fontId="1" type="noConversion"/>
  </si>
  <si>
    <t>HYUNDAI SHANGHAI</t>
    <phoneticPr fontId="1" type="noConversion"/>
  </si>
  <si>
    <t>FBIU5241185</t>
  </si>
  <si>
    <t>닭발</t>
  </si>
  <si>
    <t>PANCON BRIDGE</t>
    <phoneticPr fontId="1" type="noConversion"/>
  </si>
  <si>
    <t>SKY MOON</t>
    <phoneticPr fontId="1" type="noConversion"/>
  </si>
  <si>
    <t>BPT신선대</t>
  </si>
  <si>
    <t>HMM HARVEST</t>
    <phoneticPr fontId="1" type="noConversion"/>
  </si>
  <si>
    <t>MEDU9701956</t>
  </si>
  <si>
    <t>MSC ELISA XIII </t>
    <phoneticPr fontId="1" type="noConversion"/>
  </si>
  <si>
    <t>EGSU5052662</t>
  </si>
  <si>
    <t>KMTC DALIAN</t>
    <phoneticPr fontId="1" type="noConversion"/>
  </si>
  <si>
    <t>MNBU3799888</t>
  </si>
  <si>
    <t>APRU6125505</t>
  </si>
  <si>
    <t>CMA CGM LEGACY</t>
    <phoneticPr fontId="1" type="noConversion"/>
  </si>
  <si>
    <t>CMA CGM INTEGRITY</t>
  </si>
  <si>
    <t>LOTUS A</t>
  </si>
  <si>
    <t>TLLU1190832</t>
  </si>
  <si>
    <t>EMCU5378069</t>
  </si>
  <si>
    <t>FBIU5721944</t>
  </si>
  <si>
    <t>PCIU6113365</t>
  </si>
  <si>
    <t>CGMU5820725</t>
  </si>
  <si>
    <t>CAAU4011147</t>
  </si>
  <si>
    <t>DELPHINUS C</t>
    <phoneticPr fontId="1" type="noConversion"/>
  </si>
  <si>
    <t>CGMU5803986</t>
  </si>
  <si>
    <t>CMA CGM BYBLOS</t>
  </si>
  <si>
    <t>SAWASDEE ATLANTIC</t>
    <phoneticPr fontId="1" type="noConversion"/>
  </si>
  <si>
    <t>MEDU9099010</t>
  </si>
  <si>
    <t>미정</t>
    <phoneticPr fontId="1" type="noConversion"/>
  </si>
  <si>
    <t>OTPU6700126</t>
  </si>
  <si>
    <t>TEXU9034762</t>
    <phoneticPr fontId="1" type="noConversion"/>
  </si>
  <si>
    <t>TEXU9030290</t>
    <phoneticPr fontId="1" type="noConversion"/>
  </si>
  <si>
    <t>SEKU9386650</t>
    <phoneticPr fontId="1" type="noConversion"/>
  </si>
  <si>
    <t>OTPU6394005</t>
    <phoneticPr fontId="1" type="noConversion"/>
  </si>
  <si>
    <t>PCIU6153162</t>
    <phoneticPr fontId="1" type="noConversion"/>
  </si>
  <si>
    <t>ONEU9034179</t>
    <phoneticPr fontId="1" type="noConversion"/>
  </si>
  <si>
    <t>2025.12.25</t>
    <phoneticPr fontId="1" type="noConversion"/>
  </si>
  <si>
    <t>HLBU9329579</t>
    <phoneticPr fontId="1" type="noConversion"/>
  </si>
  <si>
    <t>18:47</t>
    <phoneticPr fontId="1" type="noConversion"/>
  </si>
  <si>
    <t>HLBU6053698</t>
    <phoneticPr fontId="1" type="noConversion"/>
  </si>
  <si>
    <t>16:27</t>
    <phoneticPr fontId="1" type="noConversion"/>
  </si>
  <si>
    <t>OTPU6388152</t>
    <phoneticPr fontId="1" type="noConversion"/>
  </si>
  <si>
    <t>TCLU1392959</t>
    <phoneticPr fontId="1" type="noConversion"/>
  </si>
  <si>
    <t>ONEYSAOF55284400</t>
    <phoneticPr fontId="1" type="noConversion"/>
  </si>
  <si>
    <t>25ONEY1581I-7186-</t>
    <phoneticPr fontId="1" type="noConversion"/>
  </si>
  <si>
    <t>EGLV360500156836</t>
    <phoneticPr fontId="1" type="noConversion"/>
  </si>
  <si>
    <t>EVER VIVE</t>
    <phoneticPr fontId="1" type="noConversion"/>
  </si>
  <si>
    <t>2025.12.11</t>
    <phoneticPr fontId="1" type="noConversion"/>
  </si>
  <si>
    <t>EMCU5649216</t>
    <phoneticPr fontId="1" type="noConversion"/>
  </si>
  <si>
    <t>EGLV360500161333</t>
    <phoneticPr fontId="1" type="noConversion"/>
  </si>
  <si>
    <t>25EVER6351I-0521-</t>
    <phoneticPr fontId="1" type="noConversion"/>
  </si>
  <si>
    <t>HMMU5417980</t>
    <phoneticPr fontId="1" type="noConversion"/>
  </si>
  <si>
    <t>HDMUSAOA19640104</t>
    <phoneticPr fontId="1" type="noConversion"/>
  </si>
  <si>
    <t>25HDMUA641I-0087-</t>
    <phoneticPr fontId="1" type="noConversion"/>
  </si>
  <si>
    <t>2025.12.15</t>
    <phoneticPr fontId="1" type="noConversion"/>
  </si>
  <si>
    <t>HDMU5563652</t>
    <phoneticPr fontId="1" type="noConversion"/>
  </si>
  <si>
    <t>HDMUSAOA19640111</t>
    <phoneticPr fontId="1" type="noConversion"/>
  </si>
  <si>
    <t>25HDMUA641I-0088-</t>
    <phoneticPr fontId="1" type="noConversion"/>
  </si>
  <si>
    <t>SKRU6507906</t>
    <phoneticPr fontId="1" type="noConversion"/>
  </si>
  <si>
    <t>HMMU5448770</t>
    <phoneticPr fontId="1" type="noConversion"/>
  </si>
  <si>
    <t>HDMUSAOA49544004</t>
    <phoneticPr fontId="1" type="noConversion"/>
  </si>
  <si>
    <t>MOL EARNEST</t>
    <phoneticPr fontId="1" type="noConversion"/>
  </si>
  <si>
    <t>25ONEY1567I-7008-</t>
    <phoneticPr fontId="1" type="noConversion"/>
  </si>
  <si>
    <t>MSDU9807673</t>
    <phoneticPr fontId="1" type="noConversion"/>
  </si>
  <si>
    <t>12:40</t>
    <phoneticPr fontId="1" type="noConversion"/>
  </si>
  <si>
    <t>FSCU5865351</t>
    <phoneticPr fontId="1" type="noConversion"/>
  </si>
  <si>
    <t>EGSU5070265</t>
    <phoneticPr fontId="1" type="noConversion"/>
  </si>
  <si>
    <t>EGLV360500127976</t>
    <phoneticPr fontId="1" type="noConversion"/>
  </si>
  <si>
    <t>EVER VERT</t>
    <phoneticPr fontId="1" type="noConversion"/>
  </si>
  <si>
    <t>25EVER6352I-0459-</t>
    <phoneticPr fontId="1" type="noConversion"/>
  </si>
  <si>
    <t>TLLU1082843</t>
    <phoneticPr fontId="1" type="noConversion"/>
  </si>
  <si>
    <t>HDMUSAOA31150001</t>
    <phoneticPr fontId="1" type="noConversion"/>
  </si>
  <si>
    <t>25HDMUA642I-0067-</t>
    <phoneticPr fontId="1" type="noConversion"/>
  </si>
  <si>
    <t>SKRU1600050</t>
    <phoneticPr fontId="1" type="noConversion"/>
  </si>
  <si>
    <t>FSCU5945056</t>
    <phoneticPr fontId="1" type="noConversion"/>
  </si>
  <si>
    <t>ONEYSAOF50727800</t>
    <phoneticPr fontId="1" type="noConversion"/>
  </si>
  <si>
    <t>25ONEY1581I-7180-</t>
    <phoneticPr fontId="1" type="noConversion"/>
  </si>
  <si>
    <t>BMOU9738548</t>
    <phoneticPr fontId="1" type="noConversion"/>
  </si>
  <si>
    <t>2025.12.26</t>
    <phoneticPr fontId="1" type="noConversion"/>
  </si>
  <si>
    <t>SZLU9929545</t>
    <phoneticPr fontId="1" type="noConversion"/>
  </si>
  <si>
    <t>FBIU5565796</t>
    <phoneticPr fontId="1" type="noConversion"/>
  </si>
  <si>
    <t>KMTCLCH5446822</t>
    <phoneticPr fontId="1" type="noConversion"/>
  </si>
  <si>
    <t>25PCLUBK15I-2517-</t>
    <phoneticPr fontId="1" type="noConversion"/>
  </si>
  <si>
    <t>HMMU5542133</t>
    <phoneticPr fontId="1" type="noConversion"/>
  </si>
  <si>
    <t>HDMUSAOA29140500</t>
    <phoneticPr fontId="1" type="noConversion"/>
  </si>
  <si>
    <t>25HDMUA641I-0085-</t>
    <phoneticPr fontId="1" type="noConversion"/>
  </si>
  <si>
    <t>13:28</t>
    <phoneticPr fontId="1" type="noConversion"/>
  </si>
  <si>
    <t>&lt;?xml version="1.0" encoding="UTF-8" standalone="yes"?&gt;&lt;cargCsclPrgsInfoQryRtnVo&gt;&lt;ntceInfo&gt;&lt;/ntceInfo&gt;&lt;cargCsclPrgsInfoQryVo&gt;&lt;csclPrgsStts&gt;수입신고전&lt;/csclPrgsStts&gt;&lt;vydf&gt;0012E&lt;/vydf&gt;&lt;rlseDtyPridPassTpcd&gt;N&lt;/rlseDtyPridPassTpcd&gt;&lt;prnm&gt;FROZEN ARGENTINE RED SHRIMP EASY PEEL  ETC&lt;/prnm&gt;&lt;ldprCd&gt;VNSGN&lt;/ldprCd&gt;&lt;shipNat&gt;PA&lt;/shipNat&gt;&lt;blPt&gt;S&lt;/blPt&gt;&lt;dsprNm&gt;부산신항&lt;/dsprNm&gt;&lt;etprDt&gt;20251221&lt;/etprDt&gt;&lt;prgsStCd&gt;CAGE12&lt;/prgsStCd&gt;&lt;msrm&gt;25&lt;/msrm&gt;&lt;wghtUt&gt;KG&lt;/wghtUt&gt;&lt;dsprCd&gt;KRBNP&lt;/dsprCd&gt;&lt;cntrGcnt&gt;1&lt;/cntrGcnt&gt;&lt;cargTp&gt;수입 일반화물&lt;/cargTp&gt;&lt;shcoFlcoSgn&gt;HDMU&lt;/shcoFlcoSgn&gt;&lt;pckGcnt&gt;834&lt;/pckGcnt&gt;&lt;etprCstm&gt;부산세관&lt;/etprCstm&gt;&lt;shipNm&gt;HMM MIRACLE&lt;/shipNm&gt;&lt;hblNo&gt;&lt;/hblNo&gt;&lt;prcsDttm&gt;20251224141740&lt;/prcsDttm&gt;&lt;frwrSgn&gt;&lt;/frwrSgn&gt;&lt;spcnCargCd&gt;RF&lt;/spcnCargCd&gt;&lt;ttwg&gt;9174&lt;/ttwg&gt;&lt;ldprNm&gt;Ho Chi Minh City&lt;/ldprNm&gt;&lt;dclrDelyAdtxYn&gt;N&lt;/dclrDelyAdtxYn&gt;&lt;mtTrgtCargYnNm&gt;N&lt;/mtTrgtCargYnNm&gt;&lt;cargMtNo&gt;25HDMUA653I0204&lt;/cargMtNo&gt;&lt;cntrNo&gt;TEXU9034762&lt;/cntrNo&gt;&lt;mblNo&gt;HDMUSGNA13851900&lt;/mblNo&gt;&lt;blPtNm&gt;Simple&lt;/blPtNm&gt;&lt;lodCntyCd&gt;VN&lt;/lodCntyCd&gt;&lt;prgsStts&gt;반출완료&lt;/prgsStts&gt;&lt;shcoFlco&gt;에이치엠엠(주)&lt;/shcoFlco&gt;&lt;pckUt&gt;CT&lt;/pckUt&gt;&lt;shipNatNm&gt;파나마&lt;/shipNatNm&gt;&lt;agnc&gt;에이치엠엠&lt;/agnc&gt;&lt;frwrEntsConm&gt;&lt;/frwrEntsConm&gt;&lt;/cargCsclPrgsInfoQryVo&gt;&lt;tCnt&gt;9&lt;/tCnt&gt;&lt;cargCsclPrgsInfoDtlQryVo&gt;&lt;shedNm&gt;에이치엠엠피에스에이신항만(주)&lt;/shedNm&gt;&lt;prcsDttm&gt;20251224141740&lt;/prcsDttm&gt;&lt;dclrNo&gt;03077011250412985A&lt;/dclrNo&gt;&lt;rlbrDttm&gt;2025-12-24 14:16:58&lt;/rlbrDttm&gt;&lt;wght&gt;9174&lt;/wght&gt;&lt;rlbrBssNo&gt;030D1030F66025406914&lt;/rlbrBssNo&gt;&lt;bfhnGdncCn&gt;&lt;/bfhnGdncCn&gt;&lt;wghtUt&gt;KG&lt;/wghtUt&gt;&lt;pckGcnt&gt;834&lt;/pckGcnt&gt;&lt;cargTrcnRelaBsopTpcd&gt;반출신고&lt;/cargTrcnRelaBsopTpcd&gt;&lt;pckUt&gt;CT&lt;/pckUt&gt;&lt;rlbrCn&gt;보세운송 반출&lt;/rlbrCn&gt;&lt;shedSgn&gt;03077011&lt;/shedSgn&gt;&lt;/cargCsclPrgsInfoDtlQryVo&gt;&lt;cargCsclPrgsInfoDtlQryVo&gt;&lt;shedNm&gt;에이치엠엠피에스에이신항만(주)&lt;/shedNm&gt;&lt;prcsDttm&gt;20251224115657&lt;/prcsDttm&gt;&lt;dclrNo&gt;030D1030F66025406914&lt;/dclrNo&gt;&lt;rlbrDttm&gt;(도)03011597동일냉장(주&lt;/rlbrDttm&gt;&lt;wght&gt;9174&lt;/wght&gt;&lt;rlbrBssNo&gt;(주)에스에스물류&lt;/rlbrBssNo&gt;&lt;bfhnGdncCn&gt;&lt;/bfhnGdncCn&gt;&lt;wghtUt&gt;KG&lt;/wghtUt&gt;&lt;pckGcnt&gt;834&lt;/pckGcnt&gt;&lt;cargTrcnRelaBsopTpcd&gt;보세운송 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20251224115424&lt;/prcsDttm&gt;&lt;dclrNo&gt;030D1030F66025406914&lt;/dclrNo&gt;&lt;rlbrDttm&gt;&lt;/rlbrDttm&gt;&lt;wght&gt;9174&lt;/wght&gt;&lt;rlbrBssNo&gt;&lt;/rlbrBssNo&gt;&lt;bfhnGdncCn&gt;&lt;/bfhnGdncCn&gt;&lt;wghtUt&gt;KG&lt;/wghtUt&gt;&lt;pckGcnt&gt;834&lt;/pckGcnt&gt;&lt;cargTrcnRelaBsopTpcd&gt;보세운송 신고 접수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20251221040940&lt;/prcsDttm&gt;&lt;dclrNo&gt;03077011250404653A&lt;/dclrNo&gt;&lt;rlbrDttm&gt;2025-12-21 04:08:20&lt;/rlbrDttm&gt;&lt;wght&gt;9174&lt;/wght&gt;&lt;rlbrBssNo&gt;&lt;/rlbrBssNo&gt;&lt;bfhnGdncCn&gt;[부가사항] 에이치엠엠피에스에이신항만(주)의 장치기간은 최대 3 개월 입니다.&lt;/bfhnGdncCn&gt;&lt;wghtUt&gt;KG&lt;/wghtUt&gt;&lt;pckGcnt&gt;834&lt;/pckGcnt&gt;&lt;cargTrcnRelaBsopTpcd&gt;반입신고&lt;/cargTrcnRelaBsopTpcd&gt;&lt;pckUt&gt;CT&lt;/pckUt&gt;&lt;rlbrCn&gt;입항 반입&lt;/rlbrCn&gt;&lt;shedSgn&gt;03077011&lt;/shedSgn&gt;&lt;/cargCsclPrgsInfoDtlQryVo&gt;&lt;cargCsclPrgsInfoDtlQryVo&gt;&lt;shedNm&gt;&lt;/shedNm&gt;&lt;prcsDttm&gt;20251221024408&lt;/prcsDttm&gt;&lt;dclrNo&gt;25HDMUA653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20251221024408&lt;/prcsDttm&gt;&lt;dclrNo&gt;25HDMUA653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에이치엠엠피에스에이신항만(주)&lt;/shedNm&gt;&lt;prcsDttm&gt;20251219144031&lt;/prcsDttm&gt;&lt;dclrNo&gt;25030149767&lt;/dclrNo&gt;&lt;rlbrDttm&gt;&lt;/rlbrDttm&gt;&lt;wght&gt;9174&lt;/wght&gt;&lt;rlbrBssNo&gt;하선반입기한:2025-12-26&lt;/rlbrBssNo&gt;&lt;bfhnGdncCn&gt;&lt;/bfhnGdncCn&gt;&lt;wghtUt&gt;KG&lt;/wghtUt&gt;&lt;pckGcnt&gt;834&lt;/pckGcnt&gt;&lt;cargTrcnRelaBsopTpcd&gt;하선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20251218173739&lt;/prcsDttm&gt;&lt;dclrNo&gt;&lt;/dclrNo&gt;&lt;rlbrDttm&gt;&lt;/rlbrDttm&gt;&lt;wght&gt;9174&lt;/wght&gt;&lt;rlbrBssNo&gt;&lt;/rlbrBssNo&gt;&lt;bfhnGdncCn&gt;&lt;/bfhnGdncCn&gt;&lt;wghtUt&gt;KG&lt;/wghtUt&gt;&lt;pckGcnt&gt;834&lt;/pckGcnt&gt;&lt;cargTrcnRelaBsopTpcd&gt;입항적재화물목록 심사완료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20251218163407&lt;/prcsDttm&gt;&lt;dclrNo&gt;&lt;/dclrNo&gt;&lt;rlbrDttm&gt;&lt;/rlbrDttm&gt;&lt;wght&gt;9174&lt;/wght&gt;&lt;rlbrBssNo&gt;&lt;/rlbrBssNo&gt;&lt;bfhnGdncCn&gt;&lt;/bfhnGdncCn&gt;&lt;wghtUt&gt;KG&lt;/wghtUt&gt;&lt;pckGcnt&gt;834&lt;/pckGcnt&gt;&lt;cargTrcnRelaBsopTpcd&gt;입항적재화물목록 제출&lt;/cargTrcnRelaBsopTpcd&gt;&lt;pckUt&gt;CT&lt;/pckUt&gt;&lt;rlbrCn&gt;&lt;/rlbrCn&gt;&lt;shedSgn&gt;03077011&lt;/shedSgn&gt;&lt;/cargCsclPrgsInfoDtlQryVo&gt;&lt;/cargCsclPrgsInfoQryRtnVo&gt;</t>
    <phoneticPr fontId="1" type="noConversion"/>
  </si>
  <si>
    <t xml:space="preserve">에이스로지스틱(주), CY : 에이치엠엠피에스에이신항만(주), 진행상황 : 검사/검역 식품의약품(합격), 선사 : 에이치엠엠(주), 포딩 : </t>
    <phoneticPr fontId="1" type="noConversion"/>
  </si>
  <si>
    <t xml:space="preserve">면허?, CY : 신감만 한국허치슨(주) 컨테이너 보세창고, 진행상황 : 반입완료, 선사 : 장금상선(주), 포딩 : </t>
    <phoneticPr fontId="1" type="noConversion"/>
  </si>
  <si>
    <t xml:space="preserve">면허?, CY : 한진부산컨테이너터미널(주), 진행상황 : 입항적재화물목록 운항정보 정정, 선사 : 오션네트워크익스프레스코리아(주), 포딩 : </t>
    <phoneticPr fontId="1" type="noConversion"/>
  </si>
  <si>
    <t xml:space="preserve">면허?, CY : 신선대감만터미널(주) 신선대CY, 진행상황 : 하선신고 수리완료, 선사 : 범주해운(주), 포딩 : </t>
    <phoneticPr fontId="1" type="noConversion"/>
  </si>
  <si>
    <t xml:space="preserve"> </t>
    <phoneticPr fontId="1" type="noConversion"/>
  </si>
  <si>
    <t>순번</t>
  </si>
  <si>
    <t>⑨B/L 번호</t>
    <phoneticPr fontId="1" type="noConversion"/>
  </si>
  <si>
    <t>컨테이너</t>
  </si>
  <si>
    <t>⑪총포장
개수</t>
  </si>
  <si>
    <t>⑫순중량
(kg)</t>
  </si>
  <si>
    <t>판매원</t>
  </si>
  <si>
    <t>입고
예정</t>
  </si>
  <si>
    <t>이름</t>
  </si>
  <si>
    <t>입고
층</t>
  </si>
  <si>
    <t>입항
예정</t>
  </si>
  <si>
    <t>주의</t>
  </si>
  <si>
    <t>가공장번호</t>
    <phoneticPr fontId="12" type="noConversion"/>
  </si>
  <si>
    <t>⑩품명</t>
  </si>
  <si>
    <t>품명</t>
    <phoneticPr fontId="12" type="noConversion"/>
  </si>
  <si>
    <t>스티커발주상태</t>
  </si>
  <si>
    <t>⑬수출국</t>
  </si>
  <si>
    <t>가공일</t>
    <phoneticPr fontId="12" type="noConversion"/>
  </si>
  <si>
    <t>메모</t>
    <phoneticPr fontId="1" type="noConversion"/>
  </si>
  <si>
    <t>화찰선명</t>
    <phoneticPr fontId="1" type="noConversion"/>
  </si>
  <si>
    <t>화물관리</t>
    <phoneticPr fontId="1" type="noConversion"/>
  </si>
  <si>
    <t>수월한 주식회사</t>
  </si>
  <si>
    <t>폭</t>
  </si>
  <si>
    <t>S.I.F-601</t>
    <phoneticPr fontId="1" type="noConversion"/>
  </si>
  <si>
    <t>계육</t>
  </si>
  <si>
    <t>AU다리살</t>
  </si>
  <si>
    <t>일월년(읽는법)</t>
  </si>
  <si>
    <t>브라질</t>
  </si>
  <si>
    <t>2025.10.3~9</t>
  </si>
  <si>
    <t>2025.10.7~16</t>
  </si>
  <si>
    <t>다</t>
  </si>
  <si>
    <t>2025.9.23~10.3</t>
  </si>
  <si>
    <t>대상㈜유통씨아이씨</t>
  </si>
  <si>
    <t>교</t>
  </si>
  <si>
    <t>S.I.F-530</t>
  </si>
  <si>
    <t>SR닭발</t>
  </si>
  <si>
    <t>2025.9.27~10.10</t>
  </si>
  <si>
    <t>현대코퍼레이션홀딩스㈜경기지사</t>
  </si>
  <si>
    <t>오케이푸드</t>
  </si>
  <si>
    <t>S.I.F-1001</t>
  </si>
  <si>
    <t>PA다리살</t>
  </si>
  <si>
    <t>2025.10.1~13</t>
  </si>
  <si>
    <t>주식회사 뉴아시아 (동일)</t>
  </si>
  <si>
    <t>EST-70</t>
    <phoneticPr fontId="1" type="noConversion"/>
  </si>
  <si>
    <t>윙스틱45/55G</t>
  </si>
  <si>
    <t>태국</t>
  </si>
  <si>
    <t>2025.11.1,3~8</t>
    <phoneticPr fontId="1" type="noConversion"/>
  </si>
  <si>
    <t>MC</t>
  </si>
  <si>
    <t>2025.9.26~10.3</t>
  </si>
  <si>
    <t>2025.10.4~9</t>
  </si>
  <si>
    <t>S.I.F-601</t>
  </si>
  <si>
    <t>2025.10.23~27</t>
  </si>
  <si>
    <t>인</t>
  </si>
  <si>
    <t>2025.10.14~28</t>
  </si>
  <si>
    <t>FF</t>
  </si>
  <si>
    <t>2025.10.20~29</t>
  </si>
  <si>
    <t>EST-</t>
  </si>
  <si>
    <t>미들윙35/45G</t>
  </si>
  <si>
    <t>년월일(읽는법)</t>
  </si>
  <si>
    <t>(주)참트레이딩</t>
  </si>
  <si>
    <t>S.I.F-2212</t>
  </si>
  <si>
    <t>VI조각정육30/40G</t>
  </si>
  <si>
    <t>2025.10.13~28</t>
  </si>
  <si>
    <t>㈜동원홈푸드</t>
  </si>
  <si>
    <t>SR다리살</t>
  </si>
  <si>
    <t>2025.9.23~26</t>
  </si>
  <si>
    <t>S.I.F-1215</t>
  </si>
  <si>
    <t>2025.9.26</t>
  </si>
  <si>
    <t>2025.9.29,30</t>
  </si>
  <si>
    <t>S.I.F-3300</t>
  </si>
  <si>
    <t>CV장각</t>
  </si>
  <si>
    <t>2025.10.21,22</t>
  </si>
  <si>
    <t>S.I.F-1860</t>
  </si>
  <si>
    <t>CA다리살</t>
  </si>
  <si>
    <t>2025.9.24,25</t>
  </si>
  <si>
    <t>2025.11.7~10</t>
  </si>
  <si>
    <t>주식회사 아스트로스</t>
  </si>
  <si>
    <t>디케이통상</t>
  </si>
  <si>
    <t>VI닭발</t>
  </si>
  <si>
    <t>2025.10.3~13</t>
  </si>
  <si>
    <t>EST-601</t>
  </si>
  <si>
    <t>2025.10.9~16</t>
  </si>
  <si>
    <t>2025.9.30~10.17</t>
  </si>
  <si>
    <t>S.I.F-3170</t>
  </si>
  <si>
    <t>2025.10.27~11.6</t>
  </si>
  <si>
    <t>200GUP</t>
  </si>
  <si>
    <t>2025.10.17~24</t>
  </si>
  <si>
    <t>S.I.F-3125</t>
  </si>
  <si>
    <t>2025.10.29~31</t>
  </si>
  <si>
    <t>디케이통상</t>
    <phoneticPr fontId="1" type="noConversion"/>
  </si>
  <si>
    <t>2025.10.3~16</t>
  </si>
  <si>
    <t>2025.10.16~27</t>
  </si>
  <si>
    <t>EST-244</t>
  </si>
  <si>
    <t>TF닭발</t>
  </si>
  <si>
    <t>2025.11.21,24~29,12.1</t>
  </si>
  <si>
    <t>MEDUJJ126302</t>
  </si>
  <si>
    <t>MSDU9700290</t>
  </si>
  <si>
    <t>미정</t>
  </si>
  <si>
    <t>S.I.F-104</t>
  </si>
  <si>
    <t>SA다리살</t>
  </si>
  <si>
    <t>2025.9.29~10.10</t>
  </si>
  <si>
    <t>260/280G</t>
  </si>
  <si>
    <t>2025.7.3~10.23</t>
  </si>
  <si>
    <t>MEUDJJ113896</t>
  </si>
  <si>
    <t>20/25G</t>
  </si>
  <si>
    <t>S.I.F-576</t>
  </si>
  <si>
    <t>SR조각정육</t>
  </si>
  <si>
    <t>2025.10.16~21</t>
  </si>
  <si>
    <t>S.I.F-1372</t>
  </si>
  <si>
    <t>MN닭발</t>
  </si>
  <si>
    <t>2025.11.1~10</t>
  </si>
  <si>
    <t>AU근위</t>
  </si>
  <si>
    <t>2025.11.4~11</t>
  </si>
  <si>
    <t>㈜현대그린푸드 영남센터</t>
  </si>
  <si>
    <t>S.I.F-4444</t>
  </si>
  <si>
    <t>LA다리살</t>
  </si>
  <si>
    <t>2025.10.6~9</t>
  </si>
  <si>
    <t>S.I.F-4166</t>
  </si>
  <si>
    <t>2025.9.24~10.10</t>
  </si>
  <si>
    <t>2025.11.14~28</t>
  </si>
  <si>
    <t>SNKO190251201016</t>
    <phoneticPr fontId="1" type="noConversion"/>
  </si>
  <si>
    <t>FBIU5369577</t>
    <phoneticPr fontId="1" type="noConversion"/>
  </si>
  <si>
    <t>EST-10</t>
    <phoneticPr fontId="1" type="noConversion"/>
  </si>
  <si>
    <t>조각정육20/25G</t>
    <phoneticPr fontId="1" type="noConversion"/>
  </si>
  <si>
    <t>태국</t>
    <phoneticPr fontId="1" type="noConversion"/>
  </si>
  <si>
    <t>2025.11.29,12.1~4</t>
    <phoneticPr fontId="1" type="noConversion"/>
  </si>
  <si>
    <t>HASLS22251200378</t>
    <phoneticPr fontId="1" type="noConversion"/>
  </si>
  <si>
    <t>FSCU5910363</t>
    <phoneticPr fontId="1" type="noConversion"/>
  </si>
  <si>
    <t>2025.11.4,5,8,10~13,29</t>
    <phoneticPr fontId="1" type="noConversion"/>
  </si>
  <si>
    <t>TRIU8015416</t>
    <phoneticPr fontId="1" type="noConversion"/>
  </si>
  <si>
    <t>ONE CONTRIBUTION</t>
    <phoneticPr fontId="1" type="noConversion"/>
  </si>
  <si>
    <t>STARSHIP NEPTUNE</t>
    <phoneticPr fontId="1" type="noConversion"/>
  </si>
  <si>
    <t>FBIU5378584</t>
    <phoneticPr fontId="1" type="noConversion"/>
  </si>
  <si>
    <t>HLBU9368446</t>
    <phoneticPr fontId="1" type="noConversion"/>
  </si>
  <si>
    <t>HLBU9412997</t>
    <phoneticPr fontId="1" type="noConversion"/>
  </si>
  <si>
    <t>ONEYSAOF55632805</t>
    <phoneticPr fontId="1" type="noConversion"/>
  </si>
  <si>
    <t>ONEYSAOF55412400</t>
    <phoneticPr fontId="1" type="noConversion"/>
  </si>
  <si>
    <t>ONEYBKKFCF581500</t>
    <phoneticPr fontId="1" type="noConversion"/>
  </si>
  <si>
    <t>입고및출고작업내용</t>
  </si>
  <si>
    <t>출고 도크수   :</t>
  </si>
  <si>
    <t>곳</t>
  </si>
  <si>
    <t>offset(리스트!$C$1,match(C26,리스트!E:E,0)-1,0)</t>
    <phoneticPr fontId="1" type="noConversion"/>
  </si>
  <si>
    <t>도크</t>
  </si>
  <si>
    <t>작업순서</t>
  </si>
  <si>
    <t>상세내용 참조</t>
    <phoneticPr fontId="1" type="noConversion"/>
  </si>
  <si>
    <t>운송사</t>
    <phoneticPr fontId="1" type="noConversion"/>
  </si>
  <si>
    <t>물품</t>
  </si>
  <si>
    <t>B/L</t>
  </si>
  <si>
    <t>도착항</t>
    <phoneticPr fontId="1" type="noConversion"/>
  </si>
  <si>
    <t>상세내용</t>
  </si>
  <si>
    <t>ONEU9403512</t>
  </si>
  <si>
    <t>작업미정</t>
  </si>
  <si>
    <t>ACE</t>
    <phoneticPr fontId="1" type="noConversion"/>
  </si>
  <si>
    <t>닭(태국)</t>
  </si>
  <si>
    <t>12/23(화)오후 도착 , 12/31(수)회수마감(회수 미정)</t>
    <phoneticPr fontId="1" type="noConversion"/>
  </si>
  <si>
    <t>더파이러츠</t>
    <phoneticPr fontId="1" type="noConversion"/>
  </si>
  <si>
    <t>EGSU5010902</t>
    <phoneticPr fontId="1" type="noConversion"/>
  </si>
  <si>
    <t>KCTC</t>
    <phoneticPr fontId="1" type="noConversion"/>
  </si>
  <si>
    <t>SKY TIARA</t>
  </si>
  <si>
    <t>CKCOXM2504784</t>
  </si>
  <si>
    <t>12/23(화)조출 , 12/27(토)회수마감(회수 계획 있음)</t>
    <phoneticPr fontId="1" type="noConversion"/>
  </si>
  <si>
    <t>ONEU9009772</t>
  </si>
  <si>
    <t>닭(브라질)</t>
  </si>
  <si>
    <t>MK(2건)</t>
    <phoneticPr fontId="1" type="noConversion"/>
  </si>
  <si>
    <t>TLLU7027421</t>
  </si>
  <si>
    <t>천일(HU)</t>
    <phoneticPr fontId="1" type="noConversion"/>
  </si>
  <si>
    <t>500/757</t>
    <phoneticPr fontId="1" type="noConversion"/>
  </si>
  <si>
    <t>HUI DE</t>
    <phoneticPr fontId="1" type="noConversion"/>
  </si>
  <si>
    <t>SITRRIPU039569A</t>
    <phoneticPr fontId="1" type="noConversion"/>
  </si>
  <si>
    <t>BPT감만</t>
  </si>
  <si>
    <t>작업완료</t>
    <phoneticPr fontId="1" type="noConversion"/>
  </si>
  <si>
    <t>REN JIAN 20(SX2)</t>
    <phoneticPr fontId="1" type="noConversion"/>
  </si>
  <si>
    <t>12/22(월)오후 도착 , 12/27(토)회수마감(회수 계획 있음)</t>
    <phoneticPr fontId="1" type="noConversion"/>
  </si>
  <si>
    <t>MSCU7310447</t>
  </si>
  <si>
    <t>천일정기화물</t>
    <phoneticPr fontId="1" type="noConversion"/>
  </si>
  <si>
    <t>MSC CARLOTTA</t>
  </si>
  <si>
    <t>MEDUFX859756</t>
  </si>
  <si>
    <t>PNIT</t>
    <phoneticPr fontId="1" type="noConversion"/>
  </si>
  <si>
    <t>TTNU8462301</t>
  </si>
  <si>
    <t>MEDUFX853544</t>
  </si>
  <si>
    <t>8-앞</t>
  </si>
  <si>
    <t>9-앞</t>
  </si>
  <si>
    <t>10-앞</t>
  </si>
  <si>
    <t>11-앞</t>
  </si>
  <si>
    <t>10-2단</t>
    <phoneticPr fontId="1" type="noConversion"/>
  </si>
  <si>
    <t>11-2단</t>
    <phoneticPr fontId="1" type="noConversion"/>
  </si>
  <si>
    <t>_</t>
    <phoneticPr fontId="1" type="noConversion"/>
  </si>
  <si>
    <t>화주</t>
    <phoneticPr fontId="1" type="noConversion"/>
  </si>
  <si>
    <t>컨테이너</t>
    <phoneticPr fontId="1" type="noConversion"/>
  </si>
  <si>
    <t>작업일자</t>
    <phoneticPr fontId="1" type="noConversion"/>
  </si>
  <si>
    <t>작업 내용</t>
    <phoneticPr fontId="1" type="noConversion"/>
  </si>
  <si>
    <t>정렬</t>
  </si>
  <si>
    <t>선명</t>
    <phoneticPr fontId="1" type="noConversion"/>
  </si>
  <si>
    <t>선명개수</t>
  </si>
  <si>
    <t>주소</t>
  </si>
  <si>
    <t>우원</t>
    <phoneticPr fontId="1" type="noConversion"/>
  </si>
  <si>
    <t>HMMU5201857</t>
    <phoneticPr fontId="1" type="noConversion"/>
  </si>
  <si>
    <t>12/23작업</t>
    <phoneticPr fontId="1" type="noConversion"/>
  </si>
  <si>
    <t>SS신항</t>
    <phoneticPr fontId="1" type="noConversion"/>
  </si>
  <si>
    <t>1600TRQ</t>
    <phoneticPr fontId="1" type="noConversion"/>
  </si>
  <si>
    <t>HDMUSGNA17207600</t>
    <phoneticPr fontId="1" type="noConversion"/>
  </si>
  <si>
    <t>KSL</t>
    <phoneticPr fontId="1" type="noConversion"/>
  </si>
  <si>
    <t>천경(HMM)</t>
    <phoneticPr fontId="1" type="noConversion"/>
  </si>
  <si>
    <t>HCPUS2512045</t>
    <phoneticPr fontId="1" type="noConversion"/>
  </si>
  <si>
    <t>12/23(화)오전 도착 , 12/31(수)회수마감(회수 미정)</t>
    <phoneticPr fontId="1" type="noConversion"/>
  </si>
  <si>
    <t>대상</t>
  </si>
  <si>
    <t>PCIU6153162</t>
  </si>
  <si>
    <t>KOTA CANTIK(WS6)</t>
    <phoneticPr fontId="1" type="noConversion"/>
  </si>
  <si>
    <t>12/22(월)13시접안,23일04시출항.</t>
    <phoneticPr fontId="1" type="noConversion"/>
  </si>
  <si>
    <t>FBIU5378584</t>
  </si>
  <si>
    <t>나모티엘에스</t>
    <phoneticPr fontId="1" type="noConversion"/>
  </si>
  <si>
    <t>KMTC GWANGYANG</t>
  </si>
  <si>
    <t>허치슨감만</t>
  </si>
  <si>
    <t>SZLU2020190</t>
  </si>
  <si>
    <t>SS북항</t>
    <phoneticPr fontId="1" type="noConversion"/>
  </si>
  <si>
    <t>LAEM CHABANG VOYAGER</t>
    <phoneticPr fontId="1" type="noConversion"/>
  </si>
  <si>
    <t>HASLS21251200325</t>
    <phoneticPr fontId="1" type="noConversion"/>
  </si>
  <si>
    <t>씨케이</t>
    <phoneticPr fontId="1" type="noConversion"/>
  </si>
  <si>
    <t>FBIU5561189</t>
  </si>
  <si>
    <t>J&amp;J</t>
    <phoneticPr fontId="1" type="noConversion"/>
  </si>
  <si>
    <t>BELAWAN(KI1)</t>
    <phoneticPr fontId="1" type="noConversion"/>
  </si>
  <si>
    <t>KMTCSUB2447551</t>
    <phoneticPr fontId="1" type="noConversion"/>
  </si>
  <si>
    <t>12/24(수)오후 도착 , 12/29(월)회수마감(회수 미정)</t>
    <phoneticPr fontId="1" type="noConversion"/>
  </si>
  <si>
    <t>HLBU6053698</t>
  </si>
  <si>
    <t>PNC</t>
    <phoneticPr fontId="1" type="noConversion"/>
  </si>
  <si>
    <t>HLBU9368446</t>
  </si>
  <si>
    <t>SZLU9296452</t>
  </si>
  <si>
    <t>KMTCSUB2448548</t>
    <phoneticPr fontId="1" type="noConversion"/>
  </si>
  <si>
    <t>HLBU9329579</t>
  </si>
  <si>
    <t>12/24(수)조출 , 12/29(월)회수마감(회수 계획 있음)</t>
    <phoneticPr fontId="1" type="noConversion"/>
  </si>
  <si>
    <t>HLBU9412997</t>
  </si>
  <si>
    <t>SEGU9786733</t>
  </si>
  <si>
    <t>SAWASDEE PACIFIC</t>
    <phoneticPr fontId="1" type="noConversion"/>
  </si>
  <si>
    <t>HASLS21251200826</t>
    <phoneticPr fontId="1" type="noConversion"/>
  </si>
  <si>
    <t>EMCU5455381</t>
  </si>
  <si>
    <t>?????</t>
    <phoneticPr fontId="1" type="noConversion"/>
  </si>
  <si>
    <t>12/11(목)! 18시 CY반입됨.</t>
    <phoneticPr fontId="1" type="noConversion"/>
  </si>
  <si>
    <t>EMCU5649216</t>
  </si>
  <si>
    <t>12/12(금)! 05시 CY반입됨.</t>
    <phoneticPr fontId="1" type="noConversion"/>
  </si>
  <si>
    <t>HDMU5563652</t>
  </si>
  <si>
    <t>12/16(화)! 03시 CY반입됨.</t>
    <phoneticPr fontId="1" type="noConversion"/>
  </si>
  <si>
    <t>HMMU5417980</t>
  </si>
  <si>
    <t>SKRU6507906</t>
  </si>
  <si>
    <t>12/17(수)! 07시 CY반입됨.</t>
    <phoneticPr fontId="1" type="noConversion"/>
  </si>
  <si>
    <t>HMMU5448770</t>
  </si>
  <si>
    <t>12/17(수)! 12시 CY반입됨.</t>
    <phoneticPr fontId="1" type="noConversion"/>
  </si>
  <si>
    <t>OTPU6394005</t>
  </si>
  <si>
    <t>12/17(수)! 16시 CY반입됨.</t>
    <phoneticPr fontId="1" type="noConversion"/>
  </si>
  <si>
    <t>TEXU9030290</t>
  </si>
  <si>
    <t>12/21(일)! 02시 CY반입됨.</t>
    <phoneticPr fontId="1" type="noConversion"/>
  </si>
  <si>
    <t>12/21(일)! 04시 CY반입됨.</t>
    <phoneticPr fontId="1" type="noConversion"/>
  </si>
  <si>
    <t>HMMU5203464</t>
  </si>
  <si>
    <t>HPNT</t>
  </si>
  <si>
    <t>12/21(일)! 05시 CY반입됨.</t>
    <phoneticPr fontId="1" type="noConversion"/>
  </si>
  <si>
    <t>FSCU5865351</t>
  </si>
  <si>
    <t>ONEYBKKFCD979700</t>
    <phoneticPr fontId="1" type="noConversion"/>
  </si>
  <si>
    <t>확인안함</t>
    <phoneticPr fontId="1" type="noConversion"/>
  </si>
  <si>
    <t>12/21(일)! 20시 CY반입됨.</t>
    <phoneticPr fontId="1" type="noConversion"/>
  </si>
  <si>
    <t>OTPU6388152</t>
  </si>
  <si>
    <t>미래</t>
    <phoneticPr fontId="1" type="noConversion"/>
  </si>
  <si>
    <t>FBIU5685852</t>
  </si>
  <si>
    <t>STARSHIP MERCURY</t>
    <phoneticPr fontId="1" type="noConversion"/>
  </si>
  <si>
    <t>SGN501734600</t>
  </si>
  <si>
    <t>12/23(화)! 00시 CY반입됨.</t>
    <phoneticPr fontId="1" type="noConversion"/>
  </si>
  <si>
    <t>TLLU1082843</t>
  </si>
  <si>
    <t>12/24(수)14시접안,25일12시출항.</t>
    <phoneticPr fontId="1" type="noConversion"/>
  </si>
  <si>
    <t>EGSU5070265</t>
  </si>
  <si>
    <t>12/24(수)21시접안,25일21시출항.</t>
    <phoneticPr fontId="1" type="noConversion"/>
  </si>
  <si>
    <t>SEGU9679777</t>
    <phoneticPr fontId="1" type="noConversion"/>
  </si>
  <si>
    <t>?????</t>
  </si>
  <si>
    <t>KMTC NINGBO(AWC)</t>
    <phoneticPr fontId="1" type="noConversion"/>
  </si>
  <si>
    <t>KMTCSUB2442257</t>
    <phoneticPr fontId="1" type="noConversion"/>
  </si>
  <si>
    <t>12/25(목)07시접안,26일01시출항.</t>
    <phoneticPr fontId="1" type="noConversion"/>
  </si>
  <si>
    <t>TCLU1392959</t>
  </si>
  <si>
    <t>12/25(목)12시접안,27일06시출항.</t>
    <phoneticPr fontId="1" type="noConversion"/>
  </si>
  <si>
    <t>12/25(목)입항예정</t>
  </si>
  <si>
    <t>FSCU5945056</t>
  </si>
  <si>
    <t>BMOU9738548</t>
  </si>
  <si>
    <t>12/26(금)03시접안,27일02시출항.</t>
    <phoneticPr fontId="1" type="noConversion"/>
  </si>
  <si>
    <t>SZLU9929545</t>
  </si>
  <si>
    <t>세현</t>
    <phoneticPr fontId="1" type="noConversion"/>
  </si>
  <si>
    <t>TTNU8789830</t>
  </si>
  <si>
    <t>KMTCNBO9268010</t>
    <phoneticPr fontId="1" type="noConversion"/>
  </si>
  <si>
    <t>12/26(금)10시접안,26일22시출항.</t>
  </si>
  <si>
    <t>HMMU5204223</t>
  </si>
  <si>
    <t>HDMUSGNA09855200</t>
    <phoneticPr fontId="1" type="noConversion"/>
  </si>
  <si>
    <t>12/28(일)07시접안,28일21시출항.</t>
  </si>
  <si>
    <t>12/29(월)18시접안,30일15시출항.</t>
    <phoneticPr fontId="1" type="noConversion"/>
  </si>
  <si>
    <t>MSC ELISA XIII </t>
  </si>
  <si>
    <t>12/29(월)입항예정</t>
  </si>
  <si>
    <t>CMA CGM LEGACY</t>
  </si>
  <si>
    <t>12/31(수)입항예정</t>
  </si>
  <si>
    <t>DELPHINUS C</t>
  </si>
  <si>
    <t>ONEYSAOF64576806</t>
    <phoneticPr fontId="1" type="noConversion"/>
  </si>
  <si>
    <t>삼영수산</t>
    <phoneticPr fontId="1" type="noConversion"/>
  </si>
  <si>
    <t>CGMU5437418</t>
    <phoneticPr fontId="1" type="noConversion"/>
  </si>
  <si>
    <t>LMM0561277</t>
    <phoneticPr fontId="1" type="noConversion"/>
  </si>
  <si>
    <t>TTNU8238009</t>
    <phoneticPr fontId="1" type="noConversion"/>
  </si>
  <si>
    <t>LMM0562123</t>
    <phoneticPr fontId="1" type="noConversion"/>
  </si>
  <si>
    <t>FBIU5369577</t>
  </si>
  <si>
    <t>SAWASDEE ATLANTIC</t>
  </si>
  <si>
    <t>FSCU5910363</t>
  </si>
  <si>
    <t>관세청api활용,정보가져오기</t>
    <phoneticPr fontId="1" type="noConversion"/>
  </si>
  <si>
    <t>에이치엠엠피에스에이신항만(주)</t>
  </si>
  <si>
    <t>동원글로벌터미널부산(주)</t>
  </si>
  <si>
    <t>신감만 한국허치슨(주) 컨테이너 보세창고</t>
  </si>
  <si>
    <t>신선대감만터미널(주) 신선대CY</t>
  </si>
  <si>
    <t>BELAWAN</t>
  </si>
  <si>
    <t>(주)부산특수물류</t>
  </si>
  <si>
    <t>에이스로지스틱(주)</t>
  </si>
  <si>
    <t>부산신항만(주)자유무역지역</t>
  </si>
  <si>
    <t>SAWASDEE PACIFIC</t>
  </si>
  <si>
    <t>SNKO190251102713</t>
    <phoneticPr fontId="1" type="noConversion"/>
  </si>
  <si>
    <t>MEDUFX853510</t>
    <phoneticPr fontId="1" type="noConversion"/>
  </si>
  <si>
    <t>HASLC05251203795</t>
    <phoneticPr fontId="1" type="noConversion"/>
  </si>
  <si>
    <t>25SNKO4855I-6506-</t>
    <phoneticPr fontId="1" type="noConversion"/>
  </si>
  <si>
    <t>PCSLLCBSC2500048</t>
    <phoneticPr fontId="1" type="noConversion"/>
  </si>
  <si>
    <t>PCSLLCBSC2500049</t>
    <phoneticPr fontId="1" type="noConversion"/>
  </si>
  <si>
    <t xml:space="preserve">    'HASLS21251102033 - NSGS82512016</t>
  </si>
  <si>
    <t xml:space="preserve">    'bl분할 :ONEYRICFHA975600 분할되면 ONEYRICFHA975600 - ONEYRICFHA975600 + 관리번호 추가</t>
    <phoneticPr fontId="1" type="noConversion"/>
  </si>
  <si>
    <t>ONEYRICFHA975600</t>
    <phoneticPr fontId="1" type="noConversion"/>
  </si>
  <si>
    <t>HASLS21251102033</t>
    <phoneticPr fontId="1" type="noConversion"/>
  </si>
  <si>
    <t xml:space="preserve">    'HASLS21251102033 - NSGS82512016</t>
    <phoneticPr fontId="1" type="noConversion"/>
  </si>
  <si>
    <t>NSGS82512016</t>
    <phoneticPr fontId="1" type="noConversion"/>
  </si>
  <si>
    <t>A66FX05797</t>
    <phoneticPr fontId="1" type="noConversion"/>
  </si>
  <si>
    <t xml:space="preserve">    'A66FX05797 - A66FX05797 house bl, master bl 같음</t>
    <phoneticPr fontId="1" type="noConversion"/>
  </si>
  <si>
    <t xml:space="preserve">    'ONEYTPEF83544700 - KHHBUS2511004 : house bl, 바다사랑 7대, 이것의 mbl은ONEYTPEF83544700(house bl 1건)</t>
    <phoneticPr fontId="1" type="noConversion"/>
  </si>
  <si>
    <t>ONEYTPEF83544700</t>
    <phoneticPr fontId="1" type="noConversion"/>
  </si>
  <si>
    <t xml:space="preserve">    'ONEYTPEF83544700 - KHHBUS2511004 : house bl, 바다사랑 7대, 이것의 mbl은ONEYTPEF83544700(house bl 1건)</t>
    <phoneticPr fontId="1" type="noConversion"/>
  </si>
  <si>
    <t>KHHBUS2511004</t>
    <phoneticPr fontId="1" type="noConversion"/>
  </si>
  <si>
    <t xml:space="preserve">    'HDMUSGNA17207600 : master bl, 1대</t>
    <phoneticPr fontId="1" type="noConversion"/>
  </si>
  <si>
    <t>HDMUSGNA17207600</t>
    <phoneticPr fontId="1" type="noConversion"/>
  </si>
  <si>
    <t>년도</t>
    <phoneticPr fontId="1" type="noConversion"/>
  </si>
  <si>
    <t>MASTER BL</t>
    <phoneticPr fontId="1" type="noConversion"/>
  </si>
  <si>
    <t>HOUSE BL</t>
    <phoneticPr fontId="1" type="noConversion"/>
  </si>
  <si>
    <t>전달 BL</t>
    <phoneticPr fontId="1" type="noConversion"/>
  </si>
  <si>
    <t>http.responseText</t>
  </si>
  <si>
    <t>ntceInfo</t>
  </si>
  <si>
    <t>cargCsclPrgsInfoQryVo</t>
  </si>
  <si>
    <t>tCnt</t>
  </si>
  <si>
    <t>HASLS21251102033</t>
  </si>
  <si>
    <t>&lt;?xml version="1.0" encoding="UTF-8" standalone="yes"?&gt;&lt;cargCsclPrgsInfoQryRtnVo&gt;&lt;ntceInfo&gt;&lt;/ntceInfo&gt;&lt;cargCsclPrgsInfoQryVo&gt;&lt;csclPrgsStts&gt;수입신고수리&lt;/csclPrgsStts&gt;&lt;vydf&gt;2508N&lt;/vydf&gt;&lt;rlseDtyPridPassTpcd&gt;N&lt;/rlseDtyPridPassTpcd&gt;&lt;prnm&gt;FROZEN RAW PEELED DEVEINED TAIL ON VANNAMEI SHRIMP&lt;/prnm&gt;&lt;ldprCd&gt;VNSGN&lt;/ldprCd&gt;&lt;shipNat&gt;PA&lt;/shipNat&gt;&lt;blPt&gt;C&lt;/blPt&gt;&lt;dsprNm&gt;부산항&lt;/dsprNm&gt;&lt;etprDt&gt;20251218&lt;/etprDt&gt;&lt;prgsStCd&gt;CAGE12&lt;/prgsStCd&gt;&lt;msrm&gt;23&lt;/msrm&gt;&lt;wghtUt&gt;KG&lt;/wghtUt&gt;&lt;dsprCd&gt;KRPUS&lt;/dsprCd&gt;&lt;cntrGcnt&gt;1&lt;/cntrGcnt&gt;&lt;cargTp&gt;수입 일반화물&lt;/cargTp&gt;&lt;shcoFlcoSgn&gt;SNKO&lt;/shcoFlcoSgn&gt;&lt;pckGcnt&gt;900&lt;/pckGcnt&gt;&lt;etprCstm&gt;부산세관&lt;/etprCstm&gt;&lt;shipNm&gt;INCHEON VOYAGER&lt;/shipNm&gt;&lt;hblNo&gt;NSGS82512016&lt;/hblNo&gt;&lt;prcsDttm&gt;20251222143548&lt;/prcsDttm&gt;&lt;frwrSgn&gt;GLHH&lt;/frwrSgn&gt;&lt;spcnCargCd&gt;&lt;/spcnCargCd&gt;&lt;ttwg&gt;10800&lt;/ttwg&gt;&lt;ldprNm&gt;Ho Chi Minh City&lt;/ldprNm&gt;&lt;dclrDelyAdtxYn&gt;N&lt;/dclrDelyAdtxYn&gt;&lt;mtTrgtCargYnNm&gt;N&lt;/mtTrgtCargYnNm&gt;&lt;cargMtNo&gt;25SNKO4736I20120001&lt;/cargMtNo&gt;&lt;cntrNo&gt;SKRU1300602&lt;/cntrNo&gt;&lt;mblNo&gt;HASLS21251102033&lt;/mblNo&gt;&lt;blPtNm&gt;Consol&lt;/blPtNm&gt;&lt;lodCntyCd&gt;VN&lt;/lodCntyCd&gt;&lt;prgsStts&gt;반출완료&lt;/prgsStts&gt;&lt;shcoFlco&gt;장금상선(주)&lt;/shcoFlco&gt;&lt;pckUt&gt;CT&lt;/pckUt&gt;&lt;shipNatNm&gt;파나마&lt;/shipNatNm&gt;&lt;agnc&gt;장금상선(주)&lt;/agnc&gt;&lt;frwrEntsConm&gt;주식회사 글로벌해현&lt;/frwrEntsConm&gt;&lt;/cargCsclPrgsInfoQryVo&gt;&lt;tCnt&gt;15&lt;/tCnt&gt;&lt;cargCsclPrgsInfoDtlQryVo&gt;&lt;shedNm&gt;동일냉장(주)&lt;/shedNm&gt;&lt;prcsDttm&gt;20251222143548&lt;/prcsDttm&gt;&lt;dclrNo&gt;030115972500001730&lt;/dclrNo&gt;&lt;rlbrDttm&gt;2025-12-22 14:36:00&lt;/rlbrDttm&gt;&lt;wght&gt;10800&lt;/wght&gt;&lt;rlbrBssNo&gt;2356325120630M&lt;/rlbrBssNo&gt;&lt;bfhnGdncCn&gt;&lt;/bfhnGdncCn&gt;&lt;wghtUt&gt;KG&lt;/wghtUt&gt;&lt;pckGcnt&gt;900&lt;/pckGcnt&gt;&lt;cargTrcnRelaBsopTpcd&gt;반출신고&lt;/cargTrcnRelaBsopTpcd&gt;&lt;pckUt&gt;CT&lt;/pckUt&gt;&lt;rlbrCn&gt;수입신고 수리후 반출&lt;/rlbrCn&gt;&lt;shedSgn&gt;03011597&lt;/shedSgn&gt;&lt;/cargCsclPrgsInfoDtlQryVo&gt;&lt;cargCsclPrgsInfoDtlQryVo&gt;&lt;shedNm&gt;동일냉장(주)&lt;/shedNm&gt;&lt;prcsDttm&gt;20251222142558&lt;/prcsDttm&gt;&lt;dclrNo&gt;2356325120630M&lt;/dclrNo&gt;&lt;rlbrDttm&gt;&lt;/rlbrDttm&gt;&lt;wght&gt;10800&lt;/wght&gt;&lt;rlbrBssNo&gt;&lt;/rlbrBssNo&gt;&lt;bfhnGdncCn&gt;&lt;/bfhnGdncCn&gt;&lt;wghtUt&gt;KG&lt;/wghtUt&gt;&lt;pckGcnt&gt;900&lt;/pckGcnt&gt;&lt;cargTrcnRelaBsopTpcd&gt;수입신고수리&lt;/cargTrcnRelaBsopTpcd&gt;&lt;pckUt&gt;CT&lt;/pckUt&gt;&lt;rlbrCn&gt;&lt;/rlbrCn&gt;&lt;shedSgn&gt;03011597&lt;/shedSgn&gt;&lt;/cargCsclPrgsInfoDtlQryVo&gt;&lt;cargCsclPrgsInfoDtlQryVo&gt;&lt;shedNm&gt;동일냉장(주)&lt;/shedNm&gt;&lt;prcsDttm&gt;20251222141612&lt;/prcsDttm&gt;&lt;dclrNo&gt;2356325120630M&lt;/dclrNo&gt;&lt;rlbrDttm&gt;&lt;/rlbrDttm&gt;&lt;wght&gt;10800&lt;/wght&gt;&lt;rlbrBssNo&gt;&lt;/rlbrBssNo&gt;&lt;bfhnGdncCn&gt;&lt;/bfhnGdncCn&gt;&lt;wghtUt&gt;KG&lt;/wghtUt&gt;&lt;pckGcnt&gt;900&lt;/pckGcnt&gt;&lt;cargTrcnRelaBsopTpcd&gt;수입(사용소비) 심사진행&lt;/cargTrcnRelaBsopTpcd&gt;&lt;pckUt&gt;CT&lt;/pckUt&gt;&lt;rlbrCn&gt;&lt;/rlbrCn&gt;&lt;shedSgn&gt;03011597&lt;/shedSgn&gt;&lt;/cargCsclPrgsInfoDtlQryVo&gt;&lt;cargCsclPrgsInfoDtlQryVo&gt;&lt;shedNm&gt;동일냉장(주)&lt;/shedNm&gt;&lt;prcsDttm&gt;20251222134558&lt;/prcsDttm&gt;&lt;dclrNo&gt;2356325120630M&lt;/dclrNo&gt;&lt;rlbrDttm&gt;&lt;/rlbrDttm&gt;&lt;wght&gt;10800&lt;/wght&gt;&lt;rlbrBssNo&gt;선민합동관세사무소&lt;/rlbrBssNo&gt;&lt;bfhnGdncCn&gt;&lt;/bfhnGdncCn&gt;&lt;wghtUt&gt;KG&lt;/wghtUt&gt;&lt;pckGcnt&gt;900&lt;/pckGcnt&gt;&lt;cargTrcnRelaBsopTpcd&gt;수입신고&lt;/cargTrcnRelaBsopTpcd&gt;&lt;pckUt&gt;CT&lt;/pckUt&gt;&lt;rlbrCn&gt;&lt;/rlbrCn&gt;&lt;shedSgn&gt;03011597&lt;/shedSgn&gt;&lt;/cargCsclPrgsInfoDtlQryVo&gt;&lt;cargCsclPrgsInfoDtlQryVo&gt;&lt;shedNm&gt;동일냉장(주)&lt;/shedNm&gt;&lt;prcsDttm&gt;20251219164340&lt;/prcsDttm&gt;&lt;dclrNo&gt;11-2BA2025300878353-01&lt;/dclrNo&gt;&lt;rlbrDttm&gt;2025-12-19 00:00:00&lt;/rlbrDttm&gt;&lt;wght&gt;8100&lt;/wght&gt;&lt;rlbrBssNo&gt;신청일자:25.12.19&lt;/rlbrBssNo&gt;&lt;bfhnGdncCn&gt;[부가사항] 최근 검사/검역 신청부터 결과 과정까지의 평균 소요시간은 3일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20251219085157&lt;/prcsDttm&gt;&lt;dclrNo&gt;030115972500001486&lt;/dclrNo&gt;&lt;rlbrDttm&gt;2025-12-19 08:51:54&lt;/rlbrDttm&gt;&lt;wght&gt;10800&lt;/wght&gt;&lt;rlbrBssNo&gt;030D8039569025U04319&lt;/rlbrBssNo&gt;&lt;bfhnGdncCn&gt;[부가사항] 동일냉장(주)의 장치기간은 최대 6 개월 입니다.&lt;/bfhnGdncCn&gt;&lt;wghtUt&gt;KG&lt;/wghtUt&gt;&lt;pckGcnt&gt;900&lt;/pckGcnt&gt;&lt;cargTrcnRelaBsopTpcd&gt;반입신고&lt;/cargTrcnRelaBsopTpcd&gt;&lt;pckUt&gt;CT&lt;/pckUt&gt;&lt;rlbrCn&gt;보세운송 반입&lt;/rlbrCn&gt;&lt;shedSgn&gt;03011597/001&lt;/shedSgn&gt;&lt;/cargCsclPrgsInfoDtlQryVo&gt;&lt;cargCsclPrgsInfoDtlQryVo&gt;&lt;shedNm&gt;신감만 한국허치슨(주) 컨테이너 보세창고&lt;/shedNm&gt;&lt;prcsDttm&gt;20251219053004&lt;/prcsDttm&gt;&lt;dclrNo&gt;03012010250328872A&lt;/dclrNo&gt;&lt;rlbrDttm&gt;2025-12-19 05:19:00&lt;/rlbrDttm&gt;&lt;wght&gt;10800&lt;/wght&gt;&lt;rlbrBssNo&gt;030D8039569025U04319&lt;/rlbrBssNo&gt;&lt;bfhnGdncCn&gt;&lt;/bfhnGdncCn&gt;&lt;wghtUt&gt;KG&lt;/wghtUt&gt;&lt;pckGcnt&gt;900&lt;/pckGcnt&gt;&lt;cargTrcnRelaBsopTpcd&gt;반출신고&lt;/cargTrcnRelaBsopTpcd&gt;&lt;pckUt&gt;CT&lt;/pckUt&gt;&lt;rlbrCn&gt;보세운송 반출&lt;/rlbrCn&gt;&lt;shedSgn&gt;03012010&lt;/shedSgn&gt;&lt;/cargCsclPrgsInfoDtlQryVo&gt;&lt;cargCsclPrgsInfoDtlQryVo&gt;&lt;shedNm&gt;신감만 한국허치슨(주) 컨테이너 보세창고&lt;/shedNm&gt;&lt;prcsDttm&gt;20251219014819&lt;/prcsDttm&gt;&lt;dclrNo&gt;03012010250324484A&lt;/dclrNo&gt;&lt;rlbrDttm&gt;2025-12-19 01:46:00&lt;/rlbrDttm&gt;&lt;wght&gt;10800&lt;/wght&gt;&lt;rlbrBssNo&gt;&lt;/rlbrBssNo&gt;&lt;bfhnGdncCn&gt;[부가사항] 신감만 한국허치슨(주) 컨테이너 보세창고의 장치기간은 최대 2 개월 입니다.&lt;/bfhnGdncCn&gt;&lt;wghtUt&gt;KG&lt;/wghtUt&gt;&lt;pckGcnt&gt;900&lt;/pckGcnt&gt;&lt;cargTrcnRelaBsopTpcd&gt;반입신고&lt;/cargTrcnRelaBsopTpcd&gt;&lt;pckUt&gt;CT&lt;/pckUt&gt;&lt;rlbrCn&gt;입항 반입&lt;/rlbrCn&gt;&lt;shedSgn&gt;03012010&lt;/shedSgn&gt;&lt;/cargCsclPrgsInfoDtlQryVo&gt;&lt;cargCsclPrgsInfoDtlQryVo&gt;&lt;shedNm&gt;&lt;/shedNm&gt;&lt;prcsDttm&gt;20251218095728&lt;/prcsDttm&gt;&lt;dclrNo&gt;25SNKO4736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20251218095728&lt;/prcsDttm&gt;&lt;dclrNo&gt;25SNKO4736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수리&lt;/cargTrcnRelaBsopTpcd&gt;&lt;pckUt&gt;&lt;/pckUt&gt;&lt;rlbrCn&gt;&lt;/rlbrCn&gt;&lt;shedSgn&gt;&lt;/shedSgn&gt;&lt;/cargCsclPrgsInfoDtlQryVo&gt;&lt;cargCsclPrgsInfoDtlQryVo&gt;&lt;shedNm&gt;신감만 한국허치슨(주) 컨테이너 보세창고&lt;/shedNm&gt;&lt;prcsDttm&gt;20251216173554&lt;/prcsDttm&gt;&lt;dclrNo&gt;25030149381&lt;/dclrNo&gt;&lt;rlbrDttm&gt;&lt;/rlbrDttm&gt;&lt;wght&gt;10800&lt;/wght&gt;&lt;rlbrBssNo&gt;하선반입기한:2025-12-23&lt;/rlbrBssNo&gt;&lt;bfhnGdncCn&gt;&lt;/bfhnGdncCn&gt;&lt;wghtUt&gt;KG&lt;/wghtUt&gt;&lt;pckGcnt&gt;900&lt;/pckGcnt&gt;&lt;cargTrcnRelaBsopTpcd&gt;하선신고 수리&lt;/cargTrcnRelaBsopTpcd&gt;&lt;pckUt&gt;CT&lt;/pckUt&gt;&lt;rlbrCn&gt;&lt;/rlbrCn&gt;&lt;shedSgn&gt;03012010&lt;/shedSgn&gt;&lt;/cargCsclPrgsInfoDtlQryVo&gt;&lt;cargCsclPrgsInfoDtlQryVo&gt;&lt;shedNm&gt;신감만 한국허치슨(주) 컨테이너 보세창고&lt;/shedNm&gt;&lt;prcsDttm&gt;20251216153012&lt;/prcsDttm&gt;&lt;dclrNo&gt;030D8039569025U04319&lt;/dclrNo&gt;&lt;rlbrDttm&gt;(도)03011597동일냉장(주&lt;/rlbrDttm&gt;&lt;wght&gt;10800&lt;/wght&gt;&lt;rlbrBssNo&gt;(주)이지트랜스&lt;/rlbrBssNo&gt;&lt;bfhnGdncCn&gt;&lt;/bfhnGdncCn&gt;&lt;wghtUt&gt;KG&lt;/wghtUt&gt;&lt;pckGcnt&gt;900&lt;/pckGcnt&gt;&lt;cargTrcnRelaBsopTpcd&gt;보세운송 신고 수리&lt;/cargTrcnRelaBsopTpcd&gt;&lt;pckUt&gt;CT&lt;/pckUt&gt;&lt;rlbrCn&gt;&lt;/rlbrCn&gt;&lt;shedSgn&gt;03012010/입항전운송&lt;/shedSgn&gt;&lt;/cargCsclPrgsInfoDtlQryVo&gt;&lt;cargCsclPrgsInfoDtlQryVo&gt;&lt;shedNm&gt;신감만 한국허치슨(주) 컨테이너 보세창고&lt;/shedNm&gt;&lt;prcsDttm&gt;20251216152943&lt;/prcsDttm&gt;&lt;dclrNo&gt;030D8039569025U04319&lt;/dclrNo&gt;&lt;rlbrDttm&gt;&lt;/rlbrDttm&gt;&lt;wght&gt;10800&lt;/wght&gt;&lt;rlbrBssNo&gt;&lt;/rlbrBssNo&gt;&lt;bfhnGdncCn&gt;&lt;/bfhnGdncCn&gt;&lt;wghtUt&gt;KG&lt;/wghtUt&gt;&lt;pckGcnt&gt;900&lt;/pckGcnt&gt;&lt;cargTrcnRelaBsopTpcd&gt;보세운송 신고 접수&lt;/cargTrcnRelaBsopTpcd&gt;&lt;pckUt&gt;CT&lt;/pckUt&gt;&lt;rlbrCn&gt;&lt;/rlbrCn&gt;&lt;shedSgn&gt;03012010/입항전운송&lt;/shedSgn&gt;&lt;/cargCsclPrgsInfoDtlQryVo&gt;&lt;cargCsclPrgsInfoDtlQryVo&gt;&lt;shedNm&gt;신감만 한국허치슨(주) 컨테이너 보세창고&lt;/shedNm&gt;&lt;prcsDttm&gt;20251216140627&lt;/prcsDttm&gt;&lt;dclrNo&gt;&lt;/dclrNo&gt;&lt;rlbrDttm&gt;&lt;/rlbrDttm&gt;&lt;wght&gt;10800&lt;/wght&gt;&lt;rlbrBssNo&gt;주식회사 글로벌해현&lt;/rlbrBssNo&gt;&lt;bfhnGdncCn&gt;&lt;/bfhnGdncCn&gt;&lt;wghtUt&gt;KG&lt;/wghtUt&gt;&lt;pckGcnt&gt;900&lt;/pckGcnt&gt;&lt;cargTrcnRelaBsopTpcd&gt;입항적재화물목록 심사완료&lt;/cargTrcnRelaBsopTpcd&gt;&lt;pckUt&gt;CT&lt;/pckUt&gt;&lt;rlbrCn&gt;&lt;/rlbrCn&gt;&lt;shedSgn&gt;03012010&lt;/shedSgn&gt;&lt;/cargCsclPrgsInfoDtlQryVo&gt;&lt;cargCsclPrgsInfoDtlQryVo&gt;&lt;shedNm&gt;신감만 한국허치슨(주) 컨테이너 보세창고&lt;/shedNm&gt;&lt;prcsDttm&gt;20251216110258&lt;/prcsDttm&gt;&lt;dclrNo&gt;&lt;/dclrNo&gt;&lt;rlbrDttm&gt;&lt;/rlbrDttm&gt;&lt;wght&gt;10800&lt;/wght&gt;&lt;rlbrBssNo&gt;&lt;/rlbrBssNo&gt;&lt;bfhnGdncCn&gt;&lt;/bfhnGdncCn&gt;&lt;wghtUt&gt;KG&lt;/wghtUt&gt;&lt;pckGcnt&gt;900&lt;/pckGcnt&gt;&lt;cargTrcnRelaBsopTpcd&gt;입항적재화물목록 제출&lt;/cargTrcnRelaBsopTpcd&gt;&lt;pckUt&gt;CT&lt;/pckUt&gt;&lt;rlbrCn&gt;&lt;/rlbrCn&gt;&lt;shedSgn&gt;03012010&lt;/shedSgn&gt;&lt;/cargCsclPrgsInfoDtlQryVo&gt;&lt;/cargCsclPrgsInfoQryRtnVo&gt;</t>
  </si>
  <si>
    <t>cargCsclPrgsInfoDtlQryVo</t>
  </si>
  <si>
    <t>Sub 연습()</t>
  </si>
  <si>
    <t xml:space="preserve">    Const 화물진행정보_승인키 As String = "c290s255d192h253h000l090g5"</t>
  </si>
  <si>
    <t xml:space="preserve">    Dim http As Object '정보요청 객체</t>
    <phoneticPr fontId="1" type="noConversion"/>
  </si>
  <si>
    <t xml:space="preserve">    Dim xmlDoc As Object '응답정보를 DOM객체로 변환할 객체</t>
    <phoneticPr fontId="1" type="noConversion"/>
  </si>
  <si>
    <t xml:space="preserve">    Set http = CreateObject("MSXML2.XMLHTTP") '정보요청 객체, url, rest</t>
    <phoneticPr fontId="1" type="noConversion"/>
  </si>
  <si>
    <t xml:space="preserve">    Set xmlDoc = CreateObject("MSXML2.DOMDocument") '응답정보를 DOM객체로 변환할 객체</t>
    <phoneticPr fontId="1" type="noConversion"/>
  </si>
  <si>
    <t xml:space="preserve">    http.Open "GET", url, False '전송준비 : 전송값 셑팅</t>
  </si>
  <si>
    <t xml:space="preserve">    http.send '전송준비 값으로, 실제 전송</t>
  </si>
  <si>
    <t xml:space="preserve">    xmlDoc.LoadXML http.responseText '응답(XML)을 DOM으로 변환</t>
  </si>
  <si>
    <t xml:space="preserve">    '    1.서비스 url(관세청에서 제공하는 OPEN API 기본주소)</t>
    <phoneticPr fontId="1" type="noConversion"/>
  </si>
  <si>
    <t xml:space="preserve">    '================= url 관련 ==============</t>
    <phoneticPr fontId="1" type="noConversion"/>
  </si>
  <si>
    <t xml:space="preserve">    '      https://unipass.customs.go.kr:38010/ext/rest/cargCsclPrgsInfoQry</t>
    <phoneticPr fontId="1" type="noConversion"/>
  </si>
  <si>
    <t xml:space="preserve">    '    2.서비스명 (서비스마다 이름이 있고 승인키를 받아야 한다, 여기서는 화물통관진행정보 조회)</t>
    <phoneticPr fontId="1" type="noConversion"/>
  </si>
  <si>
    <t xml:space="preserve">    '      retrieveCargCsclPrgsInfo, 기본주소 + / + 서비스명</t>
    <phoneticPr fontId="1" type="noConversion"/>
  </si>
  <si>
    <t xml:space="preserve">    '    3.서비스명에 대해 발급받은 승인키 : 파라미터명=파라미터값(승인키)</t>
    <phoneticPr fontId="1" type="noConversion"/>
  </si>
  <si>
    <t xml:space="preserve">    '      "?crkyCn=" &amp; 화물진행정보_승인키</t>
    <phoneticPr fontId="1" type="noConversion"/>
  </si>
  <si>
    <t xml:space="preserve">    '    4.요청정보 : 여기서는 화물관리번호, HOUSE BL, MASTER BL, 년도 4가지의 파라미터를 전달할 수 있다</t>
    <phoneticPr fontId="1" type="noConversion"/>
  </si>
  <si>
    <t xml:space="preserve">    '      파라미터명 : cargMtNo, mblNo, hblNo, blYy</t>
    <phoneticPr fontId="1" type="noConversion"/>
  </si>
  <si>
    <t xml:space="preserve">    '      전달방식 : url에 붙여서, 여러 개를 붙이면 and 조건이 된다.</t>
    <phoneticPr fontId="1" type="noConversion"/>
  </si>
  <si>
    <t xml:space="preserve">    '      "hblNo=" &amp; BL번호 &amp; "blYy=" &amp; 년도</t>
    <phoneticPr fontId="1" type="noConversion"/>
  </si>
  <si>
    <t xml:space="preserve">    Dim url As String '1,2,3,4 를 합친 정보</t>
    <phoneticPr fontId="1" type="noConversion"/>
  </si>
  <si>
    <t xml:space="preserve">    url = https://unipass.customs.go.kr:38010/ext/rest/cargCsclPrgsInfoQry/retrieveCargCsclPrgsInfo _</t>
    <phoneticPr fontId="1" type="noConversion"/>
  </si>
  <si>
    <t xml:space="preserve">           &amp;  "?crkyCn=" &amp; 화물진행정보_승인키 &amp; IIf(isHBL, "&amp;hblNo=", "&amp;mblNo=") &amp; BL번호 _&amp; "&amp;blYy=" &amp; 년도</t>
    <phoneticPr fontId="1" type="noConversion"/>
  </si>
  <si>
    <t>spcnCargCd:</t>
  </si>
  <si>
    <t>pckUt:</t>
  </si>
  <si>
    <t>xmlDoc.ChildNodes.Length</t>
  </si>
  <si>
    <t>&lt;tCnt&gt;3&lt;/tCnt&gt;</t>
  </si>
  <si>
    <t>&lt;tCnt&gt;15&lt;/tCnt&gt;</t>
  </si>
  <si>
    <t>csclPrgsStts:수입신고수리</t>
  </si>
  <si>
    <t>vydf:2508N</t>
  </si>
  <si>
    <t>rlseDtyPridPassTpcd:N</t>
  </si>
  <si>
    <t>prnm:FROZEN RAW PEELED DEVEINED TAIL ON VANNAMEI SHRIMP</t>
  </si>
  <si>
    <t>ldprCd:VNSGN</t>
  </si>
  <si>
    <t>shipNat:PA</t>
  </si>
  <si>
    <t>blPt:C</t>
  </si>
  <si>
    <t>dsprNm:부산항</t>
  </si>
  <si>
    <t>etprDt:20251218</t>
  </si>
  <si>
    <t>prgsStCd:CAGE12</t>
  </si>
  <si>
    <t>msrm:23</t>
  </si>
  <si>
    <t>wghtUt:KG</t>
  </si>
  <si>
    <t>dsprCd:KRPUS</t>
  </si>
  <si>
    <t>cntrGcnt:1</t>
  </si>
  <si>
    <t>cargTp:수입 일반화물</t>
  </si>
  <si>
    <t>shcoFlcoSgn:SNKO</t>
  </si>
  <si>
    <t>pckGcnt:900</t>
  </si>
  <si>
    <t>etprCstm:부산세관</t>
  </si>
  <si>
    <t>shipNm:INCHEON VOYAGER</t>
  </si>
  <si>
    <t>hblNo:NSGS82512016</t>
  </si>
  <si>
    <t>prcsDttm:20251222143548</t>
  </si>
  <si>
    <t>frwrSgn:GLHH</t>
  </si>
  <si>
    <t>ttwg:10800</t>
  </si>
  <si>
    <t>ldprNm:Ho Chi Minh City</t>
  </si>
  <si>
    <t>dclrDelyAdtxYn:N</t>
  </si>
  <si>
    <t>mtTrgtCargYnNm:N</t>
  </si>
  <si>
    <t>cargMtNo:25SNKO4736I20120001</t>
  </si>
  <si>
    <t>cntrNo:SKRU1300602</t>
  </si>
  <si>
    <t>mblNo:HASLS21251102033</t>
  </si>
  <si>
    <t>blPtNm:Consol</t>
  </si>
  <si>
    <t>lodCntyCd:VN</t>
  </si>
  <si>
    <t>prgsStts:반출완료</t>
  </si>
  <si>
    <t>shcoFlco:장금상선(주)</t>
  </si>
  <si>
    <t>pckUt:CT</t>
  </si>
  <si>
    <t>shipNatNm:파나마</t>
  </si>
  <si>
    <t>agnc:장금상선(주)</t>
  </si>
  <si>
    <t>frwrEntsConm:주식회사 글로벌해현</t>
  </si>
  <si>
    <t>#text:15</t>
  </si>
  <si>
    <t>shedNm:동일냉장(주)</t>
  </si>
  <si>
    <t>dclrNo:030115972500001730</t>
  </si>
  <si>
    <t>rlbrDttm:2025-12-22 14:36:00</t>
  </si>
  <si>
    <t>wght:10800</t>
  </si>
  <si>
    <t>rlbrBssNo:2356325120630M</t>
  </si>
  <si>
    <t>bfhnGdncCn:</t>
  </si>
  <si>
    <t>cargTrcnRelaBsopTpcd:반출신고</t>
  </si>
  <si>
    <t>rlbrCn:수입신고 수리후 반출</t>
  </si>
  <si>
    <t>shedSgn:03011597</t>
  </si>
  <si>
    <t>prcsDttm:20251222142558</t>
  </si>
  <si>
    <t>dclrNo:2356325120630M</t>
  </si>
  <si>
    <t>rlbrDttm:</t>
  </si>
  <si>
    <t>rlbrBssNo:</t>
  </si>
  <si>
    <t>cargTrcnRelaBsopTpcd:수입신고수리</t>
  </si>
  <si>
    <t>rlbrCn:</t>
  </si>
  <si>
    <t>prcsDttm:20251222141612</t>
  </si>
  <si>
    <t>cargTrcnRelaBsopTpcd:수입(사용소비) 심사진행</t>
  </si>
  <si>
    <t>prcsDttm:20251222134558</t>
  </si>
  <si>
    <t>rlbrBssNo:선민합동관세사무소</t>
  </si>
  <si>
    <t>cargTrcnRelaBsopTpcd:수입신고</t>
  </si>
  <si>
    <t>prcsDttm:20251219164340</t>
  </si>
  <si>
    <t>dclrNo:11-2BA2025300878353-01</t>
  </si>
  <si>
    <t>rlbrDttm:2025-12-19 00:00:00</t>
  </si>
  <si>
    <t>wght:8100</t>
  </si>
  <si>
    <t>rlbrBssNo:신청일자:25.12.19</t>
  </si>
  <si>
    <t>bfhnGdncCn:[부가사항] 최근 검사/검역 신청부터 결과 과정까지의 평균 소요시간은 3일 입니다.</t>
  </si>
  <si>
    <t>pckGcnt:0</t>
  </si>
  <si>
    <t>cargTrcnRelaBsopTpcd:검사/검역 식품의약품(합격)</t>
  </si>
  <si>
    <t>prcsDttm:20251219085157</t>
  </si>
  <si>
    <t>dclrNo:030115972500001486</t>
  </si>
  <si>
    <t>rlbrDttm:2025-12-19 08:51:54</t>
  </si>
  <si>
    <t>rlbrBssNo:030D8039569025U04319</t>
  </si>
  <si>
    <t>bfhnGdncCn:[부가사항] 동일냉장(주)의 장치기간은 최대 6 개월 입니다.</t>
  </si>
  <si>
    <t>cargTrcnRelaBsopTpcd:반입신고</t>
  </si>
  <si>
    <t>rlbrCn:보세운송 반입</t>
  </si>
  <si>
    <t>shedSgn:03011597/001</t>
  </si>
  <si>
    <t>shedNm:신감만 한국허치슨(주) 컨테이너 보세창고</t>
  </si>
  <si>
    <t>prcsDttm:20251219053004</t>
  </si>
  <si>
    <t>dclrNo:03012010250328872A</t>
  </si>
  <si>
    <t>rlbrDttm:2025-12-19 05:19:00</t>
  </si>
  <si>
    <t>rlbrCn:보세운송 반출</t>
  </si>
  <si>
    <t>shedSgn:03012010</t>
  </si>
  <si>
    <t>prcsDttm:20251219014819</t>
  </si>
  <si>
    <t>dclrNo:03012010250324484A</t>
  </si>
  <si>
    <t>rlbrDttm:2025-12-19 01:46:00</t>
  </si>
  <si>
    <t>bfhnGdncCn:[부가사항] 신감만 한국허치슨(주) 컨테이너 보세창고의 장치기간은 최대 2 개월 입니다.</t>
  </si>
  <si>
    <t>rlbrCn:입항 반입</t>
  </si>
  <si>
    <t>shedNm:</t>
  </si>
  <si>
    <t>prcsDttm:20251218095728</t>
  </si>
  <si>
    <t>dclrNo:25SNKO4736I00000001</t>
  </si>
  <si>
    <t>wght:</t>
  </si>
  <si>
    <t>cargTrcnRelaBsopTpcd:입항적재화물목록 운항정보 정정</t>
  </si>
  <si>
    <t>shedSgn:</t>
  </si>
  <si>
    <t>dclrNo:25SNKO4736I</t>
  </si>
  <si>
    <t>cargTrcnRelaBsopTpcd:입항보고 수리</t>
  </si>
  <si>
    <t>prcsDttm:20251216173554</t>
  </si>
  <si>
    <t>dclrNo:25030149381</t>
  </si>
  <si>
    <t>rlbrBssNo:하선반입기한:2025-12-23</t>
  </si>
  <si>
    <t>cargTrcnRelaBsopTpcd:하선신고 수리</t>
  </si>
  <si>
    <t>prcsDttm:20251216153012</t>
  </si>
  <si>
    <t>dclrNo:030D8039569025U04319</t>
  </si>
  <si>
    <t>rlbrDttm:(도)03011597동일냉장(주</t>
  </si>
  <si>
    <t>rlbrBssNo:(주)이지트랜스</t>
  </si>
  <si>
    <t>cargTrcnRelaBsopTpcd:보세운송 신고 수리</t>
  </si>
  <si>
    <t>shedSgn:03012010/입항전운송</t>
  </si>
  <si>
    <t>prcsDttm:20251216152943</t>
  </si>
  <si>
    <t>cargTrcnRelaBsopTpcd:보세운송 신고 접수</t>
  </si>
  <si>
    <t>prcsDttm:20251216140627</t>
  </si>
  <si>
    <t>dclrNo:</t>
  </si>
  <si>
    <t>rlbrBssNo:주식회사 글로벌해현</t>
  </si>
  <si>
    <t>cargTrcnRelaBsopTpcd:입항적재화물목록 심사완료</t>
  </si>
  <si>
    <t>prcsDttm:20251216110258</t>
  </si>
  <si>
    <t>cargTrcnRelaBsopTpcd:입항적재화물목록 제출</t>
  </si>
  <si>
    <t>cargCsclPrgsInfoQryRtnVo</t>
  </si>
  <si>
    <t>2 : xml의 NodeType=7</t>
  </si>
  <si>
    <t>cargCsclPrgsInfoQryRtnVo의 ChildNodes</t>
  </si>
  <si>
    <t>hblNo:KHHBUS2511004</t>
  </si>
  <si>
    <t>&lt;tCnt&gt;16&lt;/tCnt&gt;</t>
  </si>
  <si>
    <t>&lt;ntceInfo&gt;[N00] 조회 결과가 다건입니다. 상세내역조회를 위해서는 화물관리번호(cargMtNo)로 조회하시기 바랍니다.</t>
    <phoneticPr fontId="1" type="noConversion"/>
  </si>
  <si>
    <t>한BL에 여러 화물관리번호 특징 : 다건은 제외할 것이기 때문에</t>
    <phoneticPr fontId="1" type="noConversion"/>
  </si>
  <si>
    <t xml:space="preserve">MBL로 조회시 </t>
    <phoneticPr fontId="1" type="noConversion"/>
  </si>
  <si>
    <t>규칙만 맞으면 값 전달이 잘못되어도 응답이 온다.</t>
    <phoneticPr fontId="1" type="noConversion"/>
  </si>
  <si>
    <t>값 전달이 잘못되면 &lt;tCnt&gt;-1&lt;/tCnt&gt;&lt;ntceInfo&gt;[화물관리번호(cargMtNo)], [Master B/L번호(mblNo)과 BL년도(blYy)], [House B/L번호(hblNo)과 BL년도(blYy)] 중 한가지는 필수입력입니다. 또는 화물관리번호는 15자리 이상 자리로 입력하셔야 합니다.&lt;/ntceInfo&gt;</t>
    <phoneticPr fontId="1" type="noConversion"/>
  </si>
  <si>
    <t>조회 결과가 없으면 &lt;tCnt&gt;0&lt;/tCnt&gt;&lt;ntceInfo&gt;</t>
    <phoneticPr fontId="1" type="noConversion"/>
  </si>
  <si>
    <t>★ tCnt &lt; 1 일때 아무 작업 하지 말기.</t>
    <phoneticPr fontId="1" type="noConversion"/>
  </si>
  <si>
    <t>★ tCnt &gt; 0 and ntceInfo에 문자열 존재할때(다건)  아무작업 하지 말기</t>
    <phoneticPr fontId="1" type="noConversion"/>
  </si>
  <si>
    <t>?? 첫번째로 분할되면 MBL이 HOUSE BL이 되면서 관리번호가 달라지는데, 이 경우 HOUSE BL로 조회시 1건이 될텐데 &lt;ntceInfo&gt;에 문자열이 있는가?</t>
    <phoneticPr fontId="1" type="noConversion"/>
  </si>
  <si>
    <t>#text:[N00] 조회 결과가 다건입니다. 상세내역조회를 위해서는 화물관리번호(cargMtNo)로 조회하시기 바랍니다.</t>
    <phoneticPr fontId="1" type="noConversion"/>
  </si>
  <si>
    <t>ntceInfo</t>
    <phoneticPr fontId="1" type="noConversion"/>
  </si>
  <si>
    <t>cargCsclPrgsInfoDtlQryVo 값이 "입항적재화물목록 제출"인게 있을때</t>
    <phoneticPr fontId="1" type="noConversion"/>
  </si>
  <si>
    <t>BL 확인</t>
    <phoneticPr fontId="1" type="noConversion"/>
  </si>
  <si>
    <t>H BL</t>
    <phoneticPr fontId="1" type="noConversion"/>
  </si>
  <si>
    <t>M BL</t>
    <phoneticPr fontId="1" type="noConversion"/>
  </si>
  <si>
    <t>MEDURA382940</t>
  </si>
  <si>
    <t>CONTI ANNAPURNA</t>
    <phoneticPr fontId="1" type="noConversion"/>
  </si>
  <si>
    <t>INCHEON VOYAGER</t>
    <phoneticPr fontId="1" type="noConversion"/>
  </si>
  <si>
    <t>INTERASIA ELEVATE</t>
    <phoneticPr fontId="1" type="noConversion"/>
  </si>
  <si>
    <t>2025.12.21</t>
  </si>
  <si>
    <t>2025.12.22</t>
  </si>
  <si>
    <t>2025.12.28</t>
    <phoneticPr fontId="1" type="noConversion"/>
  </si>
  <si>
    <t>MEDUJJ143505</t>
    <phoneticPr fontId="1" type="noConversion"/>
  </si>
  <si>
    <t>MANZANILLO EXPRESS</t>
    <phoneticPr fontId="1" type="noConversion"/>
  </si>
  <si>
    <t>2025.12.27</t>
    <phoneticPr fontId="1" type="noConversion"/>
  </si>
  <si>
    <t>2025.11.22</t>
    <phoneticPr fontId="1" type="noConversion"/>
  </si>
  <si>
    <t>2025.11.20</t>
    <phoneticPr fontId="1" type="noConversion"/>
  </si>
  <si>
    <t>2025.12.29</t>
  </si>
  <si>
    <t>&lt;?xml version="1.0" encoding="UTF-8" standalone="yes"?&gt;&lt;cargCsclPrgsInfoQryRtnVo&gt;&lt;ntceInfo&gt;&lt;/ntceInfo&gt;&lt;cargCsclPrgsInfoQryVo&gt;&lt;csclPrgsStts&gt;수입신고수리&lt;/csclPrgsStts&gt;&lt;vydf&gt;2508N&lt;/vydf&gt;&lt;rlseDtyPridPassTpcd&gt;N&lt;/rlseDtyPridPassTpcd&gt;&lt;prnm&gt;FROZEN RAW PEELED DEVEINED TAIL ON VANNAMEI SHRIMP&lt;/prnm&gt;&lt;ldprCd&gt;VNSGN&lt;/ldprCd&gt;&lt;shipNat&gt;PA&lt;/shipNat&gt;&lt;blPt&gt;C&lt;/blPt&gt;&lt;dsprNm&gt;부산항&lt;/dsprNm&gt;&lt;etprDt&gt;20251218&lt;/etprDt&gt;&lt;prgsStCd&gt;CAGE12&lt;/prgsStCd&gt;&lt;msrm&gt;23&lt;/msrm&gt;&lt;wghtUt&gt;KG&lt;/wghtUt&gt;&lt;dsprCd&gt;KRPUS&lt;/dsprCd&gt;&lt;cntrGcnt&gt;1&lt;/cntrGcnt&gt;&lt;cargTp&gt;수입 일반화물&lt;/cargTp&gt;&lt;shcoFlcoSgn&gt;SNKO&lt;/shcoFlcoSgn&gt;&lt;pckGcnt&gt;900&lt;/pckGcnt&gt;&lt;etprCstm&gt;부산세관&lt;/etprCstm&gt;&lt;shipNm&gt;INCHEON VOYAGER&lt;/shipNm&gt;&lt;hblNo&gt;NSGS82512016&lt;/hblNo&gt;&lt;prcsDttm&gt;20251222143548&lt;/prcsDttm&gt;&lt;frwrSgn&gt;GLHH&lt;/frwrSgn&gt;&lt;spcnCargCd&gt;&lt;/spcnCargCd&gt;&lt;ttwg&gt;10800&lt;/ttwg&gt;&lt;ldprNm&gt;Ho Chi Minh City&lt;/ldprNm&gt;&lt;dclrDelyAdtxYn&gt;N&lt;/dclrDelyAdtxYn&gt;&lt;mtTrgtCargYnNm&gt;N&lt;/mtTrgtCargYnNm&gt;&lt;cargMtNo&gt;25SNKO4736I20120001&lt;/cargMtNo&gt;&lt;cntrNo&gt;SKRU1300602&lt;/cntrNo&gt;&lt;mblNo&gt;HASLS21251102033&lt;/mblNo&gt;&lt;blPtNm&gt;Consol&lt;/blPtNm&gt;&lt;lodCntyCd&gt;VN&lt;/lodCntyCd&gt;&lt;prgsStts&gt;반출완료&lt;/prgsStts&gt;&lt;shcoFlco&gt;장금상선(주)&lt;/shcoFlco&gt;&lt;pckUt&gt;CT&lt;/pckUt&gt;&lt;shipNatNm&gt;파나마&lt;/shipNatNm&gt;&lt;agnc&gt;장금상선(주)&lt;/agnc&gt;&lt;frwrEntsConm&gt;주식회사 글로벌해현&lt;/frwrEntsConm&gt;&lt;/cargCsclPrgsInfoQryVo&gt;&lt;tCnt&gt;15&lt;/tCnt&gt;&lt;cargCsclPrgsInfoDtlQryVo&gt;&lt;shedNm&gt;동일냉장(주)&lt;/shedNm&gt;&lt;prcsDttm&gt;20251222143548&lt;/prcsDttm&gt;&lt;dclrNo&gt;030115972500001730&lt;/dclrNo&gt;&lt;rlbrDttm&gt;2025-12-22 14:36:00&lt;/rlbrDttm&gt;&lt;wght&gt;10800&lt;/wght&gt;&lt;rlbrBssNo&gt;2356325120630M&lt;/rlbrBssNo&gt;&lt;bfhnGdncCn&gt;&lt;/bfhnGdncCn&gt;&lt;wghtUt&gt;KG&lt;/wghtUt&gt;&lt;pckGcnt&gt;900&lt;/pckGcnt&gt;&lt;cargTrcnRelaBsopTpcd&gt;반출신고&lt;/cargTrcnRelaBsopTpcd&gt;&lt;pckUt&gt;CT&lt;/pckUt&gt;&lt;rlbrCn&gt;수입신고 수리후 반출&lt;/rlbrCn&gt;&lt;shedSgn&gt;03011597&lt;/shedSgn&gt;&lt;/cargCsclPrgsInfoDtlQryVo&gt;&lt;cargCsclPrgsInfoDtlQryVo&gt;&lt;shedNm&gt;동일냉장(주)&lt;/shedNm&gt;&lt;prcsDttm&gt;20251222142558&lt;/prcsDttm&gt;&lt;dclrNo&gt;2356325120630M&lt;/dclrNo&gt;&lt;rlbrDttm&gt;&lt;/rlbrDttm&gt;&lt;wght&gt;10800&lt;/wght&gt;&lt;rlbrBssNo&gt;&lt;/rlbrBssNo&gt;&lt;bfhnGdncCn&gt;&lt;/bfhnGdncCn&gt;&lt;wghtUt&gt;KG&lt;/wghtUt&gt;&lt;pckGcnt&gt;900&lt;/pckGcnt&gt;&lt;cargTrcnRelaBsopTpcd&gt;수입신고수리&lt;/cargTrcnRelaBsopTpcd&gt;&lt;pckUt&gt;CT&lt;/pckUt&gt;&lt;rlbrCn&gt;&lt;/rlbrCn&gt;&lt;shedSgn&gt;03011597&lt;/shedSgn&gt;&lt;/cargCsclPrgsInfoDtlQryVo&gt;&lt;cargCsclPrgsInfoDtlQryVo&gt;&lt;shedNm&gt;동일냉장(주)&lt;/shedNm&gt;&lt;prcsDttm&gt;20251222141612&lt;/prcsDttm&gt;&lt;dclrNo&gt;2356325120630M&lt;/dclrNo&gt;&lt;rlbrDttm&gt;&lt;/rlbrDttm&gt;&lt;wght&gt;10800&lt;/wght&gt;&lt;rlbrBssNo&gt;&lt;/rlbrBssNo&gt;&lt;bfhnGdncCn&gt;&lt;/bfhnGdncCn&gt;&lt;wghtUt&gt;KG&lt;/wghtUt&gt;&lt;pckGcnt&gt;900&lt;/pckGcnt&gt;&lt;cargTrcnRelaBsopTpcd&gt;수입(사용소비) 심사진행&lt;/cargTrcnRelaBsopTpcd&gt;&lt;pckUt&gt;CT&lt;/pckUt&gt;&lt;rlbrCn&gt;&lt;/rlbrCn&gt;&lt;shedSgn&gt;03011597&lt;/shedSgn&gt;&lt;/cargCsclPrgsInfoDtlQryVo&gt;&lt;cargCsclPrgsInfoDtlQryVo&gt;&lt;shedNm&gt;동일냉장(주)&lt;/shedNm&gt;&lt;prcsDttm&gt;20251222134558&lt;/prcsDttm&gt;&lt;dclrNo&gt;2356325120630M&lt;/dclrNo&gt;&lt;rlbrDttm&gt;&lt;/rlbrDttm&gt;&lt;wght&gt;10800&lt;/wght&gt;&lt;rlbrBssNo&gt;선민합동관세사무소&lt;/rlbrBssNo&gt;&lt;bfhnGdncCn&gt;&lt;/bfhnGdncCn&gt;&lt;wghtUt&gt;KG&lt;/wghtUt&gt;&lt;pckGcnt&gt;900&lt;/pckGcnt&gt;&lt;cargTrcnRelaBsopTpcd&gt;수입신고&lt;/cargTrcnRelaBsopTpcd&gt;&lt;pckUt&gt;CT&lt;/pckUt&gt;&lt;rlbrCn&gt;&lt;/rlbrCn&gt;&lt;shedSgn&gt;03011597&lt;/shedSgn&gt;&lt;/cargCsclPrgsInfoDtlQryVo&gt;&lt;cargCsclPrgsInfoDtlQryVo&gt;&lt;shedNm&gt;동일냉장(주)&lt;/shedNm&gt;&lt;prcsDttm&gt;20251219164340&lt;/prcsDttm&gt;&lt;dclrNo&gt;11-2BA2025300878353-01&lt;/dclrNo&gt;&lt;rlbrDttm&gt;2025-12-19 00:00:00&lt;/rlbrDttm&gt;&lt;wght&gt;8100&lt;/wght&gt;&lt;rlbrBssNo&gt;신청일자:25.12.19&lt;/rlbrBssNo&gt;&lt;bfhnGdncCn&gt;[부가사항] 최근 검사/검역 신청부터 결과 과정까지의 평균 소요시간은 3일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20251219085157&lt;/prcsDttm&gt;&lt;dclrNo&gt;030115972500001486&lt;/dclrNo&gt;&lt;rlbrDttm&gt;2025-12-19 08:51:54&lt;/rlbrDttm&gt;&lt;wght&gt;10800&lt;/wght&gt;&lt;rlbrBssNo&gt;030D8039569025U04319&lt;/rlbrBssNo&gt;&lt;bfhnGdncCn&gt;[부가사항] 동일냉장(주)의 장치기간은 최대 6 개월 입니다.&lt;/bfhnGdncCn&gt;&lt;wghtUt&gt;KG&lt;/wghtUt&gt;&lt;pckGcnt&gt;900&lt;/pckGcnt&gt;&lt;cargTrcnRelaBsopTpcd&gt;반입신고&lt;/cargTrcnRelaBsopTpcd&gt;&lt;pckUt&gt;CT&lt;/pckUt&gt;&lt;rlbrCn&gt;보세운송 반입&lt;/rlbrCn&gt;&lt;shedSgn&gt;03011597/001&lt;/shedSgn&gt;&lt;/cargCsclPrgsInfoDtlQryVo&gt;&lt;cargCsclPrgsInfoDtlQryVo&gt;&lt;shedNm&gt;신감만 한국허치슨(주) 컨테이너 보세창고&lt;/shedNm&gt;&lt;prcsDttm&gt;20251219053004&lt;/prcsDttm&gt;&lt;dclrNo&gt;03012010250328872A&lt;/dclrNo&gt;&lt;rlbrDttm&gt;2025-12-19 05:19:00&lt;/rlbrDttm&gt;&lt;wght&gt;10800&lt;/wght&gt;&lt;rlbrBssNo&gt;030D8039569025U04319&lt;/rlbrBssNo&gt;&lt;bfhnGdncCn&gt;&lt;/bfhnGdncCn&gt;&lt;wghtUt&gt;KG&lt;/wghtUt&gt;&lt;pckGcnt&gt;900&lt;/pckGcnt&gt;&lt;cargTrcnRelaBsopTpcd&gt;반출신고&lt;/cargTrcnRelaBsopTpcd&gt;&lt;pckUt&gt;CT&lt;/pckUt&gt;&lt;rlbrCn&gt;보세운송 반출&lt;/rlbrCn&gt;&lt;shedSgn&gt;03012010&lt;/shedSgn&gt;&lt;/cargCsclPrgsInfoDtlQryVo&gt;&lt;cargCsclPrgsInfoDtlQryVo&gt;&lt;shedNm&gt;신감만 한국허치슨(주) 컨테이너 보세창고&lt;/shedNm&gt;&lt;prcsDttm&gt;20251219014819&lt;/prcsDttm&gt;&lt;dclrNo&gt;03012010250324484A&lt;/dclrNo&gt;&lt;rlbrDttm&gt;2025-12-19 01:46:00&lt;/rlbrDttm&gt;&lt;wght&gt;10800&lt;/wght&gt;&lt;rlbrBssNo&gt;&lt;/rlbrBssNo&gt;&lt;bfhnGdncCn&gt;[부가사항] 신감만 한국허치슨(주) 컨테이너 보세창고의 장치기간은 최대 2 개월 입니다.&lt;/bfhnGdncCn&gt;&lt;wghtUt&gt;KG&lt;/wghtUt&gt;&lt;pckGcnt&gt;900&lt;/pckGcnt&gt;&lt;cargTrcnRelaBsopTpcd&gt;반입신고&lt;/cargTrcnRelaBsopTpcd&gt;&lt;pckUt&gt;CT&lt;/pckUt&gt;&lt;rlbrCn&gt;입항 반입&lt;/rlbrCn&gt;&lt;shedSgn&gt;03012010&lt;/shedSgn&gt;&lt;/cargCsclPrgsInfoDtlQryVo&gt;&lt;cargCsclPrgsInfoDtlQryVo&gt;&lt;shedNm&gt;&lt;/shedNm&gt;&lt;prcsDttm&gt;20251218095728&lt;/prcsDttm&gt;&lt;dclrNo&gt;25SNKO4736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20251218095728&lt;/prcsDttm&gt;&lt;dclrNo&gt;25SNKO4736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수리&lt;/cargTrcnRelaBsopTpcd&gt;&lt;pckUt&gt;&lt;/pckUt&gt;&lt;rlbrCn&gt;&lt;/rlbrCn&gt;&lt;shedSgn&gt;&lt;/shedSgn&gt;&lt;/cargCsclPrgsInfoDtlQryVo&gt;&lt;cargCsclPrgsInfoDtlQryVo&gt;&lt;shedNm&gt;신감만 한국허치슨(주) 컨테이너 보세창고&lt;/shedNm&gt;&lt;prcsDttm&gt;20251216173554&lt;/prcsDttm&gt;&lt;dclrNo&gt;25030149381&lt;/dclrNo&gt;&lt;rlbrDttm&gt;&lt;/rlbrDttm&gt;&lt;wght&gt;10800&lt;/wght&gt;&lt;rlbrBssNo&gt;하선반입기한:2025-12-23&lt;/rlbrBssNo&gt;&lt;bfhnGdncCn&gt;&lt;/bfhnGdncCn&gt;&lt;wghtUt&gt;KG&lt;/wghtUt&gt;&lt;pckGcnt&gt;900&lt;/pckGcnt&gt;&lt;cargTrcnRelaBsopTpcd&gt;하선신고 수리&lt;/cargTrcnRelaBsopTpcd&gt;&lt;pckUt&gt;CT&lt;/pckUt&gt;&lt;rlbrCn&gt;&lt;/rlbrCn&gt;&lt;shedSgn&gt;03012010&lt;/shedSgn&gt;&lt;/cargCsclPrgsInfoDtlQryVo&gt;&lt;cargCsclPrgsInfoDtlQryVo&gt;&lt;shedNm&gt;신감만 한국허치슨(주) 컨테이너 보세창고&lt;/shedNm&gt;&lt;prcsDttm&gt;20251216153012&lt;/prcsDttm&gt;&lt;dclrNo&gt;030D8039569025U04319&lt;/dclrNo&gt;&lt;rlbrDttm&gt;(도)03011597동일냉장(주&lt;/rlbrDttm&gt;&lt;wght&gt;10800&lt;/wght&gt;&lt;rlbrBssNo&gt;(주)이지트랜스&lt;/rlbrBssNo&gt;&lt;bfhnGdncCn&gt;&lt;/bfhnGdncCn&gt;&lt;wghtUt&gt;KG&lt;/wghtUt&gt;&lt;pckGcnt&gt;900&lt;/pckGcnt&gt;&lt;cargTrcnRelaBsopTpcd&gt;보세운송 신고 수리&lt;/cargTrcnRelaBsopTpcd&gt;&lt;pckUt&gt;CT&lt;/pckUt&gt;&lt;rlbrCn&gt;&lt;/rlbrCn&gt;&lt;shedSgn&gt;03012010/입항전운송&lt;/shedSgn&gt;&lt;/cargCsclPrgsInfoDtlQryVo&gt;&lt;cargCsclPrgsInfoDtlQryVo&gt;&lt;shedNm&gt;신감만 한국허치슨(주) 컨테이너 보세창고&lt;/shedNm&gt;&lt;prcsDttm&gt;20251216152943&lt;/prcsDttm&gt;&lt;dclrNo&gt;030D8039569025U04319&lt;/dclrNo&gt;&lt;rlbrDttm&gt;&lt;/rlbrDttm&gt;&lt;wght&gt;10800&lt;/wght&gt;&lt;rlbrBssNo&gt;&lt;/rlbrBssNo&gt;&lt;bfhnGdncCn&gt;&lt;/bfhnGdncCn&gt;&lt;wghtUt&gt;KG&lt;/wghtUt&gt;&lt;pckGcnt&gt;900&lt;/pckGcnt&gt;&lt;cargTrcnRelaBsopTpcd&gt;보세운송 신고 접수&lt;/cargTrcnRelaBsopTpcd&gt;&lt;pckUt&gt;CT&lt;/pckUt&gt;&lt;rlbrCn&gt;&lt;/rlbrCn&gt;&lt;shedSgn&gt;03012010/입항전운송&lt;/shedSgn&gt;&lt;/cargCsclPrgsInfoDtlQryVo&gt;&lt;cargCsclPrgsInfoDtlQryVo&gt;&lt;shedNm&gt;신감만 한국허치슨(주) 컨테이너 보세창고&lt;/shedNm&gt;&lt;prcsDttm&gt;20251216140627&lt;/prcsDttm&gt;&lt;dclrNo&gt;&lt;/dclrNo&gt;&lt;rlbrDttm&gt;&lt;/rlbrDttm&gt;&lt;wght&gt;10800&lt;/wght&gt;&lt;rlbrBssNo&gt;주식회사 글로벌해현&lt;/rlbrBssNo&gt;&lt;bfhnGdncCn&gt;&lt;/bfhnGdncCn&gt;&lt;wghtUt&gt;KG&lt;/wghtUt&gt;&lt;pckGcnt&gt;900&lt;/pckGcnt&gt;&lt;cargTrcnRelaBsopTpcd&gt;입항적재화물목록 심사완료&lt;/cargTrcnRelaBsopTpcd&gt;&lt;pckUt&gt;CT&lt;/pckUt&gt;&lt;rlbrCn&gt;&lt;/rlbrCn&gt;&lt;shedSgn&gt;03012010&lt;/shedSgn&gt;&lt;/cargCsclPrgsInfoDtlQryVo&gt;&lt;cargCsclPrgsInfoDtlQryVo&gt;&lt;shedNm&gt;신감만 한국허치슨(주) 컨테이너 보세창고&lt;/shedNm&gt;&lt;prcsDttm&gt;20251216110258&lt;/prcsDttm&gt;&lt;dclrNo&gt;&lt;/dclrNo&gt;&lt;rlbrDttm&gt;&lt;/rlbrDttm&gt;&lt;wght&gt;10800&lt;/wght&gt;&lt;rlbrBssNo&gt;&lt;/rlbrBssNo&gt;&lt;bfhnGdncCn&gt;&lt;/bfhnGdncCn&gt;&lt;wghtUt&gt;KG&lt;/wghtUt&gt;&lt;pckGcnt&gt;900&lt;/pckGcnt&gt;&lt;cargTrcnRelaBsopTpcd&gt;입항적재화물목록 제출&lt;/cargTrcnRelaBsopTpcd&gt;&lt;pckUt&gt;CT&lt;/pckUt&gt;&lt;rlbrCn&gt;&lt;/rlbrCn&gt;&lt;shedSgn&gt;03012010&lt;/shedSgn&gt;&lt;/cargCsclPrgsInfoDtlQryVo&gt;&lt;/cargCsclPrgsInfoQryRtnVo&gt;</t>
    <phoneticPr fontId="1" type="noConversion"/>
  </si>
  <si>
    <t>&lt;?xml version="1.0" encoding="UTF-8" standalone="yes"?&gt;&lt;cargCsclPrgsInfoQryRtnVo&gt;&lt;ntceInfo&gt;&lt;/ntceInfo&gt;&lt;cargCsclPrgsInfoQryVo&gt;&lt;csclPrgsStts&gt;수입신고수리&lt;/csclPrgsStts&gt;&lt;vydf&gt;N059&lt;/vydf&gt;&lt;rlseDtyPridPassTpcd&gt;N&lt;/rlseDtyPridPassTpcd&gt;&lt;prnm&gt;FROZEN PDTO VANNAMEI SHRIMP&lt;/prnm&gt;&lt;ldprCd&gt;CNXMN&lt;/ldprCd&gt;&lt;shipNat&gt;SG&lt;/shipNat&gt;&lt;blPt&gt;C&lt;/blPt&gt;&lt;dsprNm&gt;부산항&lt;/dsprNm&gt;&lt;etprDt&gt;20251122&lt;/etprDt&gt;&lt;prgsStCd&gt;CAGE12&lt;/prgsStCd&gt;&lt;msrm&gt;55&lt;/msrm&gt;&lt;wghtUt&gt;KG&lt;/wghtUt&gt;&lt;dsprCd&gt;KRPUS&lt;/dsprCd&gt;&lt;cntrGcnt&gt;1&lt;/cntrGcnt&gt;&lt;cargTp&gt;수입 일반화물&lt;/cargTp&gt;&lt;shcoFlcoSgn&gt;IALK&lt;/shcoFlcoSgn&gt;&lt;pckGcnt&gt;1800&lt;/pckGcnt&gt;&lt;etprCstm&gt;부산세관&lt;/etprCstm&gt;&lt;shipNm&gt;INTERASIA ELEVATE&lt;/shipNm&gt;&lt;hblNo&gt;A66FX05797&lt;/hblNo&gt;&lt;prcsDttm&gt;20251208085523&lt;/prcsDttm&gt;&lt;frwrSgn&gt;NJGL&lt;/frwrSgn&gt;&lt;spcnCargCd&gt;&lt;/spcnCargCd&gt;&lt;ttwg&gt;21000&lt;/ttwg&gt;&lt;ldprNm&gt;Xiamen&lt;/ldprNm&gt;&lt;dclrDelyAdtxYn&gt;N&lt;/dclrDelyAdtxYn&gt;&lt;mtTrgtCargYnNm&gt;N&lt;/mtTrgtCargYnNm&gt;&lt;cargMtNo&gt;25IALKIV50I90430001&lt;/cargMtNo&gt;&lt;cntrNo&gt;IAAU8683206&lt;/cntrNo&gt;&lt;mblNo&gt;A66FX05797&lt;/mblNo&gt;&lt;blPtNm&gt;Consol&lt;/blPtNm&gt;&lt;lodCntyCd&gt;CN&lt;/lodCntyCd&gt;&lt;prgsStts&gt;반출완료&lt;/prgsStts&gt;&lt;shcoFlco&gt;인터아시아라인즈코리아 주식회사&lt;/shcoFlco&gt;&lt;pckUt&gt;CT&lt;/pckUt&gt;&lt;shipNatNm&gt;싱가포르&lt;/shipNatNm&gt;&lt;agnc&gt;인터아시아라인코리아&lt;/agnc&gt;&lt;frwrEntsConm&gt;주식회사 엔제이글로벌&lt;/frwrEntsConm&gt;&lt;/cargCsclPrgsInfoQryVo&gt;&lt;tCnt&gt;16&lt;/tCnt&gt;&lt;cargCsclPrgsInfoDtlQryVo&gt;&lt;shedNm&gt;동일냉장(주)&lt;/shedNm&gt;&lt;prcsDttm&gt;20251208085523&lt;/prcsDttm&gt;&lt;dclrNo&gt;030115972500001627&lt;/dclrNo&gt;&lt;rlbrDttm&gt;2025-12-08 08:55:00&lt;/rlbrDttm&gt;&lt;wght&gt;21000&lt;/wght&gt;&lt;rlbrBssNo&gt;1248625110524M&lt;/rlbrBssNo&gt;&lt;bfhnGdncCn&gt;&lt;/bfhnGdncCn&gt;&lt;wghtUt&gt;KG&lt;/wghtUt&gt;&lt;pckGcnt&gt;1800&lt;/pckGcnt&gt;&lt;cargTrcnRelaBsopTpcd&gt;반출신고&lt;/cargTrcnRelaBsopTpcd&gt;&lt;pckUt&gt;CT&lt;/pckUt&gt;&lt;rlbrCn&gt;수입신고 수리후 반출&lt;/rlbrCn&gt;&lt;shedSgn&gt;03011597&lt;/shedSgn&gt;&lt;/cargCsclPrgsInfoDtlQryVo&gt;&lt;cargCsclPrgsInfoDtlQryVo&gt;&lt;shedNm&gt;동일냉장(주)&lt;/shedNm&gt;&lt;prcsDttm&gt;20251208083059&lt;/prcsDttm&gt;&lt;dclrNo&gt;1248625110524M&lt;/dclrNo&gt;&lt;rlbrDttm&gt;&lt;/rlbrDttm&gt;&lt;wght&gt;21000&lt;/wght&gt;&lt;rlbrBssNo&gt;&lt;/rlbrBssNo&gt;&lt;bfhnGdncCn&gt;&lt;/bfhnGdncCn&gt;&lt;wghtUt&gt;KG&lt;/wghtUt&gt;&lt;pckGcnt&gt;1800&lt;/pckGcnt&gt;&lt;cargTrcnRelaBsopTpcd&gt;수입신고수리&lt;/cargTrcnRelaBsopTpcd&gt;&lt;pckUt&gt;CT&lt;/pckUt&gt;&lt;rlbrCn&gt;&lt;/rlbrCn&gt;&lt;shedSgn&gt;03011597&lt;/shedSgn&gt;&lt;/cargCsclPrgsInfoDtlQryVo&gt;&lt;cargCsclPrgsInfoDtlQryVo&gt;&lt;shedNm&gt;동일냉장(주)&lt;/shedNm&gt;&lt;prcsDttm&gt;20251128173204&lt;/prcsDttm&gt;&lt;dclrNo&gt;1248625110524M&lt;/dclrNo&gt;&lt;rlbrDttm&gt;&lt;/rlbrDttm&gt;&lt;wght&gt;21000&lt;/wght&gt;&lt;rlbrBssNo&gt;&lt;/rlbrBssNo&gt;&lt;bfhnGdncCn&gt;&lt;/bfhnGdncCn&gt;&lt;wghtUt&gt;KG&lt;/wghtUt&gt;&lt;pckGcnt&gt;1800&lt;/pckGcnt&gt;&lt;cargTrcnRelaBsopTpcd&gt;수입(사용소비) 결재통보&lt;/cargTrcnRelaBsopTpcd&gt;&lt;pckUt&gt;CT&lt;/pckUt&gt;&lt;rlbrCn&gt;&lt;/rlbrCn&gt;&lt;shedSgn&gt;03011597&lt;/shedSgn&gt;&lt;/cargCsclPrgsInfoDtlQryVo&gt;&lt;cargCsclPrgsInfoDtlQryVo&gt;&lt;shedNm&gt;동일냉장(주)&lt;/shedNm&gt;&lt;prcsDttm&gt;20251128172859&lt;/prcsDttm&gt;&lt;dclrNo&gt;1248625110524M&lt;/dclrNo&gt;&lt;rlbrDttm&gt;&lt;/rlbrDttm&gt;&lt;wght&gt;21000&lt;/wght&gt;&lt;rlbrBssNo&gt;&lt;/rlbrBssNo&gt;&lt;bfhnGdncCn&gt;&lt;/bfhnGdncCn&gt;&lt;wghtUt&gt;KG&lt;/wghtUt&gt;&lt;pckGcnt&gt;1800&lt;/pckGcnt&gt;&lt;cargTrcnRelaBsopTpcd&gt;수입(사용소비) 심사진행&lt;/cargTrcnRelaBsopTpcd&gt;&lt;pckUt&gt;CT&lt;/pckUt&gt;&lt;rlbrCn&gt;&lt;/rlbrCn&gt;&lt;shedSgn&gt;03011597&lt;/shedSgn&gt;&lt;/cargCsclPrgsInfoDtlQryVo&gt;&lt;cargCsclPrgsInfoDtlQryVo&gt;&lt;shedNm&gt;동일냉장(주)&lt;/shedNm&gt;&lt;prcsDttm&gt;20251128171828&lt;/prcsDttm&gt;&lt;dclrNo&gt;1248625110524M&lt;/dclrNo&gt;&lt;rlbrDttm&gt;&lt;/rlbrDttm&gt;&lt;wght&gt;21000&lt;/wght&gt;&lt;rlbrBssNo&gt;인동관세사무소&lt;/rlbrBssNo&gt;&lt;bfhnGdncCn&gt;&lt;/bfhnGdncCn&gt;&lt;wghtUt&gt;KG&lt;/wghtUt&gt;&lt;pckGcnt&gt;1800&lt;/pckGcnt&gt;&lt;cargTrcnRelaBsopTpcd&gt;수입신고&lt;/cargTrcnRelaBsopTpcd&gt;&lt;pckUt&gt;CT&lt;/pckUt&gt;&lt;rlbrCn&gt;&lt;/rlbrCn&gt;&lt;shedSgn&gt;03011597&lt;/shedSgn&gt;&lt;/cargCsclPrgsInfoDtlQryVo&gt;&lt;cargCsclPrgsInfoDtlQryVo&gt;&lt;shedNm&gt;동일냉장(주)&lt;/shedNm&gt;&lt;prcsDttm&gt;20251125112345&lt;/prcsDttm&gt;&lt;dclrNo&gt;11-2BA2025000813240-01&lt;/dclrNo&gt;&lt;rlbrDttm&gt;2025-11-25 00:00:00&lt;/rlbrDttm&gt;&lt;wght&gt;16200&lt;/wght&gt;&lt;rlbrBssNo&gt;신청일자:25.11.25&lt;/rlbrBssNo&gt;&lt;bfhnGdncCn&gt;[부가사항] 최근 검사/검역 신청부터 결과 과정까지의 평균 소요시간은 7일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20251125103750&lt;/prcsDttm&gt;&lt;dclrNo&gt;030115972500001313&lt;/dclrNo&gt;&lt;rlbrDttm&gt;2025-11-25 10:37:47&lt;/rlbrDttm&gt;&lt;wght&gt;21000&lt;/wght&gt;&lt;rlbrBssNo&gt;030D8030007025108414&lt;/rlbrBssNo&gt;&lt;bfhnGdncCn&gt;[부가사항] 동일냉장(주)의 장치기간은 최대 6 개월 입니다.&lt;/bfhnGdncCn&gt;&lt;wghtUt&gt;KG&lt;/wghtUt&gt;&lt;pckGcnt&gt;1800&lt;/pckGcnt&gt;&lt;cargTrcnRelaBsopTpcd&gt;반입신고&lt;/cargTrcnRelaBsopTpcd&gt;&lt;pckUt&gt;CT&lt;/pckUt&gt;&lt;rlbrCn&gt;보세운송 반입&lt;/rlbrCn&gt;&lt;shedSgn&gt;03011597/001&lt;/shedSgn&gt;&lt;/cargCsclPrgsInfoDtlQryVo&gt;&lt;cargCsclPrgsInfoDtlQryVo&gt;&lt;shedNm&gt;신선대감만터미널(주) 감만CY&lt;/shedNm&gt;&lt;prcsDttm&gt;20251124155704&lt;/prcsDttm&gt;&lt;dclrNo&gt;03012226250293146A&lt;/dclrNo&gt;&lt;rlbrDttm&gt;2025-11-24 15:54:15&lt;/rlbrDttm&gt;&lt;wght&gt;21000&lt;/wght&gt;&lt;rlbrBssNo&gt;030D8030007025108414&lt;/rlbrBssNo&gt;&lt;bfhnGdncCn&gt;&lt;/bfhnGdncCn&gt;&lt;wghtUt&gt;KG&lt;/wghtUt&gt;&lt;pckGcnt&gt;1800&lt;/pckGcnt&gt;&lt;cargTrcnRelaBsopTpcd&gt;반출신고&lt;/cargTrcnRelaBsopTpcd&gt;&lt;pckUt&gt;CT&lt;/pckUt&gt;&lt;rlbrCn&gt;보세운송 반출&lt;/rlbrCn&gt;&lt;shedSgn&gt;03012226&lt;/shedSgn&gt;&lt;/cargCsclPrgsInfoDtlQryVo&gt;&lt;cargCsclPrgsInfoDtlQryVo&gt;&lt;shedNm&gt;신선대감만터미널(주) 감만CY&lt;/shedNm&gt;&lt;prcsDttm&gt;20251122072401&lt;/prcsDttm&gt;&lt;dclrNo&gt;03012226250288119A&lt;/dclrNo&gt;&lt;rlbrDttm&gt;2025-11-22 07:19:38&lt;/rlbrDttm&gt;&lt;wght&gt;21000&lt;/wght&gt;&lt;rlbrBssNo&gt;&lt;/rlbrBssNo&gt;&lt;bfhnGdncCn&gt;[부가사항] 신선대감만터미널(주) 감만CY의 장치기간은 최대 2 개월 입니다.&lt;/bfhnGdncCn&gt;&lt;wghtUt&gt;KG&lt;/wghtUt&gt;&lt;pckGcnt&gt;1800&lt;/pckGcnt&gt;&lt;cargTrcnRelaBsopTpcd&gt;반입신고&lt;/cargTrcnRelaBsopTpcd&gt;&lt;pckUt&gt;CT&lt;/pckUt&gt;&lt;rlbrCn&gt;입항 반입&lt;/rlbrCn&gt;&lt;shedSgn&gt;03012226&lt;/shedSgn&gt;&lt;/cargCsclPrgsInfoDtlQryVo&gt;&lt;cargCsclPrgsInfoDtlQryVo&gt;&lt;shedNm&gt;&lt;/shedNm&gt;&lt;prcsDttm&gt;20251121234136&lt;/prcsDttm&gt;&lt;dclrNo&gt;25IALKIV50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20251121234136&lt;/prcsDttm&gt;&lt;dclrNo&gt;25IALKIV50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수리&lt;/cargTrcnRelaBsopTpcd&gt;&lt;pckUt&gt;&lt;/pckUt&gt;&lt;rlbrCn&gt;&lt;/rlbrCn&gt;&lt;shedSgn&gt;&lt;/shedSgn&gt;&lt;/cargCsclPrgsInfoDtlQryVo&gt;&lt;cargCsclPrgsInfoDtlQryVo&gt;&lt;shedNm&gt;신선대감만터미널(주) 감만CY&lt;/shedNm&gt;&lt;prcsDttm&gt;20251121173521&lt;/prcsDttm&gt;&lt;dclrNo&gt;25030146003&lt;/dclrNo&gt;&lt;rlbrDttm&gt;&lt;/rlbrDttm&gt;&lt;wght&gt;21000&lt;/wght&gt;&lt;rlbrBssNo&gt;하선반입기한:2025-11-27&lt;/rlbrBssNo&gt;&lt;bfhnGdncCn&gt;&lt;/bfhnGdncCn&gt;&lt;wghtUt&gt;KG&lt;/wghtUt&gt;&lt;pckGcnt&gt;1800&lt;/pckGcnt&gt;&lt;cargTrcnRelaBsopTpcd&gt;하선신고 수리&lt;/cargTrcnRelaBsopTpcd&gt;&lt;pckUt&gt;CT&lt;/pckUt&gt;&lt;rlbrCn&gt;&lt;/rlbrCn&gt;&lt;shedSgn&gt;03012226&lt;/shedSgn&gt;&lt;/cargCsclPrgsInfoDtlQryVo&gt;&lt;cargCsclPrgsInfoDtlQryVo&gt;&lt;shedNm&gt;신선대감만터미널(주) 감만CY&lt;/shedNm&gt;&lt;prcsDttm&gt;20251121154257&lt;/prcsDttm&gt;&lt;dclrNo&gt;030D8030007025108414&lt;/dclrNo&gt;&lt;rlbrDttm&gt;(도)03011597동일냉장(주&lt;/rlbrDttm&gt;&lt;wght&gt;21000&lt;/wght&gt;&lt;rlbrBssNo&gt;천일정기화물자동차(주)&lt;/rlbrBssNo&gt;&lt;bfhnGdncCn&gt;&lt;/bfhnGdncCn&gt;&lt;wghtUt&gt;KG&lt;/wghtUt&gt;&lt;pckGcnt&gt;1800&lt;/pckGcnt&gt;&lt;cargTrcnRelaBsopTpcd&gt;보세운송 신고 수리&lt;/cargTrcnRelaBsopTpcd&gt;&lt;pckUt&gt;CT&lt;/pckUt&gt;&lt;rlbrCn&gt;&lt;/rlbrCn&gt;&lt;shedSgn&gt;03012226/입항전운송&lt;/shedSgn&gt;&lt;/cargCsclPrgsInfoDtlQryVo&gt;&lt;cargCsclPrgsInfoDtlQryVo&gt;&lt;shedNm&gt;신선대감만터미널(주) 감만CY&lt;/shedNm&gt;&lt;prcsDttm&gt;20251121154031&lt;/prcsDttm&gt;&lt;dclrNo&gt;030D8030007025108414&lt;/dclrNo&gt;&lt;rlbrDttm&gt;&lt;/rlbrDttm&gt;&lt;wght&gt;21000&lt;/wght&gt;&lt;rlbrBssNo&gt;&lt;/rlbrBssNo&gt;&lt;bfhnGdncCn&gt;&lt;/bfhnGdncCn&gt;&lt;wghtUt&gt;KG&lt;/wghtUt&gt;&lt;pckGcnt&gt;1800&lt;/pckGcnt&gt;&lt;cargTrcnRelaBsopTpcd&gt;보세운송 신고 접수&lt;/cargTrcnRelaBsopTpcd&gt;&lt;pckUt&gt;CT&lt;/pckUt&gt;&lt;rlbrCn&gt;&lt;/rlbrCn&gt;&lt;shedSgn&gt;03012226/입항전운송&lt;/shedSgn&gt;&lt;/cargCsclPrgsInfoDtlQryVo&gt;&lt;cargCsclPrgsInfoDtlQryVo&gt;&lt;shedNm&gt;신선대감만터미널(주) 감만CY&lt;/shedNm&gt;&lt;prcsDttm&gt;20251121130444&lt;/prcsDttm&gt;&lt;dclrNo&gt;&lt;/dclrNo&gt;&lt;rlbrDttm&gt;&lt;/rlbrDttm&gt;&lt;wght&gt;21000&lt;/wght&gt;&lt;rlbrBssNo&gt;주식회사 엔제이글로벌&lt;/rlbrBssNo&gt;&lt;bfhnGdncCn&gt;&lt;/bfhnGdncCn&gt;&lt;wghtUt&gt;KG&lt;/wghtUt&gt;&lt;pckGcnt&gt;1800&lt;/pckGcnt&gt;&lt;cargTrcnRelaBsopTpcd&gt;입항적재화물목록 심사완료&lt;/cargTrcnRelaBsopTpcd&gt;&lt;pckUt&gt;CT&lt;/pckUt&gt;&lt;rlbrCn&gt;&lt;/rlbrCn&gt;&lt;shedSgn&gt;03012226&lt;/shedSgn&gt;&lt;/cargCsclPrgsInfoDtlQryVo&gt;&lt;cargCsclPrgsInfoDtlQryVo&gt;&lt;shedNm&gt;신선대감만터미널(주) 감만CY&lt;/shedNm&gt;&lt;prcsDttm&gt;20251121112112&lt;/prcsDttm&gt;&lt;dclrNo&gt;&lt;/dclrNo&gt;&lt;rlbrDttm&gt;&lt;/rlbrDttm&gt;&lt;wght&gt;21000&lt;/wght&gt;&lt;rlbrBssNo&gt;&lt;/rlbrBssNo&gt;&lt;bfhnGdncCn&gt;&lt;/bfhnGdncCn&gt;&lt;wghtUt&gt;KG&lt;/wghtUt&gt;&lt;pckGcnt&gt;1800&lt;/pckGcnt&gt;&lt;cargTrcnRelaBsopTpcd&gt;입항적재화물목록 제출&lt;/cargTrcnRelaBsopTpcd&gt;&lt;pckUt&gt;CT&lt;/pckUt&gt;&lt;rlbrCn&gt;&lt;/rlbrCn&gt;&lt;shedSgn&gt;03012226&lt;/shedSgn&gt;&lt;/cargCsclPrgsInfoDtlQryVo&gt;&lt;/cargCsclPrgsInfoQryRtnVo&gt;</t>
    <phoneticPr fontId="1" type="noConversion"/>
  </si>
  <si>
    <t>KHHBUS2511004</t>
  </si>
  <si>
    <t>&lt;?xml version="1.0" encoding="UTF-8" standalone="yes"?&gt;&lt;cargCsclPrgsInfoQryRtnVo&gt;&lt;ntceInfo&gt;&lt;/ntceInfo&gt;&lt;cargCsclPrgsInfoQryVo&gt;&lt;csclPrgsStts&gt;수입신고수리&lt;/csclPrgsStts&gt;&lt;vydf&gt;0020E&lt;/vydf&gt;&lt;rlseDtyPridPassTpcd&gt;N&lt;/rlseDtyPridPassTpcd&gt;&lt;prnm&gt;FROZEN PACIFIC SAURY  COLOLABIS SAIRA&lt;/prnm&gt;&lt;ldprCd&gt;TWKHH&lt;/ldprCd&gt;&lt;shipNat&gt;LR&lt;/shipNat&gt;&lt;blPt&gt;C&lt;/blPt&gt;&lt;dsprNm&gt;부산신항&lt;/dsprNm&gt;&lt;etprDt&gt;20251120&lt;/etprDt&gt;&lt;prgsStCd&gt;CAGE12&lt;/prgsStCd&gt;&lt;msrm&gt;385&lt;/msrm&gt;&lt;wghtUt&gt;KG&lt;/wghtUt&gt;&lt;dsprCd&gt;KRBNP&lt;/dsprCd&gt;&lt;cntrGcnt&gt;7&lt;/cntrGcnt&gt;&lt;cargTp&gt;수입 일반화물&lt;/cargTp&gt;&lt;shcoFlcoSgn&gt;ONEY&lt;/shcoFlcoSgn&gt;&lt;pckGcnt&gt;15730&lt;/pckGcnt&gt;&lt;etprCstm&gt;부산세관&lt;/etprCstm&gt;&lt;shipNm&gt;CONTI ANNAPURNA&lt;/shipNm&gt;&lt;hblNo&gt;KHHBUS2511004&lt;/hblNo&gt;&lt;prcsDttm&gt;20251218161650&lt;/prcsDttm&gt;&lt;frwrSgn&gt;KANA&lt;/frwrSgn&gt;&lt;spcnCargCd&gt;&lt;/spcnCargCd&gt;&lt;ttwg&gt;170940&lt;/ttwg&gt;&lt;ldprNm&gt;Kaohsiung&lt;/ldprNm&gt;&lt;dclrDelyAdtxYn&gt;N&lt;/dclrDelyAdtxYn&gt;&lt;mtTrgtCargYnNm&gt;N&lt;/mtTrgtCargYnNm&gt;&lt;cargMtNo&gt;25ONEY1441I50060001&lt;/cargMtNo&gt;&lt;cntrNo&gt;KKFU6746401&lt;/cntrNo&gt;&lt;mblNo&gt;ONEYTPEF83544700&lt;/mblNo&gt;&lt;blPtNm&gt;Consol&lt;/blPtNm&gt;&lt;lodCntyCd&gt;TW&lt;/lodCntyCd&gt;&lt;prgsStts&gt;반출완료&lt;/prgsStts&gt;&lt;shcoFlco&gt;오션네트워크익스프레스코리아(주)&lt;/shcoFlco&gt;&lt;pckUt&gt;GT&lt;/pckUt&gt;&lt;shipNatNm&gt;라이베리아&lt;/shipNatNm&gt;&lt;agnc&gt;오션네트워크익스프레스코리아&lt;/agnc&gt;&lt;frwrEntsConm&gt;(주)가나해운&lt;/frwrEntsConm&gt;&lt;/cargCsclPrgsInfoQryVo&gt;&lt;tCnt&gt;27&lt;/tCnt&gt;&lt;cargCsclPrgsInfoDtlQryVo&gt;&lt;shedNm&gt;동일냉장(주)&lt;/shedNm&gt;&lt;prcsDttm&gt;20251218161650&lt;/prcsDttm&gt;&lt;dclrNo&gt;030115972500001711&lt;/dclrNo&gt;&lt;rlbrDttm&gt;2025-12-18 16:17:00&lt;/rlbrDttm&gt;&lt;wght&gt;54336&lt;/wght&gt;&lt;rlbrBssNo&gt;2356325120512M&lt;/rlbrBssNo&gt;&lt;bfhnGdncCn&gt;&lt;/bfhnGdncCn&gt;&lt;wghtUt&gt;KG&lt;/wghtUt&gt;&lt;pckGcnt&gt;5000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20251218155946&lt;/prcsDttm&gt;&lt;dclrNo&gt;2356325120512M&lt;/dclrNo&gt;&lt;rlbrDttm&gt;&lt;/rlbrDttm&gt;&lt;wght&gt;54336&lt;/wght&gt;&lt;rlbrBssNo&gt;&lt;/rlbrBssNo&gt;&lt;bfhnGdncCn&gt;&lt;/bfhnGdncCn&gt;&lt;wghtUt&gt;KG&lt;/wghtUt&gt;&lt;pckGcnt&gt;5000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20251218155330&lt;/prcsDttm&gt;&lt;dclrNo&gt;2356325120512M&lt;/dclrNo&gt;&lt;rlbrDttm&gt;&lt;/rlbrDttm&gt;&lt;wght&gt;54336&lt;/wght&gt;&lt;rlbrBssNo&gt;&lt;/rlbrBssNo&gt;&lt;bfhnGdncCn&gt;&lt;/bfhnGdncCn&gt;&lt;wghtUt&gt;KG&lt;/wghtUt&gt;&lt;pckGcnt&gt;5000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20251218155102&lt;/prcsDttm&gt;&lt;dclrNo&gt;2356325120512M&lt;/dclrNo&gt;&lt;rlbrDttm&gt;&lt;/rlbrDttm&gt;&lt;wght&gt;54336&lt;/wght&gt;&lt;rlbrBssNo&gt;&lt;/rlbrBssNo&gt;&lt;bfhnGdncCn&gt;&lt;/bfhnGdncCn&gt;&lt;wghtUt&gt;KG&lt;/wghtUt&gt;&lt;pckGcnt&gt;5000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20251218152052&lt;/prcsDttm&gt;&lt;dclrNo&gt;2356325120512M&lt;/dclrNo&gt;&lt;rlbrDttm&gt;&lt;/rlbrDttm&gt;&lt;wght&gt;54336&lt;/wght&gt;&lt;rlbrBssNo&gt;선민합동관세사무소&lt;/rlbrBssNo&gt;&lt;bfhnGdncCn&gt;&lt;/bfhnGdncCn&gt;&lt;wghtUt&gt;KG&lt;/wghtUt&gt;&lt;pckGcnt&gt;5000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20251215131439&lt;/prcsDttm&gt;&lt;dclrNo&gt;030115972500001688&lt;/dclrNo&gt;&lt;rlbrDttm&gt;2025-12-15 13:14:00&lt;/rlbrDttm&gt;&lt;wght&gt;32601&lt;/wght&gt;&lt;rlbrBssNo&gt;2356325120371M&lt;/rlbrBssNo&gt;&lt;bfhnGdncCn&gt;&lt;/bfhnGdncCn&gt;&lt;wghtUt&gt;KG&lt;/wghtUt&gt;&lt;pckGcnt&gt;3000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20251215130652&lt;/prcsDttm&gt;&lt;dclrNo&gt;2356325120371M&lt;/dclrNo&gt;&lt;rlbrDttm&gt;&lt;/rlbrDttm&gt;&lt;wght&gt;32601&lt;/wght&gt;&lt;rlbrBssNo&gt;&lt;/rlbrBssNo&gt;&lt;bfhnGdncCn&gt;&lt;/bfhnGdncCn&gt;&lt;wghtUt&gt;KG&lt;/wghtUt&gt;&lt;pckGcnt&gt;3000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20251215120359&lt;/prcsDttm&gt;&lt;dclrNo&gt;2356325120371M&lt;/dclrNo&gt;&lt;rlbrDttm&gt;&lt;/rlbrDttm&gt;&lt;wght&gt;32601&lt;/wght&gt;&lt;rlbrBssNo&gt;&lt;/rlbrBssNo&gt;&lt;bfhnGdncCn&gt;&lt;/bfhnGdncCn&gt;&lt;wghtUt&gt;KG&lt;/wghtUt&gt;&lt;pckGcnt&gt;3000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20251215112555&lt;/prcsDttm&gt;&lt;dclrNo&gt;2356325120371M&lt;/dclrNo&gt;&lt;rlbrDttm&gt;&lt;/rlbrDttm&gt;&lt;wght&gt;32601&lt;/wght&gt;&lt;rlbrBssNo&gt;&lt;/rlbrBssNo&gt;&lt;bfhnGdncCn&gt;&lt;/bfhnGdncCn&gt;&lt;wghtUt&gt;KG&lt;/wghtUt&gt;&lt;pckGcnt&gt;3000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20251215105546&lt;/prcsDttm&gt;&lt;dclrNo&gt;2356325120371M&lt;/dclrNo&gt;&lt;rlbrDttm&gt;&lt;/rlbrDttm&gt;&lt;wght&gt;32601&lt;/wght&gt;&lt;rlbrBssNo&gt;선민합동관세사무소&lt;/rlbrBssNo&gt;&lt;bfhnGdncCn&gt;&lt;/bfhnGdncCn&gt;&lt;wghtUt&gt;KG&lt;/wghtUt&gt;&lt;pckGcnt&gt;3000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20251209163506&lt;/prcsDttm&gt;&lt;dclrNo&gt;030115972500001657&lt;/dclrNo&gt;&lt;rlbrDttm&gt;2025-12-09 16:35:00&lt;/rlbrDttm&gt;&lt;wght&gt;13257&lt;/wght&gt;&lt;rlbrBssNo&gt;2356325120210M&lt;/rlbrBssNo&gt;&lt;bfhnGdncCn&gt;&lt;/bfhnGdncCn&gt;&lt;wghtUt&gt;KG&lt;/wghtUt&gt;&lt;pckGcnt&gt;1220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20251209154041&lt;/prcsDttm&gt;&lt;dclrNo&gt;2356325120210M&lt;/dclrNo&gt;&lt;rlbrDttm&gt;&lt;/rlbrDttm&gt;&lt;wght&gt;13257&lt;/wght&gt;&lt;rlbrBssNo&gt;&lt;/rlbrBssNo&gt;&lt;bfhnGdncCn&gt;&lt;/bfhnGdncCn&gt;&lt;wghtUt&gt;KG&lt;/wghtUt&gt;&lt;pckGcnt&gt;1220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20251209153623&lt;/prcsDttm&gt;&lt;dclrNo&gt;2356325120210M&lt;/dclrNo&gt;&lt;rlbrDttm&gt;&lt;/rlbrDttm&gt;&lt;wght&gt;13257&lt;/wght&gt;&lt;rlbrBssNo&gt;&lt;/rlbrBssNo&gt;&lt;bfhnGdncCn&gt;&lt;/bfhnGdncCn&gt;&lt;wghtUt&gt;KG&lt;/wghtUt&gt;&lt;pckGcnt&gt;1220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20251209153542&lt;/prcsDttm&gt;&lt;dclrNo&gt;2356325120210M&lt;/dclrNo&gt;&lt;rlbrDttm&gt;&lt;/rlbrDttm&gt;&lt;wght&gt;13257&lt;/wght&gt;&lt;rlbrBssNo&gt;&lt;/rlbrBssNo&gt;&lt;bfhnGdncCn&gt;&lt;/bfhnGdncCn&gt;&lt;wghtUt&gt;KG&lt;/wghtUt&gt;&lt;pckGcnt&gt;1220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20251209150532&lt;/prcsDttm&gt;&lt;dclrNo&gt;2356325120210M&lt;/dclrNo&gt;&lt;rlbrDttm&gt;&lt;/rlbrDttm&gt;&lt;wght&gt;13257&lt;/wght&gt;&lt;rlbrBssNo&gt;선민합동관세사무소&lt;/rlbrBssNo&gt;&lt;bfhnGdncCn&gt;&lt;/bfhnGdncCn&gt;&lt;wghtUt&gt;KG&lt;/wghtUt&gt;&lt;pckGcnt&gt;1220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20251127131554&lt;/prcsDttm&gt;&lt;dclrNo&gt;11-2BA2025400812917-01&lt;/dclrNo&gt;&lt;rlbrDttm&gt;2025-11-27 00:00:00&lt;/rlbrDttm&gt;&lt;wght&gt;155450&lt;/wght&gt;&lt;rlbrBssNo&gt;신청일자:25.11.25&lt;/rlbrBssNo&gt;&lt;bfhnGdncCn&gt;[부가사항] 최근 검사/검역 신청부터 결과 과정까지의 평균 소요시간은 37일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20251125163712&lt;/prcsDttm&gt;&lt;dclrNo&gt;2356325007BIC&lt;/dclrNo&gt;&lt;rlbrDttm&gt;2025-11-25 16:37:12&lt;/rlbrDttm&gt;&lt;wght&gt;155450&lt;/wght&gt;&lt;rlbrBssNo&gt;&lt;/rlbrBssNo&gt;&lt;bfhnGdncCn&gt;&lt;/bfhnGdncCn&gt;&lt;wghtUt&gt;KG&lt;/wghtUt&gt;&lt;pckGcnt&gt;15730&lt;/pckGcnt&gt;&lt;cargTrcnRelaBsopTpcd&gt;식품의약품 검사종류 확정(정밀)&lt;/cargTrcnRelaBsopTpcd&gt;&lt;pckUt&gt;CT&lt;/pckUt&gt;&lt;rlbrCn&gt;&lt;/rlbrCn&gt;&lt;shedSgn&gt;03011597&lt;/shedSgn&gt;&lt;/cargCsclPrgsInfoDtlQryVo&gt;&lt;cargCsclPrgsInfoDtlQryVo&gt;&lt;shedNm&gt;동일냉장(주)&lt;/shedNm&gt;&lt;prcsDttm&gt;20251124121605&lt;/prcsDttm&gt;&lt;dclrNo&gt;030115972500001307&lt;/dclrNo&gt;&lt;rlbrDttm&gt;2025-11-24 12:16:01&lt;/rlbrDttm&gt;&lt;wght&gt;170940&lt;/wght&gt;&lt;rlbrBssNo&gt;030D1030F66025406194&lt;/rlbrBssNo&gt;&lt;bfhnGdncCn&gt;[부가사항] 동일냉장(주)의 장치기간은 최대 6 개월 입니다.&lt;/bfhnGdncCn&gt;&lt;wghtUt&gt;KG&lt;/wghtUt&gt;&lt;pckGcnt&gt;15730&lt;/pckGcnt&gt;&lt;cargTrcnRelaBsopTpcd&gt;반입신고&lt;/cargTrcnRelaBsopTpcd&gt;&lt;pckUt&gt;GT&lt;/pckUt&gt;&lt;rlbrCn&gt;보세운송 반입&lt;/rlbrCn&gt;&lt;shedSgn&gt;03011597/001&lt;/shedSgn&gt;&lt;/cargCsclPrgsInfoDtlQryVo&gt;&lt;cargCsclPrgsInfoDtlQryVo&gt;&lt;shedNm&gt;에이치엠엠피에스에이신항만(주)&lt;/shedNm&gt;&lt;prcsDttm&gt;20251122072625&lt;/prcsDttm&gt;&lt;dclrNo&gt;03077011250375130A&lt;/dclrNo&gt;&lt;rlbrDttm&gt;2025-11-21 14:55:44&lt;/rlbrDttm&gt;&lt;wght&gt;170940&lt;/wght&gt;&lt;rlbrBssNo&gt;030D1030F66025406194&lt;/rlbrBssNo&gt;&lt;bfhnGdncCn&gt;&lt;/bfhnGdncCn&gt;&lt;wghtUt&gt;KG&lt;/wghtUt&gt;&lt;pckGcnt&gt;15730&lt;/pckGcnt&gt;&lt;cargTrcnRelaBsopTpcd&gt;반출신고&lt;/cargTrcnRelaBsopTpcd&gt;&lt;pckUt&gt;GT&lt;/pckUt&gt;&lt;rlbrCn&gt;보세운송 반출&lt;/rlbrCn&gt;&lt;shedSgn&gt;03077011&lt;/shedSgn&gt;&lt;/cargCsclPrgsInfoDtlQryVo&gt;&lt;cargCsclPrgsInfoDtlQryVo&gt;&lt;shedNm&gt;에이치엠엠피에스에이신항만(주)&lt;/shedNm&gt;&lt;prcsDttm&gt;20251120225514&lt;/prcsDttm&gt;&lt;dclrNo&gt;03077011250368788A&lt;/dclrNo&gt;&lt;rlbrDttm&gt;2025-11-20 22:54:02&lt;/rlbrDttm&gt;&lt;wght&gt;170940&lt;/wght&gt;&lt;rlbrBssNo&gt;&lt;/rlbrBssNo&gt;&lt;bfhnGdncCn&gt;[부가사항] 에이치엠엠피에스에이신항만(주)의 장치기간은 최대 3 개월 입니다.&lt;/bfhnGdncCn&gt;&lt;wghtUt&gt;KG&lt;/wghtUt&gt;&lt;pckGcnt&gt;15730&lt;/pckGcnt&gt;&lt;cargTrcnRelaBsopTpcd&gt;반입신고&lt;/cargTrcnRelaBsopTpcd&gt;&lt;pckUt&gt;GT&lt;/pckUt&gt;&lt;rlbrCn&gt;입항 반입&lt;/rlbrCn&gt;&lt;shedSgn&gt;03077011&lt;/shedSgn&gt;&lt;/cargCsclPrgsInfoDtlQryVo&gt;&lt;cargCsclPrgsInfoDtlQryVo&gt;&lt;shedNm&gt;&lt;/shedNm&gt;&lt;prcsDttm&gt;20251120164007&lt;/prcsDttm&gt;&lt;dclrNo&gt;25ONEY1441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20251120164006&lt;/prcsDttm&gt;&lt;dclrNo&gt;25ONEY1441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에이치엠엠피에스에이신항만(주)&lt;/shedNm&gt;&lt;prcsDttm&gt;20251119160704&lt;/prcsDttm&gt;&lt;dclrNo&gt;030D1030F66025406194&lt;/dclrNo&gt;&lt;rlbrDttm&gt;(도)03011597동일냉장(주&lt;/rlbrDttm&gt;&lt;wght&gt;170940&lt;/wght&gt;&lt;rlbrBssNo&gt;(주)에스에스물류&lt;/rlbrBssNo&gt;&lt;bfhnGdncCn&gt;&lt;/bfhnGdncCn&gt;&lt;wghtUt&gt;KG&lt;/wghtUt&gt;&lt;pckGcnt&gt;15730&lt;/pckGcnt&gt;&lt;cargTrcnRelaBsopTpcd&gt;보세운송 신고 수리&lt;/cargTrcnRelaBsopTpcd&gt;&lt;pckUt&gt;GT&lt;/pckUt&gt;&lt;rlbrCn&gt;&lt;/rlbrCn&gt;&lt;shedSgn&gt;03077011/입항전운송&lt;/shedSgn&gt;&lt;/cargCsclPrgsInfoDtlQryVo&gt;&lt;cargCsclPrgsInfoDtlQryVo&gt;&lt;shedNm&gt;에이치엠엠피에스에이신항만(주)&lt;/shedNm&gt;&lt;prcsDttm&gt;20251119160549&lt;/prcsDttm&gt;&lt;dclrNo&gt;030D1030F66025406194&lt;/dclrNo&gt;&lt;rlbrDttm&gt;&lt;/rlbrDttm&gt;&lt;wght&gt;170940&lt;/wght&gt;&lt;rlbrBssNo&gt;&lt;/rlbrBssNo&gt;&lt;bfhnGdncCn&gt;&lt;/bfhnGdncCn&gt;&lt;wghtUt&gt;KG&lt;/wghtUt&gt;&lt;pckGcnt&gt;15730&lt;/pckGcnt&gt;&lt;cargTrcnRelaBsopTpcd&gt;보세운송 신고 접수&lt;/cargTrcnRelaBsopTpcd&gt;&lt;pckUt&gt;GT&lt;/pckUt&gt;&lt;rlbrCn&gt;&lt;/rlbrCn&gt;&lt;shedSgn&gt;03077011/입항전운송&lt;/shedSgn&gt;&lt;/cargCsclPrgsInfoDtlQryVo&gt;&lt;cargCsclPrgsInfoDtlQryVo&gt;&lt;shedNm&gt;에이치엠엠피에스에이신항만(주)&lt;/shedNm&gt;&lt;prcsDttm&gt;20251119154404&lt;/prcsDttm&gt;&lt;dclrNo&gt;25030145551&lt;/dclrNo&gt;&lt;rlbrDttm&gt;&lt;/rlbrDttm&gt;&lt;wght&gt;170940&lt;/wght&gt;&lt;rlbrBssNo&gt;하선반입기한:2025-11-25&lt;/rlbrBssNo&gt;&lt;bfhnGdncCn&gt;&lt;/bfhnGdncCn&gt;&lt;wghtUt&gt;KG&lt;/wghtUt&gt;&lt;pckGcnt&gt;15730&lt;/pckGcnt&gt;&lt;cargTrcnRelaBsopTpcd&gt;하선신고 수리&lt;/cargTrcnRelaBsopTpcd&gt;&lt;pckUt&gt;GT&lt;/pckUt&gt;&lt;rlbrCn&gt;&lt;/rlbrCn&gt;&lt;shedSgn&gt;03077011&lt;/shedSgn&gt;&lt;/cargCsclPrgsInfoDtlQryVo&gt;&lt;cargCsclPrgsInfoDtlQryVo&gt;&lt;shedNm&gt;에이치엠엠피에스에이신항만(주)&lt;/shedNm&gt;&lt;prcsDttm&gt;20251119154306&lt;/prcsDttm&gt;&lt;dclrNo&gt;&lt;/dclrNo&gt;&lt;rlbrDttm&gt;&lt;/rlbrDttm&gt;&lt;wght&gt;170940&lt;/wght&gt;&lt;rlbrBssNo&gt;(주)가나해운&lt;/rlbrBssNo&gt;&lt;bfhnGdncCn&gt;&lt;/bfhnGdncCn&gt;&lt;wghtUt&gt;KG&lt;/wghtUt&gt;&lt;pckGcnt&gt;15730&lt;/pckGcnt&gt;&lt;cargTrcnRelaBsopTpcd&gt;입항적재화물목록 심사완료&lt;/cargTrcnRelaBsopTpcd&gt;&lt;pckUt&gt;GT&lt;/pckUt&gt;&lt;rlbrCn&gt;&lt;/rlbrCn&gt;&lt;shedSgn&gt;03077011&lt;/shedSgn&gt;&lt;/cargCsclPrgsInfoDtlQryVo&gt;&lt;cargCsclPrgsInfoDtlQryVo&gt;&lt;shedNm&gt;에이치엠엠피에스에이신항만(주)&lt;/shedNm&gt;&lt;prcsDttm&gt;20251119141613&lt;/prcsDttm&gt;&lt;dclrNo&gt;&lt;/dclrNo&gt;&lt;rlbrDttm&gt;&lt;/rlbrDttm&gt;&lt;wght&gt;170940&lt;/wght&gt;&lt;rlbrBssNo&gt;&lt;/rlbrBssNo&gt;&lt;bfhnGdncCn&gt;&lt;/bfhnGdncCn&gt;&lt;wghtUt&gt;KG&lt;/wghtUt&gt;&lt;pckGcnt&gt;15730&lt;/pckGcnt&gt;&lt;cargTrcnRelaBsopTpcd&gt;입항적재화물목록 제출&lt;/cargTrcnRelaBsopTpcd&gt;&lt;pckUt&gt;GT&lt;/pckUt&gt;&lt;rlbrCn&gt;&lt;/rlbrCn&gt;&lt;shedSgn&gt;03077011&lt;/shedSgn&gt;&lt;/cargCsclPrgsInfoDtlQryVo&gt;&lt;/cargCsclPrgsInfoQryRtnVo&gt;</t>
  </si>
  <si>
    <t>&lt;?xml version="1.0" encoding="UTF-8" standalone="yes"?&gt;&lt;cargCsclPrgsInfoQryRtnVo&gt;&lt;ntceInfo&gt;&lt;/ntceInfo&gt;&lt;cargCsclPrgsInfoQryVo&gt;&lt;csclPrgsStts&gt;수입신고수리&lt;/csclPrgsStts&gt;&lt;vydf&gt;0020E&lt;/vydf&gt;&lt;rlseDtyPridPassTpcd&gt;N&lt;/rlseDtyPridPassTpcd&gt;&lt;prnm&gt;FROZEN PACIFIC SAURY  COLOLABIS SAIRA&lt;/prnm&gt;&lt;ldprCd&gt;TWKHH&lt;/ldprCd&gt;&lt;shipNat&gt;LR&lt;/shipNat&gt;&lt;blPt&gt;C&lt;/blPt&gt;&lt;dsprNm&gt;부산신항&lt;/dsprNm&gt;&lt;etprDt&gt;20251120&lt;/etprDt&gt;&lt;prgsStCd&gt;CAGE12&lt;/prgsStCd&gt;&lt;msrm&gt;385&lt;/msrm&gt;&lt;wghtUt&gt;KG&lt;/wghtUt&gt;&lt;dsprCd&gt;KRBNP&lt;/dsprCd&gt;&lt;cntrGcnt&gt;7&lt;/cntrGcnt&gt;&lt;cargTp&gt;수입 일반화물&lt;/cargTp&gt;&lt;shcoFlcoSgn&gt;ONEY&lt;/shcoFlcoSgn&gt;&lt;pckGcnt&gt;15730&lt;/pckGcnt&gt;&lt;etprCstm&gt;부산세관&lt;/etprCstm&gt;&lt;shipNm&gt;CONTI ANNAPURNA&lt;/shipNm&gt;&lt;hblNo&gt;KHHBUS2511004&lt;/hblNo&gt;&lt;prcsDttm&gt;20251218161650&lt;/prcsDttm&gt;&lt;frwrSgn&gt;KANA&lt;/frwrSgn&gt;&lt;spcnCargCd&gt;&lt;/spcnCargCd&gt;&lt;ttwg&gt;170940&lt;/ttwg&gt;&lt;ldprNm&gt;Kaohsiung&lt;/ldprNm&gt;&lt;dclrDelyAdtxYn&gt;N&lt;/dclrDelyAdtxYn&gt;&lt;mtTrgtCargYnNm&gt;N&lt;/mtTrgtCargYnNm&gt;&lt;cargMtNo&gt;25ONEY1441I50060001&lt;/cargMtNo&gt;&lt;cntrNo&gt;KKFU6746401&lt;/cntrNo&gt;&lt;mblNo&gt;ONEYTPEF83544700&lt;/mblNo&gt;&lt;blPtNm&gt;Consol&lt;/blPtNm&gt;&lt;lodCntyCd&gt;TW&lt;/lodCntyCd&gt;&lt;prgsStts&gt;반출완료&lt;/prgsStts&gt;&lt;shcoFlco&gt;오션네트워크익스프레스코리아(주)&lt;/shcoFlco&gt;&lt;pckUt&gt;GT&lt;/pckUt&gt;&lt;shipNatNm&gt;라이베리아&lt;/shipNatNm&gt;&lt;agnc&gt;오션네트워크익스프레스코리아&lt;/agnc&gt;&lt;frwrEntsConm&gt;(주)가나해운&lt;/frwrEntsConm&gt;&lt;/cargCsclPrgsInfoQryVo&gt;&lt;tCnt&gt;27&lt;/tCnt&gt;&lt;cargCsclPrgsInfoDtlQryVo&gt;&lt;shedNm&gt;동일냉장(주)&lt;/shedNm&gt;&lt;prcsDttm&gt;20251218161650&lt;/prcsDttm&gt;&lt;dclrNo&gt;030115972500001711&lt;/dclrNo&gt;&lt;rlbrDttm&gt;2025-12-18 16:17:00&lt;/rlbrDttm&gt;&lt;wght&gt;54336&lt;/wght&gt;&lt;rlbrBssNo&gt;2356325120512M&lt;/rlbrBssNo&gt;&lt;bfhnGdncCn&gt;&lt;/bfhnGdncCn&gt;&lt;wghtUt&gt;KG&lt;/wghtUt&gt;&lt;pckGcnt&gt;5000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20251218155946&lt;/prcsDttm&gt;&lt;dclrNo&gt;2356325120512M&lt;/dclrNo&gt;&lt;rlbrDttm&gt;&lt;/rlbrDttm&gt;&lt;wght&gt;54336&lt;/wght&gt;&lt;rlbrBssNo&gt;&lt;/rlbrBssNo&gt;&lt;bfhnGdncCn&gt;&lt;/bfhnGdncCn&gt;&lt;wghtUt&gt;KG&lt;/wghtUt&gt;&lt;pckGcnt&gt;5000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20251218155330&lt;/prcsDttm&gt;&lt;dclrNo&gt;2356325120512M&lt;/dclrNo&gt;&lt;rlbrDttm&gt;&lt;/rlbrDttm&gt;&lt;wght&gt;54336&lt;/wght&gt;&lt;rlbrBssNo&gt;&lt;/rlbrBssNo&gt;&lt;bfhnGdncCn&gt;&lt;/bfhnGdncCn&gt;&lt;wghtUt&gt;KG&lt;/wghtUt&gt;&lt;pckGcnt&gt;5000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20251218155102&lt;/prcsDttm&gt;&lt;dclrNo&gt;2356325120512M&lt;/dclrNo&gt;&lt;rlbrDttm&gt;&lt;/rlbrDttm&gt;&lt;wght&gt;54336&lt;/wght&gt;&lt;rlbrBssNo&gt;&lt;/rlbrBssNo&gt;&lt;bfhnGdncCn&gt;&lt;/bfhnGdncCn&gt;&lt;wghtUt&gt;KG&lt;/wghtUt&gt;&lt;pckGcnt&gt;5000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20251218152052&lt;/prcsDttm&gt;&lt;dclrNo&gt;2356325120512M&lt;/dclrNo&gt;&lt;rlbrDttm&gt;&lt;/rlbrDttm&gt;&lt;wght&gt;54336&lt;/wght&gt;&lt;rlbrBssNo&gt;선민합동관세사무소&lt;/rlbrBssNo&gt;&lt;bfhnGdncCn&gt;&lt;/bfhnGdncCn&gt;&lt;wghtUt&gt;KG&lt;/wghtUt&gt;&lt;pckGcnt&gt;5000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20251215131439&lt;/prcsDttm&gt;&lt;dclrNo&gt;030115972500001688&lt;/dclrNo&gt;&lt;rlbrDttm&gt;2025-12-15 13:14:00&lt;/rlbrDttm&gt;&lt;wght&gt;32601&lt;/wght&gt;&lt;rlbrBssNo&gt;2356325120371M&lt;/rlbrBssNo&gt;&lt;bfhnGdncCn&gt;&lt;/bfhnGdncCn&gt;&lt;wghtUt&gt;KG&lt;/wghtUt&gt;&lt;pckGcnt&gt;3000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20251215130652&lt;/prcsDttm&gt;&lt;dclrNo&gt;2356325120371M&lt;/dclrNo&gt;&lt;rlbrDttm&gt;&lt;/rlbrDttm&gt;&lt;wght&gt;32601&lt;/wght&gt;&lt;rlbrBssNo&gt;&lt;/rlbrBssNo&gt;&lt;bfhnGdncCn&gt;&lt;/bfhnGdncCn&gt;&lt;wghtUt&gt;KG&lt;/wghtUt&gt;&lt;pckGcnt&gt;3000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20251215120359&lt;/prcsDttm&gt;&lt;dclrNo&gt;2356325120371M&lt;/dclrNo&gt;&lt;rlbrDttm&gt;&lt;/rlbrDttm&gt;&lt;wght&gt;32601&lt;/wght&gt;&lt;rlbrBssNo&gt;&lt;/rlbrBssNo&gt;&lt;bfhnGdncCn&gt;&lt;/bfhnGdncCn&gt;&lt;wghtUt&gt;KG&lt;/wghtUt&gt;&lt;pckGcnt&gt;3000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20251215112555&lt;/prcsDttm&gt;&lt;dclrNo&gt;2356325120371M&lt;/dclrNo&gt;&lt;rlbrDttm&gt;&lt;/rlbrDttm&gt;&lt;wght&gt;32601&lt;/wght&gt;&lt;rlbrBssNo&gt;&lt;/rlbrBssNo&gt;&lt;bfhnGdncCn&gt;&lt;/bfhnGdncCn&gt;&lt;wghtUt&gt;KG&lt;/wghtUt&gt;&lt;pckGcnt&gt;3000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20251215105546&lt;/prcsDttm&gt;&lt;dclrNo&gt;2356325120371M&lt;/dclrNo&gt;&lt;rlbrDttm&gt;&lt;/rlbrDttm&gt;&lt;wght&gt;32601&lt;/wght&gt;&lt;rlbrBssNo&gt;선민합동관세사무소&lt;/rlbrBssNo&gt;&lt;bfhnGdncCn&gt;&lt;/bfhnGdncCn&gt;&lt;wghtUt&gt;KG&lt;/wghtUt&gt;&lt;pckGcnt&gt;3000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20251209163506&lt;/prcsDttm&gt;&lt;dclrNo&gt;030115972500001657&lt;/dclrNo&gt;&lt;rlbrDttm&gt;2025-12-09 16:35:00&lt;/rlbrDttm&gt;&lt;wght&gt;13257&lt;/wght&gt;&lt;rlbrBssNo&gt;2356325120210M&lt;/rlbrBssNo&gt;&lt;bfhnGdncCn&gt;&lt;/bfhnGdncCn&gt;&lt;wghtUt&gt;KG&lt;/wghtUt&gt;&lt;pckGcnt&gt;1220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20251209154041&lt;/prcsDttm&gt;&lt;dclrNo&gt;2356325120210M&lt;/dclrNo&gt;&lt;rlbrDttm&gt;&lt;/rlbrDttm&gt;&lt;wght&gt;13257&lt;/wght&gt;&lt;rlbrBssNo&gt;&lt;/rlbrBssNo&gt;&lt;bfhnGdncCn&gt;&lt;/bfhnGdncCn&gt;&lt;wghtUt&gt;KG&lt;/wghtUt&gt;&lt;pckGcnt&gt;1220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20251209153623&lt;/prcsDttm&gt;&lt;dclrNo&gt;2356325120210M&lt;/dclrNo&gt;&lt;rlbrDttm&gt;&lt;/rlbrDttm&gt;&lt;wght&gt;13257&lt;/wght&gt;&lt;rlbrBssNo&gt;&lt;/rlbrBssNo&gt;&lt;bfhnGdncCn&gt;&lt;/bfhnGdncCn&gt;&lt;wghtUt&gt;KG&lt;/wghtUt&gt;&lt;pckGcnt&gt;1220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20251209153542&lt;/prcsDttm&gt;&lt;dclrNo&gt;2356325120210M&lt;/dclrNo&gt;&lt;rlbrDttm&gt;&lt;/rlbrDttm&gt;&lt;wght&gt;13257&lt;/wght&gt;&lt;rlbrBssNo&gt;&lt;/rlbrBssNo&gt;&lt;bfhnGdncCn&gt;&lt;/bfhnGdncCn&gt;&lt;wghtUt&gt;KG&lt;/wghtUt&gt;&lt;pckGcnt&gt;1220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20251209150532&lt;/prcsDttm&gt;&lt;dclrNo&gt;2356325120210M&lt;/dclrNo&gt;&lt;rlbrDttm&gt;&lt;/rlbrDttm&gt;&lt;wght&gt;13257&lt;/wght&gt;&lt;rlbrBssNo&gt;선민합동관세사무소&lt;/rlbrBssNo&gt;&lt;bfhnGdncCn&gt;&lt;/bfhnGdncCn&gt;&lt;wghtUt&gt;KG&lt;/wghtUt&gt;&lt;pckGcnt&gt;1220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20251127131554&lt;/prcsDttm&gt;&lt;dclrNo&gt;11-2BA2025400812917-01&lt;/dclrNo&gt;&lt;rlbrDttm&gt;2025-11-27 00:00:00&lt;/rlbrDttm&gt;&lt;wght&gt;155450&lt;/wght&gt;&lt;rlbrBssNo&gt;신청일자:25.11.25&lt;/rlbrBssNo&gt;&lt;bfhnGdncCn&gt;[부가사항] 최근 검사/검역 신청부터 결과 과정까지의 평균 소요시간은 37일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20251125163712&lt;/prcsDttm&gt;&lt;dclrNo&gt;2356325007BIC&lt;/dclrNo&gt;&lt;rlbrDttm&gt;2025-11-25 16:37:12&lt;/rlbrDttm&gt;&lt;wght&gt;155450&lt;/wght&gt;&lt;rlbrBssNo&gt;&lt;/rlbrBssNo&gt;&lt;bfhnGdncCn&gt;&lt;/bfhnGdncCn&gt;&lt;wghtUt&gt;KG&lt;/wghtUt&gt;&lt;pckGcnt&gt;15730&lt;/pckGcnt&gt;&lt;cargTrcnRelaBsopTpcd&gt;식품의약품 검사종류 확정(정밀)&lt;/cargTrcnRelaBsopTpcd&gt;&lt;pckUt&gt;CT&lt;/pckUt&gt;&lt;rlbrCn&gt;&lt;/rlbrCn&gt;&lt;shedSgn&gt;03011597&lt;/shedSgn&gt;&lt;/cargCsclPrgsInfoDtlQryVo&gt;&lt;cargCsclPrgsInfoDtlQryVo&gt;&lt;shedNm&gt;동일냉장(주)&lt;/shedNm&gt;&lt;prcsDttm&gt;20251124121605&lt;/prcsDttm&gt;&lt;dclrNo&gt;030115972500001307&lt;/dclrNo&gt;&lt;rlbrDttm&gt;2025-11-24 12:16:01&lt;/rlbrDttm&gt;&lt;wght&gt;170940&lt;/wght&gt;&lt;rlbrBssNo&gt;030D1030F66025406194&lt;/rlbrBssNo&gt;&lt;bfhnGdncCn&gt;[부가사항] 동일냉장(주)의 장치기간은 최대 6 개월 입니다.&lt;/bfhnGdncCn&gt;&lt;wghtUt&gt;KG&lt;/wghtUt&gt;&lt;pckGcnt&gt;15730&lt;/pckGcnt&gt;&lt;cargTrcnRelaBsopTpcd&gt;반입신고&lt;/cargTrcnRelaBsopTpcd&gt;&lt;pckUt&gt;GT&lt;/pckUt&gt;&lt;rlbrCn&gt;보세운송 반입&lt;/rlbrCn&gt;&lt;shedSgn&gt;03011597/001&lt;/shedSgn&gt;&lt;/cargCsclPrgsInfoDtlQryVo&gt;&lt;cargCsclPrgsInfoDtlQryVo&gt;&lt;shedNm&gt;에이치엠엠피에스에이신항만(주)&lt;/shedNm&gt;&lt;prcsDttm&gt;20251122072625&lt;/prcsDttm&gt;&lt;dclrNo&gt;03077011250375130A&lt;/dclrNo&gt;&lt;rlbrDttm&gt;2025-11-21 14:55:44&lt;/rlbrDttm&gt;&lt;wght&gt;170940&lt;/wght&gt;&lt;rlbrBssNo&gt;030D1030F66025406194&lt;/rlbrBssNo&gt;&lt;bfhnGdncCn&gt;&lt;/bfhnGdncCn&gt;&lt;wghtUt&gt;KG&lt;/wghtUt&gt;&lt;pckGcnt&gt;15730&lt;/pckGcnt&gt;&lt;cargTrcnRelaBsopTpcd&gt;반출신고&lt;/cargTrcnRelaBsopTpcd&gt;&lt;pckUt&gt;GT&lt;/pckUt&gt;&lt;rlbrCn&gt;보세운송 반출&lt;/rlbrCn&gt;&lt;shedSgn&gt;03077011&lt;/shedSgn&gt;&lt;/cargCsclPrgsInfoDtlQryVo&gt;&lt;cargCsclPrgsInfoDtlQryVo&gt;&lt;shedNm&gt;에이치엠엠피에스에이신항만(주)&lt;/shedNm&gt;&lt;prcsDttm&gt;20251120225514&lt;/prcsDttm&gt;&lt;dclrNo&gt;03077011250368788A&lt;/dclrNo&gt;&lt;rlbrDttm&gt;2025-11-20 22:54:02&lt;/rlbrDttm&gt;&lt;wght&gt;170940&lt;/wght&gt;&lt;rlbrBssNo&gt;&lt;/rlbrBssNo&gt;&lt;bfhnGdncCn&gt;[부가사항] 에이치엠엠피에스에이신항만(주)의 장치기간은 최대 3 개월 입니다.&lt;/bfhnGdncCn&gt;&lt;wghtUt&gt;KG&lt;/wghtUt&gt;&lt;pckGcnt&gt;15730&lt;/pckGcnt&gt;&lt;cargTrcnRelaBsopTpcd&gt;반입신고&lt;/cargTrcnRelaBsopTpcd&gt;&lt;pckUt&gt;GT&lt;/pckUt&gt;&lt;rlbrCn&gt;입항 반입&lt;/rlbrCn&gt;&lt;shedSgn&gt;03077011&lt;/shedSgn&gt;&lt;/cargCsclPrgsInfoDtlQryVo&gt;&lt;cargCsclPrgsInfoDtlQryVo&gt;&lt;shedNm&gt;&lt;/shedNm&gt;&lt;prcsDttm&gt;20251120164007&lt;/prcsDttm&gt;&lt;dclrNo&gt;25ONEY1441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20251120164006&lt;/prcsDttm&gt;&lt;dclrNo&gt;25ONEY1441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에이치엠엠피에스에이신항만(주)&lt;/shedNm&gt;&lt;prcsDttm&gt;20251119160704&lt;/prcsDttm&gt;&lt;dclrNo&gt;030D1030F66025406194&lt;/dclrNo&gt;&lt;rlbrDttm&gt;(도)03011597동일냉장(주&lt;/rlbrDttm&gt;&lt;wght&gt;170940&lt;/wght&gt;&lt;rlbrBssNo&gt;(주)에스에스물류&lt;/rlbrBssNo&gt;&lt;bfhnGdncCn&gt;&lt;/bfhnGdncCn&gt;&lt;wghtUt&gt;KG&lt;/wghtUt&gt;&lt;pckGcnt&gt;15730&lt;/pckGcnt&gt;&lt;cargTrcnRelaBsopTpcd&gt;보세운송 신고 수리&lt;/cargTrcnRelaBsopTpcd&gt;&lt;pckUt&gt;GT&lt;/pckUt&gt;&lt;rlbrCn&gt;&lt;/rlbrCn&gt;&lt;shedSgn&gt;03077011/입항전운송&lt;/shedSgn&gt;&lt;/cargCsclPrgsInfoDtlQryVo&gt;&lt;cargCsclPrgsInfoDtlQryVo&gt;&lt;shedNm&gt;에이치엠엠피에스에이신항만(주)&lt;/shedNm&gt;&lt;prcsDttm&gt;20251119160549&lt;/prcsDttm&gt;&lt;dclrNo&gt;030D1030F66025406194&lt;/dclrNo&gt;&lt;rlbrDttm&gt;&lt;/rlbrDttm&gt;&lt;wght&gt;170940&lt;/wght&gt;&lt;rlbrBssNo&gt;&lt;/rlbrBssNo&gt;&lt;bfhnGdncCn&gt;&lt;/bfhnGdncCn&gt;&lt;wghtUt&gt;KG&lt;/wghtUt&gt;&lt;pckGcnt&gt;15730&lt;/pckGcnt&gt;&lt;cargTrcnRelaBsopTpcd&gt;보세운송 신고 접수&lt;/cargTrcnRelaBsopTpcd&gt;&lt;pckUt&gt;GT&lt;/pckUt&gt;&lt;rlbrCn&gt;&lt;/rlbrCn&gt;&lt;shedSgn&gt;03077011/입항전운송&lt;/shedSgn&gt;&lt;/cargCsclPrgsInfoDtlQryVo&gt;&lt;cargCsclPrgsInfoDtlQryVo&gt;&lt;shedNm&gt;에이치엠엠피에스에이신항만(주)&lt;/shedNm&gt;&lt;prcsDttm&gt;20251119154404&lt;/prcsDttm&gt;&lt;dclrNo&gt;25030145551&lt;/dclrNo&gt;&lt;rlbrDttm&gt;&lt;/rlbrDttm&gt;&lt;wght&gt;170940&lt;/wght&gt;&lt;rlbrBssNo&gt;하선반입기한:2025-11-25&lt;/rlbrBssNo&gt;&lt;bfhnGdncCn&gt;&lt;/bfhnGdncCn&gt;&lt;wghtUt&gt;KG&lt;/wghtUt&gt;&lt;pckGcnt&gt;15730&lt;/pckGcnt&gt;&lt;cargTrcnRelaBsopTpcd&gt;하선신고 수리&lt;/cargTrcnRelaBsopTpcd&gt;&lt;pckUt&gt;GT&lt;/pckUt&gt;&lt;rlbrCn&gt;&lt;/rlbrCn&gt;&lt;shedSgn&gt;03077011&lt;/shedSgn&gt;&lt;/cargCsclPrgsInfoDtlQryVo&gt;&lt;cargCsclPrgsInfoDtlQryVo&gt;&lt;shedNm&gt;에이치엠엠피에스에이신항만(주)&lt;/shedNm&gt;&lt;prcsDttm&gt;20251119154306&lt;/prcsDttm&gt;&lt;dclrNo&gt;&lt;/dclrNo&gt;&lt;rlbrDttm&gt;&lt;/rlbrDttm&gt;&lt;wght&gt;170940&lt;/wght&gt;&lt;rlbrBssNo&gt;(주)가나해운&lt;/rlbrBssNo&gt;&lt;bfhnGdncCn&gt;&lt;/bfhnGdncCn&gt;&lt;wghtUt&gt;KG&lt;/wghtUt&gt;&lt;pckGcnt&gt;15730&lt;/pckGcnt&gt;&lt;cargTrcnRelaBsopTpcd&gt;입항적재화물목록 심사완료&lt;/cargTrcnRelaBsopTpcd&gt;&lt;pckUt&gt;GT&lt;/pckUt&gt;&lt;rlbrCn&gt;&lt;/rlbrCn&gt;&lt;shedSgn&gt;03077011&lt;/shedSgn&gt;&lt;/cargCsclPrgsInfoDtlQryVo&gt;&lt;cargCsclPrgsInfoDtlQryVo&gt;&lt;shedNm&gt;에이치엠엠피에스에이신항만(주)&lt;/shedNm&gt;&lt;prcsDttm&gt;20251119141613&lt;/prcsDttm&gt;&lt;dclrNo&gt;&lt;/dclrNo&gt;&lt;rlbrDttm&gt;&lt;/rlbrDttm&gt;&lt;wght&gt;170940&lt;/wght&gt;&lt;rlbrBssNo&gt;&lt;/rlbrBssNo&gt;&lt;bfhnGdncCn&gt;&lt;/bfhnGdncCn&gt;&lt;wghtUt&gt;KG&lt;/wghtUt&gt;&lt;pckGcnt&gt;15730&lt;/pckGcnt&gt;&lt;cargTrcnRelaBsopTpcd&gt;입항적재화물목록 제출&lt;/cargTrcnRelaBsopTpcd&gt;&lt;pckUt&gt;GT&lt;/pckUt&gt;&lt;rlbrCn&gt;&lt;/rlbrCn&gt;&lt;shedSgn&gt;03077011&lt;/shedSgn&gt;&lt;/cargCsclPrgsInfoDtlQryVo&gt;&lt;/cargCsclPrgsInfoQryRtnVo&gt;</t>
    <phoneticPr fontId="1" type="noConversion"/>
  </si>
  <si>
    <t>CONTI ANNAPURNA</t>
  </si>
  <si>
    <t>2025.11.20</t>
  </si>
  <si>
    <t>&lt;?xml version="1.0" encoding="UTF-8" standalone="yes"?&gt;&lt;cargCsclPrgsInfoQryRtnVo&gt;&lt;ntceInfo&gt;&lt;/ntceInfo&gt;&lt;cargCsclPrgsInfoQryVo&gt;&lt;csclPrgsStts&gt;수입신고전&lt;/csclPrgsStts&gt;&lt;vydf&gt;0012E&lt;/vydf&gt;&lt;rlseDtyPridPassTpcd&gt;N&lt;/rlseDtyPridPassTpcd&gt;&lt;prnm&gt;FROZEN COOKED SUSHI VANNAMEI SHRIMP&lt;/prnm&gt;&lt;ldprCd&gt;VNSGN&lt;/ldprCd&gt;&lt;shipNat&gt;PA&lt;/shipNat&gt;&lt;blPt&gt;S&lt;/blPt&gt;&lt;dsprNm&gt;부산신항&lt;/dsprNm&gt;&lt;etprDt&gt;20251221&lt;/etprDt&gt;&lt;prgsStCd&gt;CSWA01&lt;/prgsStCd&gt;&lt;msrm&gt;25&lt;/msrm&gt;&lt;wghtUt&gt;KG&lt;/wghtUt&gt;&lt;dsprCd&gt;KRBNP&lt;/dsprCd&gt;&lt;cntrGcnt&gt;1&lt;/cntrGcnt&gt;&lt;cargTp&gt;수입 일반화물&lt;/cargTp&gt;&lt;shcoFlcoSgn&gt;HDMU&lt;/shcoFlcoSgn&gt;&lt;pckGcnt&gt;1600&lt;/pckGcnt&gt;&lt;etprCstm&gt;부산세관&lt;/etprCstm&gt;&lt;shipNm&gt;HMM MIRACLE&lt;/shipNm&gt;&lt;hblNo&gt;&lt;/hblNo&gt;&lt;prcsDttm&gt;20251226170134&lt;/prcsDttm&gt;&lt;frwrSgn&gt;&lt;/frwrSgn&gt;&lt;spcnCargCd&gt;RF&lt;/spcnCargCd&gt;&lt;ttwg&gt;6720&lt;/ttwg&gt;&lt;ldprNm&gt;Ho Chi Minh City&lt;/ldprNm&gt;&lt;dclrDelyAdtxYn&gt;N&lt;/dclrDelyAdtxYn&gt;&lt;mtTrgtCargYnNm&gt;N&lt;/mtTrgtCargYnNm&gt;&lt;cargMtNo&gt;25HDMUA653I0210&lt;/cargMtNo&gt;&lt;cntrNo&gt;HMMU5201857&lt;/cntrNo&gt;&lt;mblNo&gt;HDMUSGNA17207600&lt;/mblNo&gt;&lt;blPtNm&gt;Simple&lt;/blPtNm&gt;&lt;lodCntyCd&gt;VN&lt;/lodCntyCd&gt;&lt;prgsStts&gt;식품의약품 검사종류 확정(정밀)&lt;/prgsStts&gt;&lt;shcoFlco&gt;에이치엠엠(주)&lt;/shcoFlco&gt;&lt;pckUt&gt;CT&lt;/pckUt&gt;&lt;shipNatNm&gt;파나마&lt;/shipNatNm&gt;&lt;agnc&gt;에이치엠엠&lt;/agnc&gt;&lt;frwrEntsConm&gt;&lt;/frwrEntsConm&gt;&lt;/cargCsclPrgsInfoQryVo&gt;&lt;tCnt&gt;11&lt;/tCnt&gt;&lt;cargCsclPrgsInfoDtlQryVo&gt;&lt;shedNm&gt;동일냉장(주)&lt;/shedNm&gt;&lt;prcsDttm&gt;20251226170134&lt;/prcsDttm&gt;&lt;dclrNo&gt;23563250084UC&lt;/dclrNo&gt;&lt;rlbrDttm&gt;2025-12-26 17:01:34&lt;/rlbrDttm&gt;&lt;wght&gt;5120&lt;/wght&gt;&lt;rlbrBssNo&gt;&lt;/rlbrBssNo&gt;&lt;bfhnGdncCn&gt;&lt;/bfhnGdncCn&gt;&lt;wghtUt&gt;KG&lt;/wghtUt&gt;&lt;pckGcnt&gt;1600&lt;/pckGcnt&gt;&lt;cargTrcnRelaBsopTpcd&gt;식품의약품 검사종류 확정(정밀)&lt;/cargTrcnRelaBsopTpcd&gt;&lt;pckUt&gt;CT&lt;/pckUt&gt;&lt;rlbrCn&gt;&lt;/rlbrCn&gt;&lt;shedSgn&gt;03011597&lt;/shedSgn&gt;&lt;/cargCsclPrgsInfoDtlQryVo&gt;&lt;cargCsclPrgsInfoDtlQryVo&gt;&lt;shedNm&gt;동일냉장(주)&lt;/shedNm&gt;&lt;prcsDttm&gt;20251224112713&lt;/prcsDttm&gt;&lt;dclrNo&gt;030115972500001527&lt;/dclrNo&gt;&lt;rlbrDttm&gt;2025-12-24 11:27:10&lt;/rlbrDttm&gt;&lt;wght&gt;6720&lt;/wght&gt;&lt;rlbrBssNo&gt;030D1030F66025406901&lt;/rlbrBssNo&gt;&lt;bfhnGdncCn&gt;[부가사항] 동일냉장(주)의 장치기간은 최대 6 개월 입니다.&lt;/bfhnGdncCn&gt;&lt;wghtUt&gt;KG&lt;/wghtUt&gt;&lt;pckGcnt&gt;1600&lt;/pckGcnt&gt;&lt;cargTrcnRelaBsopTpcd&gt;반입신고&lt;/cargTrcnRelaBsopTpcd&gt;&lt;pckUt&gt;CT&lt;/pckUt&gt;&lt;rlbrCn&gt;보세운송 반입&lt;/rlbrCn&gt;&lt;shedSgn&gt;03011597/001&lt;/shedSgn&gt;&lt;/cargCsclPrgsInfoDtlQryVo&gt;&lt;cargCsclPrgsInfoDtlQryVo&gt;&lt;shedNm&gt;에이치엠엠피에스에이신항만(주)&lt;/shedNm&gt;&lt;prcsDttm&gt;20251224095923&lt;/prcsDttm&gt;&lt;dclrNo&gt;03077011250412847A&lt;/dclrNo&gt;&lt;rlbrDttm&gt;2025-12-24 09:58:30&lt;/rlbrDttm&gt;&lt;wght&gt;6720&lt;/wght&gt;&lt;rlbrBssNo&gt;030D1030F66025406901&lt;/rlbrBssNo&gt;&lt;bfhnGdncCn&gt;&lt;/bfhnGdncCn&gt;&lt;wghtUt&gt;KG&lt;/wghtUt&gt;&lt;pckGcnt&gt;1600&lt;/pckGcnt&gt;&lt;cargTrcnRelaBsopTpcd&gt;반출신고&lt;/cargTrcnRelaBsopTpcd&gt;&lt;pckUt&gt;CT&lt;/pckUt&gt;&lt;rlbrCn&gt;보세운송 반출&lt;/rlbrCn&gt;&lt;shedSgn&gt;03077011&lt;/shedSgn&gt;&lt;/cargCsclPrgsInfoDtlQryVo&gt;&lt;cargCsclPrgsInfoDtlQryVo&gt;&lt;shedNm&gt;에이치엠엠피에스에이신항만(주)&lt;/shedNm&gt;&lt;prcsDttm&gt;20251223173025&lt;/prcsDttm&gt;&lt;dclrNo&gt;030D1030F66025406901&lt;/dclrNo&gt;&lt;rlbrDttm&gt;(도)03011597동일냉장(주&lt;/rlbrDttm&gt;&lt;wght&gt;6720&lt;/wght&gt;&lt;rlbrBssNo&gt;(주)에스에스물류&lt;/rlbrBssNo&gt;&lt;bfhnGdncCn&gt;&lt;/bfhnGdncCn&gt;&lt;wghtUt&gt;KG&lt;/wghtUt&gt;&lt;pckGcnt&gt;1600&lt;/pckGcnt&gt;&lt;cargTrcnRelaBsopTpcd&gt;보세운송 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20251223172900&lt;/prcsDttm&gt;&lt;dclrNo&gt;030D1030F66025406901&lt;/dclrNo&gt;&lt;rlbrDttm&gt;&lt;/rlbrDttm&gt;&lt;wght&gt;6720&lt;/wght&gt;&lt;rlbrBssNo&gt;&lt;/rlbrBssNo&gt;&lt;bfhnGdncCn&gt;&lt;/bfhnGdncCn&gt;&lt;wghtUt&gt;KG&lt;/wghtUt&gt;&lt;pckGcnt&gt;1600&lt;/pckGcnt&gt;&lt;cargTrcnRelaBsopTpcd&gt;보세운송 신고 접수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20251221104600&lt;/prcsDttm&gt;&lt;dclrNo&gt;03077011250405081A&lt;/dclrNo&gt;&lt;rlbrDttm&gt;2025-12-21 10:44:04&lt;/rlbrDttm&gt;&lt;wght&gt;6720&lt;/wght&gt;&lt;rlbrBssNo&gt;&lt;/rlbrBssNo&gt;&lt;bfhnGdncCn&gt;[부가사항] 에이치엠엠피에스에이신항만(주)의 장치기간은 최대 3 개월 입니다.&lt;/bfhnGdncCn&gt;&lt;wghtUt&gt;KG&lt;/wghtUt&gt;&lt;pckGcnt&gt;1600&lt;/pckGcnt&gt;&lt;cargTrcnRelaBsopTpcd&gt;반입신고&lt;/cargTrcnRelaBsopTpcd&gt;&lt;pckUt&gt;CT&lt;/pckUt&gt;&lt;rlbrCn&gt;입항 반입&lt;/rlbrCn&gt;&lt;shedSgn&gt;03077011&lt;/shedSgn&gt;&lt;/cargCsclPrgsInfoDtlQryVo&gt;&lt;cargCsclPrgsInfoDtlQryVo&gt;&lt;shedNm&gt;&lt;/shedNm&gt;&lt;prcsDttm&gt;20251221024408&lt;/prcsDttm&gt;&lt;dclrNo&gt;25HDMUA653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20251221024408&lt;/prcsDttm&gt;&lt;dclrNo&gt;25HDMUA653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에이치엠엠피에스에이신항만(주)&lt;/shedNm&gt;&lt;prcsDttm&gt;20251219144031&lt;/prcsDttm&gt;&lt;dclrNo&gt;25030149767&lt;/dclrNo&gt;&lt;rlbrDttm&gt;&lt;/rlbrDttm&gt;&lt;wght&gt;6720&lt;/wght&gt;&lt;rlbrBssNo&gt;하선반입기한:2025-12-26&lt;/rlbrBssNo&gt;&lt;bfhnGdncCn&gt;&lt;/bfhnGdncCn&gt;&lt;wghtUt&gt;KG&lt;/wghtUt&gt;&lt;pckGcnt&gt;1600&lt;/pckGcnt&gt;&lt;cargTrcnRelaBsopTpcd&gt;하선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20251218173739&lt;/prcsDttm&gt;&lt;dclrNo&gt;&lt;/dclrNo&gt;&lt;rlbrDttm&gt;&lt;/rlbrDttm&gt;&lt;wght&gt;6720&lt;/wght&gt;&lt;rlbrBssNo&gt;&lt;/rlbrBssNo&gt;&lt;bfhnGdncCn&gt;&lt;/bfhnGdncCn&gt;&lt;wghtUt&gt;KG&lt;/wghtUt&gt;&lt;pckGcnt&gt;1600&lt;/pckGcnt&gt;&lt;cargTrcnRelaBsopTpcd&gt;입항적재화물목록 심사완료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20251218163407&lt;/prcsDttm&gt;&lt;dclrNo&gt;&lt;/dclrNo&gt;&lt;rlbrDttm&gt;&lt;/rlbrDttm&gt;&lt;wght&gt;6720&lt;/wght&gt;&lt;rlbrBssNo&gt;&lt;/rlbrBssNo&gt;&lt;bfhnGdncCn&gt;&lt;/bfhnGdncCn&gt;&lt;wghtUt&gt;KG&lt;/wghtUt&gt;&lt;pckGcnt&gt;1600&lt;/pckGcnt&gt;&lt;cargTrcnRelaBsopTpcd&gt;입항적재화물목록 제출&lt;/cargTrcnRelaBsopTpcd&gt;&lt;pckUt&gt;CT&lt;/pckUt&gt;&lt;rlbrCn&gt;&lt;/rlbrCn&gt;&lt;shedSgn&gt;03077011&lt;/shedSgn&gt;&lt;/cargCsclPrgsInfoDtlQryVo&gt;&lt;/cargCsclPrgsInfoQryRtnVo&gt;</t>
    <phoneticPr fontId="1" type="noConversion"/>
  </si>
  <si>
    <t>&lt;?xml version="1.0" encoding="UTF-8" standalone="yes"?&gt;&lt;cargCsclPrgsInfoQryRtnVo&gt;&lt;ntceInfo&gt;&lt;/ntceInfo&gt;&lt;cargCsclPrgsInfoQryVo&gt;&lt;csclPrgsStts&gt;수입신고전&lt;/csclPrgsStts&gt;&lt;vydf&gt;HR550R&lt;/vydf&gt;&lt;rlseDtyPridPassTpcd&gt;N&lt;/rlseDtyPridPassTpcd&gt;&lt;prnm&gt;FROZEN CHICKEN FEET, A GRADE NET WEIGHT: 24192,00KG&lt;/prnm&gt;&lt;ldprCd&gt;SEHEL&lt;/ldprCd&gt;&lt;shipNat&gt;PT&lt;/shipNat&gt;&lt;blPt&gt;S&lt;/blPt&gt;&lt;dsprNm&gt;부산신항&lt;/dsprNm&gt;&lt;etprDt&gt;20251229&lt;/etprDt&gt;&lt;prgsStCd&gt;CAGB01&lt;/prgsStCd&gt;&lt;msrm&gt;50&lt;/msrm&gt;&lt;wghtUt&gt;KG&lt;/wghtUt&gt;&lt;dsprCd&gt;KRBNP&lt;/dsprCd&gt;&lt;cntrGcnt&gt;1&lt;/cntrGcnt&gt;&lt;cargTp&gt;수입 일반화물&lt;/cargTp&gt;&lt;shcoFlcoSgn&gt;MSCU&lt;/shcoFlcoSgn&gt;&lt;pckGcnt&gt;1728&lt;/pckGcnt&gt;&lt;etprCstm&gt;부산세관&lt;/etprCstm&gt;&lt;shipNm&gt;MSC BREMERHAVEN V&lt;/shipNm&gt;&lt;hblNo&gt;&lt;/hblNo&gt;&lt;prcsDttm&gt;20251227165511&lt;/prcsDttm&gt;&lt;frwrSgn&gt;&lt;/frwrSgn&gt;&lt;spcnCargCd&gt;&lt;/spcnCargCd&gt;&lt;ttwg&gt;24537.6&lt;/ttwg&gt;&lt;ldprNm&gt;Helsingborg&lt;/ldprNm&gt;&lt;dclrDelyAdtxYn&gt;N&lt;/dclrDelyAdtxYn&gt;&lt;mtTrgtCargYnNm&gt;N&lt;/mtTrgtCargYnNm&gt;&lt;cargMtNo&gt;25MSCU4477I0080&lt;/cargMtNo&gt;&lt;cntrNo&gt;SZLU9512973&lt;/cntrNo&gt;&lt;mblNo&gt;MEDURA382940&lt;/mblNo&gt;&lt;blPtNm&gt;Simple&lt;/blPtNm&gt;&lt;lodCntyCd&gt;SE&lt;/lodCntyCd&gt;&lt;prgsStts&gt;하선신고 수리완료&lt;/prgsStts&gt;&lt;shcoFlco&gt;엠에스씨코리아(주)&lt;/shcoFlco&gt;&lt;pckUt&gt;CT&lt;/pckUt&gt;&lt;shipNatNm&gt;포루투갈&lt;/shipNatNm&gt;&lt;agnc&gt;MEDITERRANEAN SHIPPING&lt;/agnc&gt;&lt;frwrEntsConm&gt;&lt;/frwrEntsConm&gt;&lt;/cargCsclPrgsInfoQryVo&gt;&lt;tCnt&gt;3&lt;/tCnt&gt;&lt;cargCsclPrgsInfoDtlQryVo&gt;&lt;shedNm&gt;부산신항만(주)자유무역지역&lt;/shedNm&gt;&lt;prcsDttm&gt;20251227165511&lt;/prcsDttm&gt;&lt;dclrNo&gt;25030151075&lt;/dclrNo&gt;&lt;rlbrDttm&gt;&lt;/rlbrDttm&gt;&lt;wght&gt;24537.6&lt;/wght&gt;&lt;rlbrBssNo&gt;하선반입기한:2026-01-05&lt;/rlbrBssNo&gt;&lt;bfhnGdncCn&gt;&lt;/bfhnGdncCn&gt;&lt;wghtUt&gt;KG&lt;/wghtUt&gt;&lt;pckGcnt&gt;1728&lt;/pckGcnt&gt;&lt;cargTrcnRelaBsopTpcd&gt;하선신고 수리&lt;/cargTrcnRelaBsopTpcd&gt;&lt;pckUt&gt;CT&lt;/pckUt&gt;&lt;rlbrCn&gt;&lt;/rlbrCn&gt;&lt;shedSgn&gt;03077102&lt;/shedSgn&gt;&lt;/cargCsclPrgsInfoDtlQryVo&gt;&lt;cargCsclPrgsInfoDtlQryVo&gt;&lt;shedNm&gt;부산신항만(주)자유무역지역&lt;/shedNm&gt;&lt;prcsDttm&gt;20251227165438&lt;/prcsDttm&gt;&lt;dclrNo&gt;&lt;/dclrNo&gt;&lt;rlbrDttm&gt;&lt;/rlbrDttm&gt;&lt;wght&gt;24537.6&lt;/wght&gt;&lt;rlbrBssNo&gt;&lt;/rlbrBssNo&gt;&lt;bfhnGdncCn&gt;&lt;/bfhnGdncCn&gt;&lt;wghtUt&gt;KG&lt;/wghtUt&gt;&lt;pckGcnt&gt;1728&lt;/pckGcnt&gt;&lt;cargTrcnRelaBsopTpcd&gt;입항적재화물목록 심사완료&lt;/cargTrcnRelaBsopTpcd&gt;&lt;pckUt&gt;CT&lt;/pckUt&gt;&lt;rlbrCn&gt;&lt;/rlbrCn&gt;&lt;shedSgn&gt;03077102&lt;/shedSgn&gt;&lt;/cargCsclPrgsInfoDtlQryVo&gt;&lt;cargCsclPrgsInfoDtlQryVo&gt;&lt;shedNm&gt;부산신항만(주)자유무역지역&lt;/shedNm&gt;&lt;prcsDttm&gt;20251227145904&lt;/prcsDttm&gt;&lt;dclrNo&gt;&lt;/dclrNo&gt;&lt;rlbrDttm&gt;&lt;/rlbrDttm&gt;&lt;wght&gt;24537.6&lt;/wght&gt;&lt;rlbrBssNo&gt;&lt;/rlbrBssNo&gt;&lt;bfhnGdncCn&gt;&lt;/bfhnGdncCn&gt;&lt;wghtUt&gt;KG&lt;/wghtUt&gt;&lt;pckGcnt&gt;1728&lt;/pckGcnt&gt;&lt;cargTrcnRelaBsopTpcd&gt;입항적재화물목록 제출&lt;/cargTrcnRelaBsopTpcd&gt;&lt;pckUt&gt;CT&lt;/pckUt&gt;&lt;rlbrCn&gt;&lt;/rlbrCn&gt;&lt;shedSgn&gt;03077102&lt;/shedSgn&gt;&lt;/cargCsclPrgsInfoDtlQryVo&gt;&lt;/cargCsclPrgsInfoQryRtnVo&gt;</t>
  </si>
  <si>
    <t>MSC BREMERHAVEN V</t>
  </si>
  <si>
    <t>Const 컨테이너내역_승인키 As String = "g260r275x152m224d030a050d0"</t>
  </si>
  <si>
    <t>Const 화물진행정보_승인키 As String = "c290s255d192h253h000l090g5"</t>
  </si>
  <si>
    <t>Sub 연습2()</t>
  </si>
  <si>
    <t xml:space="preserve">    Dim ws As Worksheet</t>
  </si>
  <si>
    <t xml:space="preserve">    Set ws = ActiveSheet</t>
  </si>
  <si>
    <t xml:space="preserve">    </t>
  </si>
  <si>
    <t xml:space="preserve">    Dim info As String</t>
  </si>
  <si>
    <t xml:space="preserve">    info = FN_시트이름및범위선택확인(ws.Name, Selection)</t>
  </si>
  <si>
    <t xml:space="preserve">    If Split(info, "_")(2) &lt;&gt; "TRUE" Then Exit Sub</t>
  </si>
  <si>
    <t xml:space="preserve">    Dim rng As Range, cell As Range</t>
  </si>
  <si>
    <t xml:space="preserve">    Set rng = Sheets(ws.Name).Range(Split(info, "_")(1))</t>
  </si>
  <si>
    <t xml:space="preserve">    Dim http As Object, xmlDoc As Object</t>
  </si>
  <si>
    <t xml:space="preserve">    Set http = CreateObject("MSXML2.XMLHTTP")</t>
  </si>
  <si>
    <t xml:space="preserve">    Set xmlDoc = CreateObject("MSXML2.DOMDocument")</t>
  </si>
  <si>
    <t xml:space="preserve">    Dim blNo As String</t>
  </si>
  <si>
    <t xml:space="preserve">    Dim blYy As Long: blYy = Year(Date)</t>
  </si>
  <si>
    <t xml:space="preserve">    Dim found As Boolean</t>
  </si>
  <si>
    <t xml:space="preserve">    Dim BL확정 As String</t>
  </si>
  <si>
    <t xml:space="preserve">    '====== 추출값 &lt;cargCsclPrgsInfoQryVo&gt;의 자식으로 =====</t>
  </si>
  <si>
    <t xml:space="preserve">    Dim 주요_mblNo As String</t>
  </si>
  <si>
    <t xml:space="preserve">    Dim 주요_hblNo As String</t>
  </si>
  <si>
    <t xml:space="preserve">    Dim 주요_cargNo As String '25SNKO4736I20120001</t>
  </si>
  <si>
    <t xml:space="preserve">    Dim 주요_shipNm As String</t>
  </si>
  <si>
    <t xml:space="preserve">    Dim 주요_etprDt As String '20251220</t>
  </si>
  <si>
    <t xml:space="preserve">    Dim 주요_cntrGcnt As String '컨 개수</t>
  </si>
  <si>
    <t xml:space="preserve">    Dim 주요_cntrNo As String '대표 컨번호</t>
  </si>
  <si>
    <t xml:space="preserve">    Dim 주요_pckGcnt As String '수량</t>
  </si>
  <si>
    <t xml:space="preserve">    Dim 주요_ttwg As String '중량</t>
  </si>
  <si>
    <t xml:space="preserve">    Dim 주요_prgsStts As String '컨진행</t>
  </si>
  <si>
    <t xml:space="preserve">    Dim 주요_csclPrgsStts As String '통관진행</t>
  </si>
  <si>
    <t xml:space="preserve">    Dim 주요_shcoFlco As String '선사 &lt;shcoFlco&gt;엠에스씨코리아(주)&lt;/shcoFlco&gt;</t>
  </si>
  <si>
    <t xml:space="preserve">    Dim 주요_frwrEntsConm As String '포딩 &lt;frwrEntsConm&gt;(주)가나해운&lt;/frwrEntsConm&gt;</t>
  </si>
  <si>
    <t xml:space="preserve">    Dim tCnt_제출_cy As String</t>
  </si>
  <si>
    <t xml:space="preserve">    '&lt;cargCsclPrgsInfoDtlQryVo&gt;의 자식으로, &lt;cargTrcnRelaBsopTpcd&gt;입항적재화물목록 제출&lt;/cargTrcnRelaBsopTpcd&gt;</t>
  </si>
  <si>
    <t xml:space="preserve">    '&lt;shedNm&gt;에이치엠엠피에스에이신항만(주)&lt;/shedNm&gt;</t>
  </si>
  <si>
    <t xml:space="preserve">    Dim tCnt_접수_면허 As String</t>
  </si>
  <si>
    <t xml:space="preserve">    '&lt;cargCsclPrgsInfoDtlQryVo&gt;의 자식으로, &lt;cargTrcnRelaBsopTpcd&gt;보세운송 신고 접수&lt;/cargTrcnRelaBsopTpcd&gt;</t>
  </si>
  <si>
    <t xml:space="preserve">    '&lt;rlbrBssNo&gt;&lt;/rlbrBssNo&gt; 내용 없을수 있음</t>
  </si>
  <si>
    <t xml:space="preserve">    Dim tCnt_승인_면허 As String</t>
  </si>
  <si>
    <t xml:space="preserve">    '&lt;cargCsclPrgsInfoDtlQryVo&gt;의 자식으로, &lt;cargTrcnRelaBsopTpcd&gt;보세운송 신고 수리&lt;/cargTrcnRelaBsopTpcd&gt;</t>
  </si>
  <si>
    <t xml:space="preserve">    '&lt;rlbrBssNo&gt;(주)에스에스물류&lt;/rlbrBssNo&gt;</t>
  </si>
  <si>
    <t xml:space="preserve">    Dim tCnt_운송_반출시간 As String</t>
  </si>
  <si>
    <t xml:space="preserve">    '&lt;cargCsclPrgsInfoDtlQryVo&gt;의 자식으로, &lt;rlbrCn&gt;보세운송 반출&lt;/rlbrCn&gt; &lt;rlbrDttm&gt;2025-12-09 16:35:00&lt;/rlbrDttm&gt;</t>
  </si>
  <si>
    <t xml:space="preserve">    For Each cell In rng</t>
  </si>
  <si>
    <t xml:space="preserve">        </t>
  </si>
  <si>
    <t xml:space="preserve">        blNo = Trim(cell.Value)</t>
  </si>
  <si>
    <t xml:space="preserve">        If blNo = "" Then GoTo NextCell</t>
  </si>
  <si>
    <t xml:space="preserve">        '결과 없으면 최대 4번 조회 true는 mbl, fase는 hbl</t>
  </si>
  <si>
    <t xml:space="preserve">        '1)mbl 올해, hbl 올해, mbl 작년, hbl 작년</t>
  </si>
  <si>
    <t xml:space="preserve">        found = FN_조회결과존재(http, xmlDoc, 화물진행정보_승인키, blNo, blYy, True)</t>
  </si>
  <si>
    <t xml:space="preserve">        If Not found Then found = FN_조회결과존재(http, xmlDoc, 화물진행정보_승인키, blNo, blYy, False)</t>
  </si>
  <si>
    <t xml:space="preserve">        If Not found Then found = FN_조회결과존재(http, xmlDoc, 화물진행정보_승인키, blNo, blYy - 1, True)</t>
  </si>
  <si>
    <t xml:space="preserve">        If Not found Then found = FN_조회결과존재(http, xmlDoc, 화물진행정보_승인키, blNo, blYy - 1, False)</t>
  </si>
  <si>
    <t xml:space="preserve">        If Not found Then GoTo NextCell</t>
  </si>
  <si>
    <t xml:space="preserve">        '공백이거나 값이 온다.</t>
  </si>
  <si>
    <t xml:space="preserve">        '====== 추출값 &lt;cargCsclPrgsInfoQryVo&gt;의 자식으로 =====</t>
  </si>
  <si>
    <t xml:space="preserve">        주요_mblNo = 주요정보GET(xmlDoc, "//cargCsclPrgsInfoQryVo/mblNo")</t>
  </si>
  <si>
    <t xml:space="preserve">        주요_hblNo = 주요정보GET(xmlDoc, "//cargCsclPrgsInfoQryVo/hblNo")</t>
  </si>
  <si>
    <t xml:space="preserve">        주요_cargNo = 주요정보GET(xmlDoc, "//cargCsclPrgsInfoQryVo/cargNo") '25SNKO4736I20120001</t>
  </si>
  <si>
    <t xml:space="preserve">        주요_shipNm = 주요정보GET(xmlDoc, "//cargCsclPrgsInfoQryVo/shipNm")</t>
  </si>
  <si>
    <t xml:space="preserve">        주요_etprDt = 주요정보GET(xmlDoc, "//cargCsclPrgsInfoQryVo/etprDt") '20251220</t>
  </si>
  <si>
    <t xml:space="preserve">        주요_cntrGcnt = 주요정보GET(xmlDoc, "//cargCsclPrgsInfoQryVo/cntrGcnt")</t>
  </si>
  <si>
    <t xml:space="preserve">        주요_cntrNo = 주요정보GET(xmlDoc, "//cargCsclPrgsInfoQryVo/cntrNo")</t>
  </si>
  <si>
    <t xml:space="preserve">        주요_pckGcnt = 주요정보GET(xmlDoc, "//cargCsclPrgsInfoQryVo/pckGcnt")</t>
  </si>
  <si>
    <t xml:space="preserve">        주요_ttwg = 주요정보GET(xmlDoc, "//cargCsclPrgsInfoQryVo/ttwg")</t>
  </si>
  <si>
    <t xml:space="preserve">        주요_prgsStts = 주요정보GET(xmlDoc, "//cargCsclPrgsInfoQryVo/prgsStts")</t>
  </si>
  <si>
    <t xml:space="preserve">        주요_csclPrgsStts = 주요정보GET(xmlDoc, "//cargCsclPrgsInfoQryVo/csclPrgsStts")</t>
  </si>
  <si>
    <t xml:space="preserve">        주요_shcoFlco = 주요정보GET(xmlDoc, "//cargCsclPrgsInfoQryVo/shcoFlco")</t>
  </si>
  <si>
    <t xml:space="preserve">        주요_frwrEntsConm = 주요정보GET(xmlDoc, "//cargCsclPrgsInfoQryVo/frwrEntsConm")</t>
  </si>
  <si>
    <t xml:space="preserve">        '====== 추출값 &lt;cargCsclPrgsInfoDtlQryVo&gt;의 자식에서 찾아서 부모로가서 자식중에 찾을값을 찾는다 =====</t>
  </si>
  <si>
    <t xml:space="preserve">        tCnt_제출_cy = 주요정보GET(xmlDoc, "//cargCsclPrgsInfoQryVo/frwrEntsConm")</t>
  </si>
  <si>
    <t xml:space="preserve">        'tCnt_접수_면허</t>
  </si>
  <si>
    <t xml:space="preserve">        'tCnt_승인_면허</t>
  </si>
  <si>
    <t xml:space="preserve">        'tCnt_운송_반출시간</t>
  </si>
  <si>
    <t xml:space="preserve">        '==== cargCsclPrgsInfoQryVo 주요 정보에서 가지고 올 정보 ====</t>
  </si>
  <si>
    <t xml:space="preserve">        '화물관리번호 , hbl, mbl, 입항일, 컨개수, 컨번호, 수량, 중량: 선택</t>
  </si>
  <si>
    <t xml:space="preserve">        '★SUB_셀확정및값입력 시트에서 지정된 항목이 있을때 값이 전달됨</t>
  </si>
  <si>
    <t xml:space="preserve">        Dim mbl As String, hbl As String, cargNo As String</t>
  </si>
  <si>
    <t xml:space="preserve">        mbl = 주요정보GET(xmlDoc, "//cargCsclPrgsInfoQryVo/mblNo")</t>
  </si>
  <si>
    <t xml:space="preserve">        hbl = 주요정보GET(xmlDoc, "//cargCsclPrgsInfoQryVo/hblNo")</t>
  </si>
  <si>
    <t xml:space="preserve">        cargNo = 주요정보GET(xmlDoc, "//cargCsclPrgsInfoQryVo/cargMtNo")</t>
  </si>
  <si>
    <t xml:space="preserve">        If hbl &lt;&gt; "" And hbl &lt;&gt; mbl Then cell.Value = hbl</t>
  </si>
  <si>
    <t xml:space="preserve">        BL확정 = blNo</t>
  </si>
  <si>
    <t xml:space="preserve">        If hbl &lt;&gt; "" And hbl &lt;&gt; mbl Then BL확정 = hbl</t>
  </si>
  <si>
    <t xml:space="preserve">        '======== 주요정보에서 화찰정보 ========</t>
  </si>
  <si>
    <t xml:space="preserve">        'mbl, hbl, cargNo, 선명, 수량, 중량, 입항, 컨테이너개수, 컨테이너번호</t>
  </si>
  <si>
    <t xml:space="preserve">        If ws.Name = "리스트" Then</t>
  </si>
  <si>
    <t xml:space="preserve">        End If</t>
  </si>
  <si>
    <t xml:space="preserve">        If ws.Name = "연습2" Then</t>
  </si>
  <si>
    <t xml:space="preserve">           Sheets(ws.Name).Cells(cell.Row, "c") = http.responseText</t>
  </si>
  <si>
    <t xml:space="preserve">        SUB_셀확정및값입력 cell, ws.Name, "화찰BL", BL확정</t>
  </si>
  <si>
    <t xml:space="preserve">        SUB_셀확정및값입력 cell, ws.Name, "화찰선명", 주요정보GET(xmlDoc, "//cargCsclPrgsInfoQryVo/shipNm")</t>
  </si>
  <si>
    <t xml:space="preserve">        SUB_셀확정및값입력 cell, ws.Name, "화찰관리번호", FormatCargNo(cargNo)</t>
  </si>
  <si>
    <t xml:space="preserve">        SUB_셀확정및값입력 cell, ws.Name, "화찰수량", 주요정보GET(xmlDoc, "//cargCsclPrgsInfoQryVo/pckGcnt")</t>
  </si>
  <si>
    <t xml:space="preserve">        SUB_셀확정및값입력 cell, ws.Name, "화찰중량", 주요정보GET(xmlDoc, "//cargCsclPrgsInfoQryVo/ttwg")</t>
  </si>
  <si>
    <t xml:space="preserve">        SUB_셀확정및값입력 cell, ws.Name, "화찰입항", 주요정보GET(xmlDoc, "//cargCsclPrgsInfoQryVo/etprDt")</t>
  </si>
  <si>
    <t xml:space="preserve">        SUB_셀확정및값입력 cell, ws.Name, "보세운송신고접수", GetDtlValue(xmlDoc, "보세운송 신고 접수", "rlbrBssNo")</t>
  </si>
  <si>
    <t xml:space="preserve">        SUB_셀확정및값입력 cell, ws.Name, "보세운송신고접수", GetDtlValue(xmlDoc, "보세운송 신고 수리", "rlbrBssNo")</t>
  </si>
  <si>
    <t xml:space="preserve">        SUB_셀확정및값입력 cell, ws.Name, "리스트_입항일", 주요정보GET(xmlDoc, "//cargCsclPrgsInfoQryVo/etprDt")</t>
  </si>
  <si>
    <t xml:space="preserve">        SUB_셀확정및값입력 cell, ws.Name, "리스트_도착일", GetDtlValueByName(xmlDoc, "보세운송 반출", "rlbrDttm")</t>
  </si>
  <si>
    <t xml:space="preserve">        SUB_셀확정및값입력 cell, ws.Name, "리스트_도착시간", GetDtlValueByName(xmlDoc, "보세운송 반출", "rlbrDttm")</t>
  </si>
  <si>
    <t xml:space="preserve">        '==== 컨테이너 ====</t>
  </si>
  <si>
    <t xml:space="preserve">        'Call SetContainerInfo(ws, cell.Row, cargNo, xmlDoc, http)</t>
  </si>
  <si>
    <t>NextCell:</t>
  </si>
  <si>
    <t xml:space="preserve">    Next cell</t>
  </si>
  <si>
    <t>End Sub</t>
  </si>
  <si>
    <t>Function 주요정보GET(xmlDoc As Object, xPath As String) As String</t>
  </si>
  <si>
    <t xml:space="preserve">    Dim node As Object</t>
  </si>
  <si>
    <t xml:space="preserve">    Set node = xmlDoc.SelectSingleNode(xPath)</t>
  </si>
  <si>
    <t xml:space="preserve">    If Not node Is Nothing Then 주요정보GET = node.Text</t>
  </si>
  <si>
    <t>End Function</t>
  </si>
  <si>
    <t>Function FN_조회결과존재( _</t>
  </si>
  <si>
    <t xml:space="preserve">    http As Object, xmlDoc As Object, _</t>
  </si>
  <si>
    <t xml:space="preserve">    apiKey As String, blNo As String, _</t>
  </si>
  <si>
    <t xml:space="preserve">    blYy As Long, isMBL As Boolean) As Boolean</t>
  </si>
  <si>
    <t xml:space="preserve">    Dim url As String</t>
  </si>
  <si>
    <t xml:space="preserve">    url = "https://unipass.customs.go.kr:38010/ext/rest/cargCsclPrgsInfoQry/retrieveCargCsclPrgsInfo" _</t>
  </si>
  <si>
    <t xml:space="preserve">        &amp; "?crkyCn=" &amp; apiKey _</t>
  </si>
  <si>
    <t xml:space="preserve">        &amp; IIf(isMBL, "&amp;mblNo=", "&amp;hblNo=") &amp; blNo _</t>
  </si>
  <si>
    <t xml:space="preserve">        &amp; "&amp;blYy=" &amp; blYy</t>
  </si>
  <si>
    <t xml:space="preserve">    http.Open "GET", url, False</t>
  </si>
  <si>
    <t xml:space="preserve">    http.send</t>
  </si>
  <si>
    <t xml:space="preserve">    If http.Status &lt;&gt; 200 Then Exit Function</t>
  </si>
  <si>
    <t xml:space="preserve">    xmlDoc.LoadXML http.responseText</t>
  </si>
  <si>
    <t xml:space="preserve">    If 주요정보GET(xmlDoc, "//tCnt") = "0" Then Exit Function</t>
  </si>
  <si>
    <t xml:space="preserve">    If xmlDoc.SelectNodes("//cargCsclPrgsInfoDtlQryVo").Length = 0 Then Exit Function</t>
  </si>
  <si>
    <t xml:space="preserve">    If xmlDoc.SelectNodes("//cargCsclPrgsInfoDtlQryVo[cargTrcnRelaBsopTpcd='입항적재화물목록 제출']").Length = 0 Then Exit Function</t>
  </si>
  <si>
    <t xml:space="preserve">    FN_조회결과존재 = True</t>
  </si>
  <si>
    <t>Function FN_시트이름및범위선택확인(ByVal 시트이름 As String, ByVal 범위선택 As Variant) As String</t>
  </si>
  <si>
    <t xml:space="preserve">    '문자열로,</t>
  </si>
  <si>
    <t xml:space="preserve">    '1)시트이름_범위주소_TRUE,</t>
  </si>
  <si>
    <t xml:space="preserve">    '2)허용시트아님_범위주소_false 또는</t>
  </si>
  <si>
    <t xml:space="preserve">    '3)범위아님_FALSE, 시트이름_범위아님_FALSE</t>
  </si>
  <si>
    <t xml:space="preserve">    '==== 허용시트 확인 ====</t>
  </si>
  <si>
    <t xml:space="preserve">    If 시트이름 &lt;&gt; "리스트" And 시트이름 &lt;&gt; "예정" And 시트이름 &lt;&gt; "입항관리" And 시트이름 &lt;&gt; "연습2" Then</t>
  </si>
  <si>
    <t xml:space="preserve">       FN_시트이름및범위선택확인 = "허용시트아님_미확인_FALSE"</t>
  </si>
  <si>
    <t xml:space="preserve">       MsgBox "허용시트 아님, 리스트, 예정, 입항관리"</t>
  </si>
  <si>
    <t xml:space="preserve">       Exit Function</t>
  </si>
  <si>
    <t xml:space="preserve">       Else</t>
  </si>
  <si>
    <t xml:space="preserve">       FN_시트이름및범위선택확인 = 시트이름</t>
  </si>
  <si>
    <t xml:space="preserve">    End If</t>
  </si>
  <si>
    <t xml:space="preserve">    Dim 범위 As Range</t>
  </si>
  <si>
    <t xml:space="preserve">    On Error Resume Next</t>
  </si>
  <si>
    <t xml:space="preserve">    Set 범위 = 범위선택</t>
  </si>
  <si>
    <t xml:space="preserve">    If Err.Number &lt;&gt; 0 Then</t>
  </si>
  <si>
    <t xml:space="preserve">       MsgBox "범위선택 아님"</t>
  </si>
  <si>
    <t xml:space="preserve">       FN_시트이름및범위선택확인 = FN_시트이름및범위선택확인 &amp; "_범위아님_FALSE"</t>
  </si>
  <si>
    <t xml:space="preserve">       Else '범위일때</t>
  </si>
  <si>
    <t xml:space="preserve">          If 범위선택.Areas.Count &gt; 1 Then</t>
  </si>
  <si>
    <t xml:space="preserve">             FN_시트이름및범위선택확인 = FN_시트이름및범위선택확인 &amp; "_다중범위_FALSE"</t>
  </si>
  <si>
    <t xml:space="preserve">             MsgBox "다중범위 안됨"</t>
  </si>
  <si>
    <t xml:space="preserve">             Exit Function</t>
  </si>
  <si>
    <t xml:space="preserve">             Else</t>
  </si>
  <si>
    <t xml:space="preserve">                Dim BL열 As String</t>
  </si>
  <si>
    <t xml:space="preserve">                If 시트이름 = "리스트" Then BL열 = "C"</t>
  </si>
  <si>
    <t xml:space="preserve">                If 시트이름 = "예정" Then BL열 = "D"</t>
  </si>
  <si>
    <t xml:space="preserve">                If 시트이름 = "입항관리" Then BL열 = "K"</t>
  </si>
  <si>
    <t xml:space="preserve">                If 시트이름 = "연습2" Then BL열 = "A"</t>
  </si>
  <si>
    <t xml:space="preserve">                Debug.Print Cells(범위(1).Row, BL열).Resize(범위선택.Columns(1).Cells.Count, 1).Address</t>
  </si>
  <si>
    <t xml:space="preserve">                If Cells(범위(1).Row, BL열).Resize(범위선택.Columns(1).Cells.Count, 1).Cells.Count &gt; 100 Then</t>
  </si>
  <si>
    <t xml:space="preserve">                   MsgBox "100개 초과 안됨"</t>
  </si>
  <si>
    <t xml:space="preserve">                   FN_시트이름및범위선택확인 = "100건초과안됨_" &amp; Cells(범위(1).Row, BL열).Resize(범위선택.Columns(1).Cells.Count, 1).Address _</t>
  </si>
  <si>
    <t xml:space="preserve">                                                &amp; "_미확인_FALSE"</t>
  </si>
  <si>
    <t xml:space="preserve">                   Exit Function</t>
  </si>
  <si>
    <t xml:space="preserve">                End If</t>
  </si>
  <si>
    <t xml:space="preserve">                FN_시트이름및범위선택확인 = FN_시트이름및범위선택확인 &amp; "_" _</t>
  </si>
  <si>
    <t xml:space="preserve">                                            &amp; Cells(범위(1).Row, BL열).Resize(범위선택.Columns(1).Cells.Count, 1).Address &amp; "_TRUE"</t>
  </si>
  <si>
    <t xml:space="preserve">          End If</t>
  </si>
  <si>
    <t>Sub SUB_셀확정및값입력(셀 As Range, 시트이름 As String, 항목 As String, 항목값 As String)</t>
  </si>
  <si>
    <t xml:space="preserve">  If 시트이름 = "연습2" Then '화찰정보</t>
  </si>
  <si>
    <t xml:space="preserve">     If 항목 = "화찰BL" Then Sheets(시트이름).Cells(셀.Row, "K") = 항목값</t>
  </si>
  <si>
    <t xml:space="preserve">     If 항목 = "화찰선명" Then Sheets(시트이름).Cells(셀.Row, "L") = 항목값</t>
  </si>
  <si>
    <t xml:space="preserve">     If 항목 = "화찰관리번호" Then Sheets(시트이름).Cells(셀.Row, "M") = 항목값</t>
  </si>
  <si>
    <t xml:space="preserve">     If 항목 = "화찰수량" Then Sheets(시트이름).Cells(셀.Row, "N") = 항목값</t>
  </si>
  <si>
    <t xml:space="preserve">     If 항목 = "화찰중량" Then Sheets(시트이름).Cells(셀.Row, "O") = 항목값</t>
  </si>
  <si>
    <t xml:space="preserve">     If 항목 = "화찰입항" Then Sheets(시트이름).Cells(셀.Row, "P") = Format화찰입항(항목값)</t>
  </si>
  <si>
    <t xml:space="preserve">     If 항목 = "리스트_입항일" Then Sheets(시트이름).Cells(셀.Row, "H") = Format리스트입항(항목값)</t>
  </si>
  <si>
    <t xml:space="preserve">     If 항목 = "리스트_도착일" Then Sheets(시트이름).Cells(셀.Row, "I") = Format(항목값, "MM/DD")</t>
  </si>
  <si>
    <t xml:space="preserve">     If 항목 = "리스트_도착시간" Then Sheets(시트이름).Cells(셀.Row, "J") = Format(항목값, "hh:mm")</t>
  </si>
  <si>
    <t xml:space="preserve">  End If</t>
  </si>
  <si>
    <t xml:space="preserve">  If 시트이름 = "리스트" Then '화찰정보</t>
  </si>
  <si>
    <t xml:space="preserve">     If 항목 = "화찰BL" Then Sheets(시트이름).Cells(셀.Row, "P") = 항목값</t>
  </si>
  <si>
    <t xml:space="preserve">     If 항목 = "화찰선명" Then Sheets(시트이름).Cells(셀.Row, "Q") = 항목값</t>
  </si>
  <si>
    <t xml:space="preserve">     If 항목 = "화찰관리번호" Then Sheets(시트이름).Cells(셀.Row, "R") = 항목값</t>
  </si>
  <si>
    <t xml:space="preserve">     If 항목 = "화찰수량" Then Sheets(시트이름).Cells(셀.Row, "S") = 항목값</t>
  </si>
  <si>
    <t xml:space="preserve">     If 항목 = "화찰중량" Then Sheets(시트이름).Cells(셀.Row, "T") = 항목값</t>
  </si>
  <si>
    <t xml:space="preserve">     If 항목 = "화찰입항" Then Sheets(시트이름).Cells(셀.Row, "U") = Format화찰입항(항목값)</t>
  </si>
  <si>
    <t xml:space="preserve">     '보세운송신고접수, 보세운송신고수리 =&gt; 면허업체, 반출시간(날짜와 시간)</t>
  </si>
  <si>
    <t xml:space="preserve">     If 항목 = "보세운송신고접수" Then Sheets(시트이름).Cells(셀.Row, "O") = 항목값 '면허업체</t>
  </si>
  <si>
    <t xml:space="preserve">     If 항목 = "보세운송신고수리" Then</t>
  </si>
  <si>
    <t xml:space="preserve">        Sheets(시트이름).Cells(셀.Row, "O") = 항목값 '면허업체</t>
  </si>
  <si>
    <t xml:space="preserve">        If Sheets(시트이름).Cells(셀.Row, "O") = "" Then Sheets(시트이름).Cells(셀.Row, "O") = "면허?"</t>
  </si>
  <si>
    <t xml:space="preserve">     End If</t>
  </si>
  <si>
    <t xml:space="preserve">     If 항목 = "리스트_입항일" Then</t>
  </si>
  <si>
    <t xml:space="preserve">        Sheets(시트이름).Cells(셀.Row, "i") = Format리스트입항(항목값)</t>
  </si>
  <si>
    <t xml:space="preserve">     If 항목 = "리스트_도착일" Then Sheets(시트이름).Cells(셀.Row, "K") = Format(항목값, "MM/DD")</t>
  </si>
  <si>
    <t xml:space="preserve">     If 항목 = "리스트_도착시간" Then Sheets(시트이름).Cells(셀.Row, "L") = Format(항목값, "hh:mm")</t>
  </si>
  <si>
    <t xml:space="preserve">  If 시트이름 = "예정" Then '화찰정보</t>
  </si>
  <si>
    <t xml:space="preserve">     If 항목 = "화찰BL" Then Sheets(시트이름).Cells(셀.Row, "U") = 항목값</t>
  </si>
  <si>
    <t xml:space="preserve">     If 항목 = "화찰선명" Then Sheets(시트이름).Cells(셀.Row, "V") = 항목값</t>
  </si>
  <si>
    <t xml:space="preserve">     If 항목 = "화찰관리번호" Then Sheets(시트이름).Cells(셀.Row, "W") = 항목값</t>
  </si>
  <si>
    <t xml:space="preserve">     If 항목 = "화찰수량" Then Sheets(시트이름).Cells(셀.Row, "X") = 항목값</t>
  </si>
  <si>
    <t xml:space="preserve">     If 항목 = "화찰중량" Then Sheets(시트이름).Cells(셀.Row, "Y") = 항목값</t>
  </si>
  <si>
    <t xml:space="preserve">     If 항목 = "화찰입항" Then Sheets(시트이름).Cells(셀.Row, "Z") = 항목값</t>
  </si>
  <si>
    <t xml:space="preserve">  If 시트이름 = "입항관리" Then '화찰정보</t>
  </si>
  <si>
    <t xml:space="preserve">     If 항목 = "화찰선명" Then Sheets(시트이름).Cells(셀.Row, "U") = 항목값</t>
  </si>
  <si>
    <t xml:space="preserve">     If 항목 = "화찰입항" Then Sheets(시트이름).Cells(셀.Row, "V") = Format화찰입항(항목값)</t>
  </si>
  <si>
    <t xml:space="preserve">  '=============== 컨번호, 도착일, 도착시간, 면허  =================</t>
  </si>
  <si>
    <t>Function GetDtlValue(xmlDoc As Object, key As String, field As String) As String</t>
  </si>
  <si>
    <t xml:space="preserve">    Set node = xmlDoc.SelectSingleNode("//cargCsclPrgsInfoDtlQryVo[cargTrcnRelaBsopTpcd='" &amp; key &amp; "']/" &amp; field)</t>
  </si>
  <si>
    <t xml:space="preserve">    If Not node Is Nothing Then GetDtlValue = node.Text</t>
  </si>
  <si>
    <t>Function GetDtlValueByName(xmlDoc As Object, key As String, field As String) As String</t>
  </si>
  <si>
    <t xml:space="preserve">    Set node = xmlDoc.SelectSingleNode("//cargCsclPrgsInfoDtlQryVo[rlbrCn='" &amp; key &amp; "']/" &amp; field)</t>
  </si>
  <si>
    <t xml:space="preserve">    If Not node Is Nothing Then GetDtlValueByName = node.Text</t>
  </si>
  <si>
    <t>Sub SetContainerInfo(ws As Worksheet, rowNo As Long, cargNo As String, xmlDoc As Object, http As Object)</t>
  </si>
  <si>
    <t xml:space="preserve">    Dim cnt As Long</t>
  </si>
  <si>
    <t xml:space="preserve">    cnt = Val(GetXmlText(xmlDoc, "//cargCsclPrgsInfoQryVo/cntrGcnt"))</t>
  </si>
  <si>
    <t xml:space="preserve">    If cnt &lt;= 1 Then</t>
  </si>
  <si>
    <t xml:space="preserve">        ws.Cells(rowNo, "H") = GetXmlText(xmlDoc, "//cargCsclPrgsInfoQryVo/cntrNo")</t>
  </si>
  <si>
    <t xml:space="preserve">        Exit Sub</t>
  </si>
  <si>
    <t xml:space="preserve">    url = "https://unipass.customs.go.kr:38010/ext/rest/cntrQryBrkdQry/retrieveCntrQryBrkd" _</t>
  </si>
  <si>
    <t xml:space="preserve">        &amp; "?crkyCn=" &amp; 컨테이너내역_승인키 _</t>
  </si>
  <si>
    <t xml:space="preserve">        &amp; "&amp;cargMtNo=" &amp; cargNo</t>
  </si>
  <si>
    <t xml:space="preserve">    Dim list As String, n As Object</t>
  </si>
  <si>
    <t xml:space="preserve">    For Each n In xmlDoc.SelectNodes("//cntrNo")</t>
  </si>
  <si>
    <t xml:space="preserve">        list = list &amp; IIf(list = "", "", ", ") &amp; n.Text</t>
  </si>
  <si>
    <t xml:space="preserve">    Next</t>
  </si>
  <si>
    <t xml:space="preserve">    ws.Cells(rowNo, "H") = list</t>
  </si>
  <si>
    <t>Function Format리스트입항(no As String) As String</t>
  </si>
  <si>
    <t xml:space="preserve">    Format리스트입항 = Left(no, 4) &amp; "/" &amp; Mid(no, 5, 2) &amp; "/" &amp; Mid(no, 7, 2)</t>
  </si>
  <si>
    <t>Function Format화찰입항(no As String) As String</t>
  </si>
  <si>
    <t xml:space="preserve">    Format화찰입항 = Left(no, 4) &amp; "." &amp; Mid(no, 5, 2) &amp; "." &amp; Mid(no, 7, 2)</t>
  </si>
  <si>
    <t>Function FormatCargNo(no As String) As String</t>
  </si>
  <si>
    <t xml:space="preserve">    FormatCargNo = Left(no, 11) &amp; "-" &amp; Mid(no, 12, 4) &amp; "-" &amp; Mid(no, 16, 4)</t>
  </si>
  <si>
    <t>ONEYTPEF83544700</t>
  </si>
  <si>
    <t>HMMU5201857</t>
  </si>
  <si>
    <t>SZLU9512973</t>
  </si>
  <si>
    <t>SKRU1300602</t>
    <phoneticPr fontId="1" type="noConversion"/>
  </si>
  <si>
    <t>IAAU8683206</t>
    <phoneticPr fontId="1" type="noConversion"/>
  </si>
  <si>
    <t>25ONEY1441I50060001</t>
  </si>
  <si>
    <t>25ONEY1441I50060001</t>
    <phoneticPr fontId="1" type="noConversion"/>
  </si>
  <si>
    <t>KKFU6746401, ONEU9336184, ONEU9436619, ONEU9475702, SZLU9548277, SZLU9742404, TTNU8803178</t>
  </si>
  <si>
    <t>KKFU6746401, ONEU9336184, ONEU9436619, ONEU9475702, SZLU9548277, SZLU9742404, TTNU8803178</t>
    <phoneticPr fontId="1" type="noConversion"/>
  </si>
  <si>
    <t>25IALKIV50I90430001</t>
    <phoneticPr fontId="1" type="noConversion"/>
  </si>
  <si>
    <t>25HDMUA653I0210</t>
    <phoneticPr fontId="1" type="noConversion"/>
  </si>
  <si>
    <t>25MSCU4477I0080</t>
  </si>
  <si>
    <t>25SNKO4736I20120001</t>
    <phoneticPr fontId="1" type="noConversion"/>
  </si>
  <si>
    <t>16:54</t>
    <phoneticPr fontId="1" type="noConversion"/>
  </si>
  <si>
    <t>15:55</t>
  </si>
  <si>
    <t>15:55</t>
    <phoneticPr fontId="1" type="noConversion"/>
  </si>
  <si>
    <t>10:58</t>
    <phoneticPr fontId="1" type="noConversion"/>
  </si>
  <si>
    <t>06:19</t>
    <phoneticPr fontId="1" type="noConversion"/>
  </si>
  <si>
    <t>HMMU5203464</t>
    <phoneticPr fontId="1" type="noConversion"/>
  </si>
  <si>
    <t>15:16</t>
    <phoneticPr fontId="1" type="noConversion"/>
  </si>
  <si>
    <t>16:40</t>
    <phoneticPr fontId="1" type="noConversion"/>
  </si>
  <si>
    <t>16:09</t>
    <phoneticPr fontId="1" type="noConversion"/>
  </si>
  <si>
    <t>08:53</t>
    <phoneticPr fontId="1" type="noConversion"/>
  </si>
  <si>
    <t>2025.12.17</t>
  </si>
  <si>
    <t>15:45</t>
    <phoneticPr fontId="1" type="noConversion"/>
  </si>
  <si>
    <t>25YMJA0222I5028</t>
    <phoneticPr fontId="1" type="noConversion"/>
  </si>
  <si>
    <t>25ONEY1581I7186</t>
    <phoneticPr fontId="1" type="noConversion"/>
  </si>
  <si>
    <t>(주)나모티엘에스</t>
    <phoneticPr fontId="1" type="noConversion"/>
  </si>
  <si>
    <t>25EVER6351I0521</t>
    <phoneticPr fontId="1" type="noConversion"/>
  </si>
  <si>
    <t>2025.12.11</t>
  </si>
  <si>
    <t>동원로엑스㈜</t>
  </si>
  <si>
    <t>25HDMUA641I0087</t>
    <phoneticPr fontId="1" type="noConversion"/>
  </si>
  <si>
    <t>2025.12.15</t>
  </si>
  <si>
    <t>25HDMUA641I0088</t>
    <phoneticPr fontId="1" type="noConversion"/>
  </si>
  <si>
    <t>25POBUSH56I7026</t>
    <phoneticPr fontId="1" type="noConversion"/>
  </si>
  <si>
    <t>25ONEY1567I7008</t>
    <phoneticPr fontId="1" type="noConversion"/>
  </si>
  <si>
    <t>25MSCU6317I0040</t>
    <phoneticPr fontId="1" type="noConversion"/>
  </si>
  <si>
    <t>25YMJA0222I5029</t>
    <phoneticPr fontId="1" type="noConversion"/>
  </si>
  <si>
    <t>25EVER6352I0459</t>
    <phoneticPr fontId="1" type="noConversion"/>
  </si>
  <si>
    <t>25HDMUA642I0067</t>
    <phoneticPr fontId="1" type="noConversion"/>
  </si>
  <si>
    <t>25SNKO4855I6506</t>
    <phoneticPr fontId="1" type="noConversion"/>
  </si>
  <si>
    <t>25ONEY1581I7180</t>
    <phoneticPr fontId="1" type="noConversion"/>
  </si>
  <si>
    <t>25PCLUBK15I8001</t>
    <phoneticPr fontId="1" type="noConversion"/>
  </si>
  <si>
    <t>25PCLUBK15I8002</t>
    <phoneticPr fontId="1" type="noConversion"/>
  </si>
  <si>
    <t>TTNU8789830</t>
    <phoneticPr fontId="1" type="noConversion"/>
  </si>
  <si>
    <t>25CKCO1398I70800001</t>
    <phoneticPr fontId="1" type="noConversion"/>
  </si>
  <si>
    <t>25PCLUBK15I2517</t>
    <phoneticPr fontId="1" type="noConversion"/>
  </si>
  <si>
    <t>TRIU8877853</t>
    <phoneticPr fontId="1" type="noConversion"/>
  </si>
  <si>
    <t>25HLCU9018I7241</t>
    <phoneticPr fontId="1" type="noConversion"/>
  </si>
  <si>
    <t>(주)에스에스물류</t>
    <phoneticPr fontId="1" type="noConversion"/>
  </si>
  <si>
    <t>09:40</t>
    <phoneticPr fontId="1" type="noConversion"/>
  </si>
  <si>
    <t>10:26</t>
    <phoneticPr fontId="1" type="noConversion"/>
  </si>
  <si>
    <t>10:56</t>
    <phoneticPr fontId="1" type="noConversion"/>
  </si>
  <si>
    <t>15:10</t>
    <phoneticPr fontId="1" type="noConversion"/>
  </si>
  <si>
    <t>15:11</t>
    <phoneticPr fontId="1" type="noConversion"/>
  </si>
  <si>
    <t>21:35</t>
    <phoneticPr fontId="1" type="noConversion"/>
  </si>
  <si>
    <t>18:48</t>
    <phoneticPr fontId="1" type="noConversion"/>
  </si>
  <si>
    <t>○</t>
    <phoneticPr fontId="1" type="noConversion"/>
  </si>
  <si>
    <t>25HDMUA655I0097</t>
    <phoneticPr fontId="1" type="noConversion"/>
  </si>
  <si>
    <t>HMMU5542133</t>
  </si>
  <si>
    <t>13:28</t>
  </si>
  <si>
    <t>25HDMUA641I0085</t>
  </si>
  <si>
    <t>(주)에스에스물류, CY : 에이치엠엠피에스에이신항만(주), 컨진행 : 검사/검역 식품의약품(합격), 선사 : 에이치엠엠(주)</t>
    <phoneticPr fontId="1" type="noConversion"/>
  </si>
  <si>
    <t>(주)케이씨티시, CY : 신감만 한국허치슨(주) 컨테이너 보세창고, 컨진행 : 수입신고 수리완료, 선사 : 장금상선(주), 포딩 : 주식회사 엔제이글로벌</t>
    <phoneticPr fontId="1" type="noConversion"/>
  </si>
  <si>
    <t>(주)골든로지텍, CY : 신감만 한국허치슨(주) 컨테이너 보세창고, 컨진행 : 검사/검역 식품의약품(합격), 선사 : 장금상선(주)</t>
    <phoneticPr fontId="1" type="noConversion"/>
  </si>
  <si>
    <t>에이스로지스틱(주), CY : 신감만 한국허치슨(주) 컨테이너 보세창고, 컨진행 : 반입완료, 선사 : 오션네트워크익스프레스코리아(주)</t>
    <phoneticPr fontId="1" type="noConversion"/>
  </si>
  <si>
    <t>(주)에스에스물류, CY : 동원글로벌터미널부산(주), 컨진행 : 반입완료, 선사 : 피아이엘코리아(주)</t>
    <phoneticPr fontId="1" type="noConversion"/>
  </si>
  <si>
    <t>동원로엑스㈜, CY : 동원글로벌터미널부산(주), 컨진행 : 반출완료, 선사 : (주)에버그린코리아</t>
    <phoneticPr fontId="1" type="noConversion"/>
  </si>
  <si>
    <t>면허?, CY : 에이치엠엠피에스에이신항만(주), 컨진행 : 반입완료, 선사 : 에이치엠엠(주)</t>
    <phoneticPr fontId="1" type="noConversion"/>
  </si>
  <si>
    <t>에이스로지스틱(주), CY : 에이치엠엠피에스에이신항만(주), 컨진행 : 반출완료, 선사 : 에이치엠엠(주)</t>
    <phoneticPr fontId="1" type="noConversion"/>
  </si>
  <si>
    <t>에이스로지스틱(주), CY : 신선대감만터미널(주) 신선대CY, 컨진행 : 보세운송 신고 수리, 선사 : 팬오션(주)</t>
    <phoneticPr fontId="1" type="noConversion"/>
  </si>
  <si>
    <t>면허?, CY : 동원글로벌터미널부산(주), 컨진행 : 반입완료, 선사 : 오션네트워크익스프레스코리아(주)</t>
    <phoneticPr fontId="1" type="noConversion"/>
  </si>
  <si>
    <t>천일정기화물자동차(주), CY : 부산신항만(주)자유무역지역, 컨진행 : 검사/검역 식품의약품(합격), 선사 : 엠에스씨코리아(주)</t>
    <phoneticPr fontId="1" type="noConversion"/>
  </si>
  <si>
    <t>에이스로지스틱(주), CY : 신감만 한국허치슨(주) 컨테이너 보세창고, 컨진행 : 보세운송 신고 수리, 선사 : 양밍한국(주)</t>
    <phoneticPr fontId="1" type="noConversion"/>
  </si>
  <si>
    <t>동원로엑스㈜, CY : 동원글로벌터미널부산(주), 컨진행 : 보세운송 신고 수리, 선사 : (주)에버그린코리아</t>
    <phoneticPr fontId="1" type="noConversion"/>
  </si>
  <si>
    <t>면허?, CY : 신감만 한국허치슨(주) 컨테이너 보세창고, 컨진행 : 반입완료, 선사 : 장금상선(주)</t>
    <phoneticPr fontId="1" type="noConversion"/>
  </si>
  <si>
    <t>(주)골든로지텍, CY : 한진부산컨테이너터미널(주), 컨진행 : 반입완료, 선사 : 오션네트워크익스프레스코리아(주)</t>
    <phoneticPr fontId="1" type="noConversion"/>
  </si>
  <si>
    <t>에이스로지스틱(주), CY : 부산신항만(주)자유무역지역, 컨진행 : 검사/검역 동물검역(합격), 선사 : 하파그로이드코리아(주)</t>
    <phoneticPr fontId="1" type="noConversion"/>
  </si>
  <si>
    <t>에이스로지스틱(주), CY : 부산신항만(주)자유무역지역, 컨진행 : 반입완료, 선사 : 하파그로이드코리아(주)</t>
    <phoneticPr fontId="1" type="noConversion"/>
  </si>
  <si>
    <t>에이스로지스틱(주), CY : 신감만 한국허치슨(주) 컨테이너 보세창고, 컨진행 : 반출완료, 선사 : 양밍한국(주)</t>
    <phoneticPr fontId="1" type="noConversion"/>
  </si>
  <si>
    <t>(주)나모티엘에스, CY : 한진부산컨테이너터미널(주), 컨진행 : 반출완료, 선사 : 오션네트워크익스프레스코리아(주)</t>
    <phoneticPr fontId="1" type="noConversion"/>
  </si>
  <si>
    <t>(주)에이치유로지스틱스, CY : 한진부산컨테이너터미널(주), 컨진행 : 보세운송 신고 수리, 선사 : 오션네트워크익스프레스코리아(주)</t>
    <phoneticPr fontId="1" type="noConversion"/>
  </si>
  <si>
    <t>에이스로지스틱(주), CY : 신선대감만터미널(주) 신선대CY, 컨진행 : 보세운송 신고 수리, 선사 : 범주해운(주)</t>
    <phoneticPr fontId="1" type="noConversion"/>
  </si>
  <si>
    <t>(주)케이씨티시, CY : 신선대감만터미널(주) 신선대CY, 컨진행 : 항내 정박장소 이동신고, 선사 : 천경해운(주), 포딩 : (주)스카이로드</t>
    <phoneticPr fontId="1" type="noConversion"/>
  </si>
  <si>
    <t>면허?, CY : 신선대감만터미널(주) 신선대CY, 컨진행 : 반입완료, 선사 : 범주해운(주)</t>
    <phoneticPr fontId="1" type="noConversion"/>
  </si>
  <si>
    <t>천일정기화물자동차(주), CY : 부산신항국제터미널(주), 컨진행 : 반입완료, 선사 : 하파그로이드코리아(주)</t>
    <phoneticPr fontId="1" type="noConversion"/>
  </si>
  <si>
    <t>HMMU5204223</t>
    <phoneticPr fontId="1" type="noConversion"/>
  </si>
  <si>
    <t>면허?, CY : 에이치엠엠피에스에이신항만(주), 컨진행 : 하선신고 수리완료, 선사 : 에이치엠엠(주)</t>
    <phoneticPr fontId="1" type="noConversion"/>
  </si>
  <si>
    <t>REN JIAN 20</t>
    <phoneticPr fontId="1" type="noConversion"/>
  </si>
  <si>
    <t>25ONEY1545I-5105-</t>
    <phoneticPr fontId="1" type="noConversion"/>
  </si>
  <si>
    <t>ONEYSAOF58679800</t>
    <phoneticPr fontId="1" type="noConversion"/>
  </si>
  <si>
    <t>25ONEY1545I-5117-</t>
    <phoneticPr fontId="1" type="noConversion"/>
  </si>
  <si>
    <t>25ONEY1507I-5034-</t>
    <phoneticPr fontId="1" type="noConversion"/>
  </si>
  <si>
    <t>MEDUHI492164</t>
    <phoneticPr fontId="1" type="noConversion"/>
  </si>
  <si>
    <t>MSC CARLOTTA</t>
    <phoneticPr fontId="1" type="noConversion"/>
  </si>
  <si>
    <t>25MSCU2305I-0033-</t>
    <phoneticPr fontId="1" type="noConversion"/>
  </si>
  <si>
    <t>MEDUFX868856</t>
    <phoneticPr fontId="1" type="noConversion"/>
  </si>
  <si>
    <t>TRIU8015416</t>
  </si>
  <si>
    <t>2025.12.10</t>
    <phoneticPr fontId="1" type="noConversion"/>
  </si>
  <si>
    <t>ONEU9474141</t>
  </si>
  <si>
    <t>2025.12.12</t>
    <phoneticPr fontId="1" type="noConversion"/>
  </si>
  <si>
    <t>TRIU8395487</t>
  </si>
  <si>
    <t>TRIU8847099</t>
  </si>
  <si>
    <t>25MSCU2305I-0017-</t>
    <phoneticPr fontId="1" type="noConversion"/>
  </si>
  <si>
    <t>25ONEY1555I-5108-</t>
    <phoneticPr fontId="1" type="noConversion"/>
  </si>
  <si>
    <t>25EVER6351I-0513-</t>
    <phoneticPr fontId="1" type="noConversion"/>
  </si>
  <si>
    <t>에이치엠엠피에스에이신항만(주)</t>
    <phoneticPr fontId="1" type="noConversion"/>
  </si>
  <si>
    <t>HMMU5202811</t>
  </si>
  <si>
    <t>(주)천경</t>
    <phoneticPr fontId="1" type="noConversion"/>
  </si>
  <si>
    <t>동원글로벌터미널부산(주)</t>
    <phoneticPr fontId="1" type="noConversion"/>
  </si>
  <si>
    <t>신감만 한국허치슨(주) 컨테이너 보세창고</t>
    <phoneticPr fontId="1" type="noConversion"/>
  </si>
  <si>
    <t>2025.12.20</t>
    <phoneticPr fontId="1" type="noConversion"/>
  </si>
  <si>
    <t>신선대감만터미널(주) 신선대CY</t>
    <phoneticPr fontId="1" type="noConversion"/>
  </si>
  <si>
    <t>&lt;?xml version="1.0" encoding="UTF-8" standalone="yes"?&gt;&lt;cargCsclPrgsInfoQryRtnVo&gt;&lt;ntceInfo&gt;&lt;/ntceInfo&gt;&lt;cargCsclPrgsInfoQryVo&gt;&lt;csclPrgsStts&gt;수입신고전&lt;/csclPrgsStts&gt;&lt;vydf&gt;QI540R&lt;/vydf&gt;&lt;rlseDtyPridPassTpcd&gt;N&lt;/rlseDtyPridPassTpcd&gt;&lt;prnm&gt;1940 CARTONS WITH 23280 KG NET WEIGHT OF FROZEN CHICKEN BONELESS LEG HALFCUT (115G -135G) DECLARED CLEAN BY SHIPPER - FREIGHT PREPAID - BRAND: SEARA - PED. 111419.2 - NCM:02071423 - TTNU8462301&lt;/prnm&gt;&lt;ldprCd&gt;BRSSZ&lt;/ldprCd&gt;&lt;shipNat&gt;LR&lt;/shipNat&gt;&lt;blPt&gt;S&lt;/blPt&gt;&lt;dsprNm&gt;부산신항&lt;/dsprNm&gt;&lt;etprDt&gt;20251218&lt;/etprDt&gt;&lt;prgsStCd&gt;IMPB01&lt;/prgsStCd&gt;&lt;msrm&gt;36.31&lt;/msrm&gt;&lt;wghtUt&gt;KG&lt;/wghtUt&gt;&lt;dsprCd&gt;KRBNP&lt;/dsprCd&gt;&lt;cntrGcnt&gt;1&lt;/cntrGcnt&gt;&lt;cargTp&gt;수입 일반화물&lt;/cargTp&gt;&lt;shcoFlcoSgn&gt;MSCU&lt;/shcoFlcoSgn&gt;&lt;pckGcnt&gt;1940&lt;/pckGcnt&gt;&lt;etprCstm&gt;부산세관&lt;/etprCstm&gt;&lt;shipNm&gt;MSC CARLOTTA&lt;/shipNm&gt;&lt;hblNo&gt;&lt;/hblNo&gt;&lt;prcsDttm&gt;20251224172852&lt;/prcsDttm&gt;&lt;frwrSgn&gt;&lt;/frwrSgn&gt;&lt;spcnCargCd&gt;&lt;/spcnCargCd&gt;&lt;ttwg&gt;24225.92&lt;/ttwg&gt;&lt;ldprNm&gt;Santos&lt;/ldprNm&gt;&lt;dclrDelyAdtxYn&gt;N&lt;/dclrDelyAdtxYn&gt;&lt;mtTrgtCargYnNm&gt;N&lt;/mtTrgtCargYnNm&gt;&lt;cargMtNo&gt;25MSCU2305I0013&lt;/cargMtNo&gt;&lt;cntrNo&gt;TTNU8462301&lt;/cntrNo&gt;&lt;mblNo&gt;MEDUFX853544&lt;/mblNo&gt;&lt;blPtNm&gt;Simple&lt;/blPtNm&gt;&lt;lodCntyCd&gt;BR&lt;/lodCntyCd&gt;&lt;prgsStts&gt;검사/검역 식품의약품(합격)&lt;/prgsStts&gt;&lt;shcoFlco&gt;엠에스씨코리아(주)&lt;/shcoFlco&gt;&lt;pckUt&gt;CT&lt;/pckUt&gt;&lt;shipNatNm&gt;라이베리아&lt;/shipNatNm&gt;&lt;agnc&gt;엠에스씨코리아(주)&lt;/agnc&gt;&lt;frwrEntsConm&gt;&lt;/frwrEntsConm&gt;&lt;/cargCsclPrgsInfoQryVo&gt;&lt;tCnt&gt;12&lt;/tCnt&gt;&lt;cargCsclPrgsInfoDtlQryVo&gt;&lt;shedNm&gt;동일냉장(주)&lt;/shedNm&gt;&lt;prcsDttm&gt;20251224172852&lt;/prcsDttm&gt;&lt;dclrNo&gt;11-2BA2025200893782-01&lt;/dclrNo&gt;&lt;rlbrDttm&gt;2025-12-24 00:00:00&lt;/rlbrDttm&gt;&lt;wght&gt;23280&lt;/wght&gt;&lt;rlbrBssNo&gt;신청일자:25.12.24&lt;/rlbrBssNo&gt;&lt;bfhnGdncCn&gt;[부가사항] 최근 검사/검역 신청부터 결과 과정까지의 평균 소요시간은 8일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20251224162806&lt;/prcsDttm&gt;&lt;dclrNo&gt;12-ISP02512064601-01&lt;/dclrNo&gt;&lt;rlbrDttm&gt;2025-12-24 00:00:00&lt;/rlbrDttm&gt;&lt;wght&gt;23280&lt;/wght&gt;&lt;rlbrBssNo&gt;신청일자:25.12.24&lt;/rlbrBssNo&gt;&lt;bfhnGdncCn&gt;[부가사항] 최근 검사/검역 신청부터 결과 과정까지의 평균 소요시간은 6일 입니다.&lt;/bfhnGdncCn&gt;&lt;wghtUt&gt;KG&lt;/wghtUt&gt;&lt;pckGcnt&gt;0&lt;/pckGcnt&gt;&lt;cargTrcnRelaBsopTpcd&gt;검사/검역 동물검역(합격)&lt;/cargTrcnRelaBsopTpcd&gt;&lt;pckUt&gt;&lt;/pckUt&gt;&lt;rlbrCn&gt;&lt;/rlbrCn&gt;&lt;shedSgn&gt;03011597&lt;/shedSgn&gt;&lt;/cargCsclPrgsInfoDtlQryVo&gt;&lt;cargCsclPrgsInfoDtlQryVo&gt;&lt;shedNm&gt;동일냉장(주)&lt;/shedNm&gt;&lt;prcsDttm&gt;20251224144933&lt;/prcsDttm&gt;&lt;dclrNo&gt;030115972500001525&lt;/dclrNo&gt;&lt;rlbrDttm&gt;2025-12-24 14:49:29&lt;/rlbrDttm&gt;&lt;wght&gt;24225.92&lt;/wght&gt;&lt;rlbrBssNo&gt;030D1030007025203803&lt;/rlbrBssNo&gt;&lt;bfhnGdncCn&gt;[부가사항] 동일냉장(주)의 장치기간은 최대 6 개월 입니다.&lt;/bfhnGdncCn&gt;&lt;wghtUt&gt;KG&lt;/wghtUt&gt;&lt;pckGcnt&gt;1940&lt;/pckGcnt&gt;&lt;cargTrcnRelaBsopTpcd&gt;반입신고&lt;/cargTrcnRelaBsopTpcd&gt;&lt;pckUt&gt;CT&lt;/pckUt&gt;&lt;rlbrCn&gt;보세운송 반입&lt;/rlbrCn&gt;&lt;shedSgn&gt;03011597/001&lt;/shedSgn&gt;&lt;/cargCsclPrgsInfoDtlQryVo&gt;&lt;cargCsclPrgsInfoDtlQryVo&gt;&lt;shedNm&gt;부산신항국제터미널(주)&lt;/shedNm&gt;&lt;prcsDttm&gt;20251223094730&lt;/prcsDttm&gt;&lt;dclrNo&gt;03077013250479850A&lt;/dclrNo&gt;&lt;rlbrDttm&gt;2025-12-23 09:46:27&lt;/rlbrDttm&gt;&lt;wght&gt;24225.92&lt;/wght&gt;&lt;rlbrBssNo&gt;030D1030007025203803&lt;/rlbrBssNo&gt;&lt;bfhnGdncCn&gt;&lt;/bfhnGdncCn&gt;&lt;wghtUt&gt;KG&lt;/wghtUt&gt;&lt;pckGcnt&gt;1940&lt;/pckGcnt&gt;&lt;cargTrcnRelaBsopTpcd&gt;반출신고&lt;/cargTrcnRelaBsopTpcd&gt;&lt;pckUt&gt;CT&lt;/pckUt&gt;&lt;rlbrCn&gt;보세운송 반출&lt;/rlbrCn&gt;&lt;shedSgn&gt;03077013&lt;/shedSgn&gt;&lt;/cargCsclPrgsInfoDtlQryVo&gt;&lt;cargCsclPrgsInfoDtlQryVo&gt;&lt;shedNm&gt;부산신항국제터미널(주)&lt;/shedNm&gt;&lt;prcsDttm&gt;20251222133129&lt;/prcsDttm&gt;&lt;dclrNo&gt;030D1030007025203803&lt;/dclrNo&gt;&lt;rlbrDttm&gt;(도)03011597동일냉장(주&lt;/rlbrDttm&gt;&lt;wght&gt;24225.92&lt;/wght&gt;&lt;rlbrBssNo&gt;천일정기화물자동차(주)&lt;/rlbrBssNo&gt;&lt;bfhnGdncCn&gt;&lt;/bfhnGdncCn&gt;&lt;wghtUt&gt;KG&lt;/wghtUt&gt;&lt;pckGcnt&gt;1940&lt;/pckGcnt&gt;&lt;cargTrcnRelaBsopTpcd&gt;보세운송 신고 수리&lt;/cargTrcnRelaBsopTpcd&gt;&lt;pckUt&gt;CT&lt;/pckUt&gt;&lt;rlbrCn&gt;&lt;/rlbrCn&gt;&lt;shedSgn&gt;03077013&lt;/shedSgn&gt;&lt;/cargCsclPrgsInfoDtlQryVo&gt;&lt;cargCsclPrgsInfoDtlQryVo&gt;&lt;shedNm&gt;부산신항국제터미널(주)&lt;/shedNm&gt;&lt;prcsDttm&gt;20251222132933&lt;/prcsDttm&gt;&lt;dclrNo&gt;030D1030007025203803&lt;/dclrNo&gt;&lt;rlbrDttm&gt;&lt;/rlbrDttm&gt;&lt;wght&gt;24225.92&lt;/wght&gt;&lt;rlbrBssNo&gt;&lt;/rlbrBssNo&gt;&lt;bfhnGdncCn&gt;&lt;/bfhnGdncCn&gt;&lt;wghtUt&gt;KG&lt;/wghtUt&gt;&lt;pckGcnt&gt;1940&lt;/pckGcnt&gt;&lt;cargTrcnRelaBsopTpcd&gt;보세운송 신고 접수&lt;/cargTrcnRelaBsopTpcd&gt;&lt;pckUt&gt;CT&lt;/pckUt&gt;&lt;rlbrCn&gt;&lt;/rlbrCn&gt;&lt;shedSgn&gt;03077013&lt;/shedSgn&gt;&lt;/cargCsclPrgsInfoDtlQryVo&gt;&lt;cargCsclPrgsInfoDtlQryVo&gt;&lt;shedNm&gt;부산신항국제터미널(주)&lt;/shedNm&gt;&lt;prcsDttm&gt;20251219111550&lt;/prcsDttm&gt;&lt;dclrNo&gt;03077013250472687A&lt;/dclrNo&gt;&lt;rlbrDttm&gt;2025-12-19 11:14:45&lt;/rlbrDttm&gt;&lt;wght&gt;24225.92&lt;/wght&gt;&lt;rlbrBssNo&gt;&lt;/rlbrBssNo&gt;&lt;bfhnGdncCn&gt;[부가사항] 부산신항국제터미널(주)의 장치기간은 최대 3 개월 입니다.&lt;/bfhnGdncCn&gt;&lt;wghtUt&gt;KG&lt;/wghtUt&gt;&lt;pckGcnt&gt;1940&lt;/pckGcnt&gt;&lt;cargTrcnRelaBsopTpcd&gt;반입신고&lt;/cargTrcnRelaBsopTpcd&gt;&lt;pckUt&gt;CT&lt;/pckUt&gt;&lt;rlbrCn&gt;입항 반입&lt;/rlbrCn&gt;&lt;shedSgn&gt;03077013&lt;/shedSgn&gt;&lt;/cargCsclPrgsInfoDtlQryVo&gt;&lt;cargCsclPrgsInfoDtlQryVo&gt;&lt;shedNm&gt;&lt;/shedNm&gt;&lt;prcsDttm&gt;20251218201348&lt;/prcsDttm&gt;&lt;dclrNo&gt;25MSCU2305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20251218201347&lt;/prcsDttm&gt;&lt;dclrNo&gt;25MSCU2305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부산신항국제터미널(주)&lt;/shedNm&gt;&lt;prcsDttm&gt;20251218110043&lt;/prcsDttm&gt;&lt;dclrNo&gt;25030149557&lt;/dclrNo&gt;&lt;rlbrDttm&gt;&lt;/rlbrDttm&gt;&lt;wght&gt;24225.92&lt;/wght&gt;&lt;rlbrBssNo&gt;하선반입기한:2025-12-24&lt;/rlbrBssNo&gt;&lt;bfhnGdncCn&gt;&lt;/bfhnGdncCn&gt;&lt;wghtUt&gt;KG&lt;/wghtUt&gt;&lt;pckGcnt&gt;1940&lt;/pckGcnt&gt;&lt;cargTrcnRelaBsopTpcd&gt;하선신고 수리&lt;/cargTrcnRelaBsopTpcd&gt;&lt;pckUt&gt;CT&lt;/pckUt&gt;&lt;rlbrCn&gt;&lt;/rlbrCn&gt;&lt;shedSgn&gt;03077013&lt;/shedSgn&gt;&lt;/cargCsclPrgsInfoDtlQryVo&gt;&lt;cargCsclPrgsInfoDtlQryVo&gt;&lt;shedNm&gt;부산신항국제터미널(주)&lt;/shedNm&gt;&lt;prcsDttm&gt;20251217163652&lt;/prcsDttm&gt;&lt;dclrNo&gt;&lt;/dclrNo&gt;&lt;rlbrDttm&gt;&lt;/rlbrDttm&gt;&lt;wght&gt;24225.92&lt;/wght&gt;&lt;rlbrBssNo&gt;&lt;/rlbrBssNo&gt;&lt;bfhnGdncCn&gt;&lt;/bfhnGdncCn&gt;&lt;wghtUt&gt;KG&lt;/wghtUt&gt;&lt;pckGcnt&gt;1940&lt;/pckGcnt&gt;&lt;cargTrcnRelaBsopTpcd&gt;입항적재화물목록 심사완료&lt;/cargTrcnRelaBsopTpcd&gt;&lt;pckUt&gt;CT&lt;/pckUt&gt;&lt;rlbrCn&gt;&lt;/rlbrCn&gt;&lt;shedSgn&gt;03077013&lt;/shedSgn&gt;&lt;/cargCsclPrgsInfoDtlQryVo&gt;&lt;cargCsclPrgsInfoDtlQryVo&gt;&lt;shedNm&gt;부산신항국제터미널(주)&lt;/shedNm&gt;&lt;prcsDttm&gt;20251217143419&lt;/prcsDttm&gt;&lt;dclrNo&gt;&lt;/dclrNo&gt;&lt;rlbrDttm&gt;&lt;/rlbrDttm&gt;&lt;wght&gt;24225.92&lt;/wght&gt;&lt;rlbrBssNo&gt;&lt;/rlbrBssNo&gt;&lt;bfhnGdncCn&gt;&lt;/bfhnGdncCn&gt;&lt;wghtUt&gt;KG&lt;/wghtUt&gt;&lt;pckGcnt&gt;1940&lt;/pckGcnt&gt;&lt;cargTrcnRelaBsopTpcd&gt;입항적재화물목록 제출&lt;/cargTrcnRelaBsopTpcd&gt;&lt;pckUt&gt;CT&lt;/pckUt&gt;&lt;rlbrCn&gt;&lt;/rlbrCn&gt;&lt;shedSgn&gt;03077013&lt;/shedSgn&gt;&lt;/cargCsclPrgsInfoDtlQryVo&gt;&lt;/cargCsclPrgsInfoQryRtnVo&gt;</t>
  </si>
  <si>
    <t>MSC CARLOTTA</t>
    <phoneticPr fontId="1" type="noConversion"/>
  </si>
  <si>
    <t>면허</t>
    <phoneticPr fontId="1" type="noConversion"/>
  </si>
  <si>
    <t>CY</t>
    <phoneticPr fontId="1" type="noConversion"/>
  </si>
  <si>
    <t>반출시간</t>
    <phoneticPr fontId="1" type="noConversion"/>
  </si>
  <si>
    <t>선명</t>
    <phoneticPr fontId="1" type="noConversion"/>
  </si>
  <si>
    <t>입항일</t>
    <phoneticPr fontId="1" type="noConversion"/>
  </si>
  <si>
    <t>2025.12.18</t>
    <phoneticPr fontId="1" type="noConversion"/>
  </si>
  <si>
    <t>천일정기화물자동차(주)</t>
    <phoneticPr fontId="1" type="noConversion"/>
  </si>
  <si>
    <t>부산신항국제터미널(주)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</si>
</sst>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#,##0_ "/>
    <numFmt numFmtId="177" formatCode="m&quot;/&quot;d;@"/>
    <numFmt numFmtId="178" formatCode="#,##0.00_ "/>
    <numFmt numFmtId="179" formatCode="0_);[Red]\(0\)"/>
    <numFmt numFmtId="180" formatCode="General&quot;층&quot;"/>
    <numFmt numFmtId="181" formatCode="mm&quot;월&quot;\ dd&quot;일&quot;"/>
    <numFmt numFmtId="182" formatCode="mm\/dd\ h:mm"/>
  </numFmts>
  <fonts count="2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Arial Unicode MS"/>
      <family val="3"/>
      <charset val="129"/>
    </font>
    <font>
      <sz val="8"/>
      <color theme="1"/>
      <name val="바탕체"/>
      <family val="1"/>
      <charset val="129"/>
    </font>
    <font>
      <sz val="11"/>
      <color theme="7" tint="-0.499984740745262"/>
      <name val="맑은 고딕"/>
      <family val="2"/>
      <charset val="129"/>
      <scheme val="minor"/>
    </font>
    <font>
      <sz val="11"/>
      <color theme="7" tint="-0.499984740745262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8"/>
      <name val="바탕체"/>
      <family val="1"/>
      <charset val="129"/>
    </font>
    <font>
      <sz val="8"/>
      <color theme="1"/>
      <name val="맑은 고딕"/>
      <family val="2"/>
      <charset val="129"/>
      <scheme val="minor"/>
    </font>
    <font>
      <sz val="9"/>
      <name val="바탕체"/>
      <family val="1"/>
      <charset val="129"/>
    </font>
    <font>
      <sz val="8"/>
      <name val="맑은 고딕"/>
      <family val="3"/>
      <charset val="129"/>
    </font>
    <font>
      <sz val="9"/>
      <name val="바탕체"/>
      <family val="1"/>
    </font>
    <font>
      <sz val="8"/>
      <color theme="1"/>
      <name val="바탕체"/>
      <family val="1"/>
    </font>
    <font>
      <sz val="9"/>
      <color theme="1"/>
      <name val="바탕체"/>
      <family val="1"/>
      <charset val="129"/>
    </font>
    <font>
      <sz val="9"/>
      <color theme="1"/>
      <name val="바탕체"/>
      <family val="1"/>
    </font>
    <font>
      <b/>
      <sz val="6"/>
      <color theme="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7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8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8">
    <xf numFmtId="0" fontId="0" fillId="0" borderId="0" xfId="0">
      <alignment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49" fontId="4" fillId="0" borderId="1" xfId="0" applyNumberFormat="1" applyFont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176" fontId="4" fillId="0" borderId="1" xfId="0" applyNumberFormat="1" applyFont="1" applyBorder="1" applyAlignment="1">
      <alignment horizontal="center" vertical="center" shrinkToFit="1"/>
    </xf>
    <xf numFmtId="177" fontId="9" fillId="0" borderId="1" xfId="0" applyNumberFormat="1" applyFont="1" applyBorder="1" applyAlignment="1">
      <alignment horizontal="center" vertical="center" shrinkToFit="1"/>
    </xf>
    <xf numFmtId="177" fontId="4" fillId="0" borderId="1" xfId="0" applyNumberFormat="1" applyFont="1" applyBorder="1" applyAlignment="1">
      <alignment horizontal="center" vertical="center"/>
    </xf>
    <xf numFmtId="22" fontId="4" fillId="0" borderId="1" xfId="0" applyNumberFormat="1" applyFont="1" applyBorder="1">
      <alignment vertical="center"/>
    </xf>
    <xf numFmtId="0" fontId="4" fillId="4" borderId="1" xfId="0" applyFont="1" applyFill="1" applyBorder="1">
      <alignment vertical="center"/>
    </xf>
    <xf numFmtId="176" fontId="4" fillId="4" borderId="1" xfId="0" applyNumberFormat="1" applyFont="1" applyFill="1" applyBorder="1">
      <alignment vertical="center"/>
    </xf>
    <xf numFmtId="178" fontId="4" fillId="4" borderId="1" xfId="0" applyNumberFormat="1" applyFont="1" applyFill="1" applyBorder="1">
      <alignment vertical="center"/>
    </xf>
    <xf numFmtId="179" fontId="4" fillId="0" borderId="1" xfId="0" applyNumberFormat="1" applyFont="1" applyBorder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1" xfId="0" applyFont="1" applyFill="1" applyBorder="1">
      <alignment vertical="center"/>
    </xf>
    <xf numFmtId="49" fontId="4" fillId="5" borderId="1" xfId="0" applyNumberFormat="1" applyFont="1" applyFill="1" applyBorder="1">
      <alignment vertical="center"/>
    </xf>
    <xf numFmtId="176" fontId="4" fillId="5" borderId="1" xfId="0" applyNumberFormat="1" applyFont="1" applyFill="1" applyBorder="1" applyAlignment="1">
      <alignment horizontal="center" vertical="center" shrinkToFit="1"/>
    </xf>
    <xf numFmtId="177" fontId="9" fillId="5" borderId="1" xfId="0" applyNumberFormat="1" applyFont="1" applyFill="1" applyBorder="1" applyAlignment="1">
      <alignment horizontal="center" vertical="center" shrinkToFit="1"/>
    </xf>
    <xf numFmtId="177" fontId="4" fillId="5" borderId="1" xfId="0" applyNumberFormat="1" applyFont="1" applyFill="1" applyBorder="1" applyAlignment="1">
      <alignment horizontal="center" vertical="center"/>
    </xf>
    <xf numFmtId="179" fontId="4" fillId="5" borderId="1" xfId="0" applyNumberFormat="1" applyFont="1" applyFill="1" applyBorder="1">
      <alignment vertical="center"/>
    </xf>
    <xf numFmtId="0" fontId="4" fillId="3" borderId="1" xfId="0" applyFont="1" applyFill="1" applyBorder="1">
      <alignment vertical="center"/>
    </xf>
    <xf numFmtId="176" fontId="4" fillId="3" borderId="1" xfId="0" applyNumberFormat="1" applyFont="1" applyFill="1" applyBorder="1" applyAlignment="1">
      <alignment horizontal="center" vertical="center" shrinkToFit="1"/>
    </xf>
    <xf numFmtId="177" fontId="9" fillId="3" borderId="1" xfId="0" applyNumberFormat="1" applyFont="1" applyFill="1" applyBorder="1" applyAlignment="1">
      <alignment horizontal="center" vertical="center" shrinkToFit="1"/>
    </xf>
    <xf numFmtId="177" fontId="4" fillId="3" borderId="1" xfId="0" applyNumberFormat="1" applyFont="1" applyFill="1" applyBorder="1" applyAlignment="1">
      <alignment horizontal="center" vertical="center"/>
    </xf>
    <xf numFmtId="49" fontId="4" fillId="3" borderId="1" xfId="0" applyNumberFormat="1" applyFont="1" applyFill="1" applyBorder="1">
      <alignment vertical="center"/>
    </xf>
    <xf numFmtId="176" fontId="4" fillId="3" borderId="1" xfId="0" applyNumberFormat="1" applyFont="1" applyFill="1" applyBorder="1">
      <alignment vertical="center"/>
    </xf>
    <xf numFmtId="178" fontId="4" fillId="3" borderId="1" xfId="0" applyNumberFormat="1" applyFont="1" applyFill="1" applyBorder="1">
      <alignment vertical="center"/>
    </xf>
    <xf numFmtId="49" fontId="10" fillId="0" borderId="0" xfId="0" applyNumberFormat="1" applyFont="1">
      <alignment vertical="center"/>
    </xf>
    <xf numFmtId="0" fontId="11" fillId="0" borderId="2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49" fontId="11" fillId="0" borderId="1" xfId="0" applyNumberFormat="1" applyFont="1" applyBorder="1" applyAlignment="1">
      <alignment horizontal="left" vertical="center"/>
    </xf>
    <xf numFmtId="38" fontId="1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shrinkToFit="1"/>
    </xf>
    <xf numFmtId="49" fontId="11" fillId="0" borderId="1" xfId="0" applyNumberFormat="1" applyFont="1" applyBorder="1" applyAlignment="1">
      <alignment horizontal="center" vertical="center" shrinkToFit="1"/>
    </xf>
    <xf numFmtId="177" fontId="11" fillId="0" borderId="1" xfId="0" applyNumberFormat="1" applyFont="1" applyBorder="1" applyAlignment="1">
      <alignment horizontal="center" vertical="center" shrinkToFit="1"/>
    </xf>
    <xf numFmtId="0" fontId="11" fillId="0" borderId="1" xfId="0" applyFont="1" applyBorder="1" applyAlignment="1">
      <alignment horizontal="center" vertical="center" wrapText="1"/>
    </xf>
    <xf numFmtId="180" fontId="11" fillId="0" borderId="1" xfId="0" applyNumberFormat="1" applyFont="1" applyBorder="1" applyAlignment="1">
      <alignment horizontal="left" vertical="center" wrapText="1"/>
    </xf>
    <xf numFmtId="49" fontId="11" fillId="0" borderId="1" xfId="0" applyNumberFormat="1" applyFont="1" applyBorder="1" applyAlignment="1">
      <alignment horizontal="center" vertical="center"/>
    </xf>
    <xf numFmtId="49" fontId="11" fillId="0" borderId="1" xfId="0" applyNumberFormat="1" applyFont="1" applyBorder="1" applyAlignment="1">
      <alignment horizontal="left" vertical="center" wrapText="1"/>
    </xf>
    <xf numFmtId="0" fontId="11" fillId="0" borderId="1" xfId="0" applyFont="1" applyBorder="1">
      <alignment vertical="center"/>
    </xf>
    <xf numFmtId="0" fontId="11" fillId="0" borderId="1" xfId="0" applyFont="1" applyBorder="1" applyAlignment="1">
      <alignment horizontal="left" vertical="center" wrapText="1"/>
    </xf>
    <xf numFmtId="49" fontId="11" fillId="0" borderId="1" xfId="0" applyNumberFormat="1" applyFont="1" applyBorder="1" applyAlignment="1">
      <alignment vertical="center" wrapText="1"/>
    </xf>
    <xf numFmtId="38" fontId="11" fillId="0" borderId="1" xfId="0" applyNumberFormat="1" applyFont="1" applyBorder="1">
      <alignment vertical="center"/>
    </xf>
    <xf numFmtId="38" fontId="11" fillId="0" borderId="1" xfId="0" applyNumberFormat="1" applyFont="1" applyBorder="1" applyAlignment="1">
      <alignment vertical="center" wrapText="1" shrinkToFit="1"/>
    </xf>
    <xf numFmtId="0" fontId="4" fillId="6" borderId="1" xfId="0" applyFont="1" applyFill="1" applyBorder="1">
      <alignment vertical="center"/>
    </xf>
    <xf numFmtId="176" fontId="4" fillId="6" borderId="1" xfId="0" applyNumberFormat="1" applyFont="1" applyFill="1" applyBorder="1">
      <alignment vertical="center"/>
    </xf>
    <xf numFmtId="178" fontId="4" fillId="6" borderId="1" xfId="0" applyNumberFormat="1" applyFont="1" applyFill="1" applyBorder="1">
      <alignment vertical="center"/>
    </xf>
    <xf numFmtId="0" fontId="13" fillId="0" borderId="2" xfId="0" applyFont="1" applyBorder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49" fontId="13" fillId="0" borderId="1" xfId="0" applyNumberFormat="1" applyFont="1" applyBorder="1" applyAlignment="1">
      <alignment horizontal="left" vertical="center"/>
    </xf>
    <xf numFmtId="38" fontId="13" fillId="0" borderId="1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shrinkToFit="1"/>
    </xf>
    <xf numFmtId="49" fontId="13" fillId="0" borderId="1" xfId="0" applyNumberFormat="1" applyFont="1" applyBorder="1" applyAlignment="1">
      <alignment horizontal="center" vertical="center" shrinkToFit="1"/>
    </xf>
    <xf numFmtId="177" fontId="13" fillId="0" borderId="1" xfId="0" applyNumberFormat="1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wrapText="1"/>
    </xf>
    <xf numFmtId="180" fontId="13" fillId="0" borderId="1" xfId="0" applyNumberFormat="1" applyFont="1" applyBorder="1" applyAlignment="1">
      <alignment horizontal="left" vertical="center" wrapText="1"/>
    </xf>
    <xf numFmtId="49" fontId="13" fillId="0" borderId="1" xfId="0" applyNumberFormat="1" applyFont="1" applyBorder="1" applyAlignment="1">
      <alignment horizontal="center" vertical="center" wrapText="1"/>
    </xf>
    <xf numFmtId="49" fontId="13" fillId="0" borderId="1" xfId="0" applyNumberFormat="1" applyFont="1" applyBorder="1" applyAlignment="1">
      <alignment horizontal="left" vertical="center" wrapText="1"/>
    </xf>
    <xf numFmtId="0" fontId="13" fillId="0" borderId="1" xfId="0" applyFont="1" applyBorder="1">
      <alignment vertical="center"/>
    </xf>
    <xf numFmtId="0" fontId="13" fillId="0" borderId="1" xfId="0" applyFont="1" applyBorder="1" applyAlignment="1">
      <alignment horizontal="left" vertical="center" wrapText="1"/>
    </xf>
    <xf numFmtId="49" fontId="13" fillId="0" borderId="1" xfId="0" applyNumberFormat="1" applyFont="1" applyBorder="1" applyAlignment="1">
      <alignment vertical="center" wrapText="1"/>
    </xf>
    <xf numFmtId="38" fontId="13" fillId="0" borderId="1" xfId="0" applyNumberFormat="1" applyFont="1" applyBorder="1">
      <alignment vertical="center"/>
    </xf>
    <xf numFmtId="38" fontId="13" fillId="0" borderId="1" xfId="0" applyNumberFormat="1" applyFont="1" applyBorder="1" applyAlignment="1">
      <alignment vertical="center" wrapText="1" shrinkToFit="1"/>
    </xf>
    <xf numFmtId="49" fontId="14" fillId="6" borderId="1" xfId="0" applyNumberFormat="1" applyFont="1" applyFill="1" applyBorder="1">
      <alignment vertical="center"/>
    </xf>
    <xf numFmtId="0" fontId="14" fillId="6" borderId="2" xfId="0" applyFont="1" applyFill="1" applyBorder="1">
      <alignment vertical="center"/>
    </xf>
    <xf numFmtId="0" fontId="14" fillId="6" borderId="1" xfId="0" applyFont="1" applyFill="1" applyBorder="1">
      <alignment vertical="center"/>
    </xf>
    <xf numFmtId="176" fontId="14" fillId="6" borderId="3" xfId="0" applyNumberFormat="1" applyFont="1" applyFill="1" applyBorder="1">
      <alignment vertical="center"/>
    </xf>
    <xf numFmtId="178" fontId="14" fillId="6" borderId="1" xfId="0" applyNumberFormat="1" applyFont="1" applyFill="1" applyBorder="1">
      <alignment vertical="center"/>
    </xf>
    <xf numFmtId="0" fontId="13" fillId="2" borderId="1" xfId="0" applyFont="1" applyFill="1" applyBorder="1" applyAlignment="1">
      <alignment horizontal="left" vertical="center"/>
    </xf>
    <xf numFmtId="49" fontId="13" fillId="2" borderId="1" xfId="0" applyNumberFormat="1" applyFont="1" applyFill="1" applyBorder="1" applyAlignment="1">
      <alignment horizontal="left" vertical="center"/>
    </xf>
    <xf numFmtId="38" fontId="13" fillId="2" borderId="1" xfId="0" applyNumberFormat="1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 shrinkToFit="1"/>
    </xf>
    <xf numFmtId="49" fontId="13" fillId="2" borderId="1" xfId="0" applyNumberFormat="1" applyFont="1" applyFill="1" applyBorder="1" applyAlignment="1">
      <alignment horizontal="center" vertical="center" shrinkToFit="1"/>
    </xf>
    <xf numFmtId="177" fontId="13" fillId="2" borderId="1" xfId="0" applyNumberFormat="1" applyFont="1" applyFill="1" applyBorder="1" applyAlignment="1">
      <alignment horizontal="center" vertical="center" shrinkToFit="1"/>
    </xf>
    <xf numFmtId="49" fontId="13" fillId="0" borderId="1" xfId="0" applyNumberFormat="1" applyFont="1" applyBorder="1" applyAlignment="1">
      <alignment horizontal="center" vertical="center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5" fillId="6" borderId="2" xfId="0" applyFont="1" applyFill="1" applyBorder="1">
      <alignment vertical="center"/>
    </xf>
    <xf numFmtId="0" fontId="15" fillId="6" borderId="1" xfId="0" applyFont="1" applyFill="1" applyBorder="1">
      <alignment vertical="center"/>
    </xf>
    <xf numFmtId="0" fontId="13" fillId="0" borderId="2" xfId="0" applyFont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vertical="center" wrapText="1"/>
    </xf>
    <xf numFmtId="0" fontId="16" fillId="0" borderId="1" xfId="0" applyFont="1" applyBorder="1" applyAlignment="1">
      <alignment horizontal="center" vertical="center"/>
    </xf>
    <xf numFmtId="49" fontId="13" fillId="7" borderId="1" xfId="0" applyNumberFormat="1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left" vertical="center"/>
    </xf>
    <xf numFmtId="0" fontId="15" fillId="3" borderId="1" xfId="0" applyFont="1" applyFill="1" applyBorder="1">
      <alignment vertical="center"/>
    </xf>
    <xf numFmtId="38" fontId="13" fillId="7" borderId="1" xfId="0" applyNumberFormat="1" applyFont="1" applyFill="1" applyBorder="1" applyAlignment="1">
      <alignment horizontal="center" vertical="center"/>
    </xf>
    <xf numFmtId="49" fontId="13" fillId="3" borderId="1" xfId="0" applyNumberFormat="1" applyFont="1" applyFill="1" applyBorder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49" fontId="13" fillId="0" borderId="0" xfId="0" applyNumberFormat="1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38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 shrinkToFit="1"/>
    </xf>
    <xf numFmtId="49" fontId="13" fillId="0" borderId="0" xfId="0" applyNumberFormat="1" applyFont="1" applyAlignment="1">
      <alignment horizontal="center" vertical="center" shrinkToFit="1"/>
    </xf>
    <xf numFmtId="177" fontId="13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horizontal="center" vertical="center" wrapText="1"/>
    </xf>
    <xf numFmtId="180" fontId="13" fillId="0" borderId="0" xfId="0" applyNumberFormat="1" applyFont="1" applyAlignment="1">
      <alignment horizontal="left" vertical="center" wrapText="1"/>
    </xf>
    <xf numFmtId="177" fontId="13" fillId="2" borderId="0" xfId="0" applyNumberFormat="1" applyFont="1" applyFill="1" applyAlignment="1">
      <alignment horizontal="center" vertical="center" shrinkToFit="1"/>
    </xf>
    <xf numFmtId="49" fontId="13" fillId="0" borderId="0" xfId="0" applyNumberFormat="1" applyFont="1" applyAlignment="1">
      <alignment horizontal="center" vertical="center" wrapText="1"/>
    </xf>
    <xf numFmtId="49" fontId="13" fillId="0" borderId="0" xfId="0" applyNumberFormat="1" applyFont="1" applyAlignment="1">
      <alignment horizontal="left" vertical="center" wrapText="1"/>
    </xf>
    <xf numFmtId="0" fontId="13" fillId="0" borderId="0" xfId="0" applyFont="1">
      <alignment vertical="center"/>
    </xf>
    <xf numFmtId="0" fontId="13" fillId="0" borderId="0" xfId="0" applyFont="1" applyAlignment="1">
      <alignment horizontal="left" vertical="center" wrapText="1"/>
    </xf>
    <xf numFmtId="49" fontId="13" fillId="0" borderId="0" xfId="0" applyNumberFormat="1" applyFont="1" applyAlignment="1">
      <alignment vertical="center" wrapText="1"/>
    </xf>
    <xf numFmtId="38" fontId="13" fillId="0" borderId="0" xfId="0" applyNumberFormat="1" applyFont="1">
      <alignment vertical="center"/>
    </xf>
    <xf numFmtId="38" fontId="13" fillId="0" borderId="0" xfId="0" applyNumberFormat="1" applyFont="1" applyAlignment="1">
      <alignment vertical="center" wrapText="1" shrinkToFit="1"/>
    </xf>
    <xf numFmtId="49" fontId="14" fillId="6" borderId="0" xfId="0" applyNumberFormat="1" applyFont="1" applyFill="1">
      <alignment vertical="center"/>
    </xf>
    <xf numFmtId="0" fontId="14" fillId="6" borderId="0" xfId="0" applyFont="1" applyFill="1">
      <alignment vertical="center"/>
    </xf>
    <xf numFmtId="176" fontId="14" fillId="6" borderId="0" xfId="0" applyNumberFormat="1" applyFont="1" applyFill="1">
      <alignment vertical="center"/>
    </xf>
    <xf numFmtId="178" fontId="14" fillId="6" borderId="0" xfId="0" applyNumberFormat="1" applyFont="1" applyFill="1">
      <alignment vertical="center"/>
    </xf>
    <xf numFmtId="0" fontId="15" fillId="6" borderId="0" xfId="0" applyFont="1" applyFill="1">
      <alignment vertical="center"/>
    </xf>
    <xf numFmtId="49" fontId="13" fillId="2" borderId="0" xfId="0" applyNumberFormat="1" applyFont="1" applyFill="1" applyAlignment="1">
      <alignment horizontal="left" vertical="center"/>
    </xf>
    <xf numFmtId="38" fontId="13" fillId="2" borderId="0" xfId="0" applyNumberFormat="1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 shrinkToFit="1"/>
    </xf>
    <xf numFmtId="49" fontId="13" fillId="2" borderId="0" xfId="0" applyNumberFormat="1" applyFont="1" applyFill="1" applyAlignment="1">
      <alignment horizontal="center" vertical="center" shrinkToFit="1"/>
    </xf>
    <xf numFmtId="49" fontId="13" fillId="0" borderId="0" xfId="0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181" fontId="13" fillId="0" borderId="1" xfId="0" applyNumberFormat="1" applyFont="1" applyBorder="1">
      <alignment vertical="center"/>
    </xf>
    <xf numFmtId="181" fontId="13" fillId="0" borderId="0" xfId="0" applyNumberFormat="1" applyFont="1">
      <alignment vertical="center"/>
    </xf>
    <xf numFmtId="182" fontId="4" fillId="6" borderId="4" xfId="0" applyNumberFormat="1" applyFont="1" applyFill="1" applyBorder="1" applyAlignment="1">
      <alignment horizontal="left" vertical="center"/>
    </xf>
    <xf numFmtId="182" fontId="0" fillId="0" borderId="0" xfId="0" applyNumberFormat="1" applyAlignment="1">
      <alignment horizontal="left" vertical="center"/>
    </xf>
    <xf numFmtId="0" fontId="18" fillId="0" borderId="0" xfId="0" applyFont="1">
      <alignment vertical="center"/>
    </xf>
    <xf numFmtId="0" fontId="18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49" fontId="18" fillId="0" borderId="0" xfId="0" applyNumberFormat="1" applyFont="1">
      <alignment vertical="center"/>
    </xf>
    <xf numFmtId="0" fontId="10" fillId="0" borderId="0" xfId="0" applyFont="1" applyAlignment="1">
      <alignment horizontal="center" vertical="center"/>
    </xf>
    <xf numFmtId="181" fontId="10" fillId="0" borderId="0" xfId="0" applyNumberFormat="1" applyFont="1">
      <alignment vertical="center"/>
    </xf>
    <xf numFmtId="0" fontId="20" fillId="0" borderId="0" xfId="0" applyFont="1" applyAlignment="1">
      <alignment horizontal="center" vertical="center"/>
    </xf>
    <xf numFmtId="0" fontId="18" fillId="0" borderId="1" xfId="0" applyFont="1" applyBorder="1">
      <alignment vertical="center"/>
    </xf>
    <xf numFmtId="0" fontId="18" fillId="0" borderId="1" xfId="0" applyFont="1" applyBorder="1" applyAlignment="1">
      <alignment horizontal="center" vertical="center"/>
    </xf>
    <xf numFmtId="0" fontId="18" fillId="0" borderId="2" xfId="0" applyFont="1" applyBorder="1">
      <alignment vertical="center"/>
    </xf>
    <xf numFmtId="0" fontId="18" fillId="0" borderId="3" xfId="0" applyFont="1" applyBorder="1">
      <alignment vertical="center"/>
    </xf>
    <xf numFmtId="0" fontId="19" fillId="0" borderId="1" xfId="0" applyFont="1" applyBorder="1" applyAlignment="1">
      <alignment horizontal="center" vertical="center"/>
    </xf>
    <xf numFmtId="22" fontId="4" fillId="0" borderId="0" xfId="0" applyNumberFormat="1" applyFont="1">
      <alignment vertical="center"/>
    </xf>
    <xf numFmtId="49" fontId="10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4" fontId="21" fillId="0" borderId="2" xfId="0" applyNumberFormat="1" applyFont="1" applyBorder="1">
      <alignment vertical="center"/>
    </xf>
    <xf numFmtId="0" fontId="19" fillId="8" borderId="1" xfId="0" applyFont="1" applyFill="1" applyBorder="1" applyAlignment="1">
      <alignment horizontal="center" vertical="center"/>
    </xf>
    <xf numFmtId="0" fontId="18" fillId="8" borderId="2" xfId="0" applyFont="1" applyFill="1" applyBorder="1">
      <alignment vertical="center"/>
    </xf>
    <xf numFmtId="14" fontId="21" fillId="8" borderId="2" xfId="0" applyNumberFormat="1" applyFont="1" applyFill="1" applyBorder="1">
      <alignment vertical="center"/>
    </xf>
    <xf numFmtId="0" fontId="18" fillId="8" borderId="3" xfId="0" applyFont="1" applyFill="1" applyBorder="1">
      <alignment vertical="center"/>
    </xf>
    <xf numFmtId="0" fontId="19" fillId="3" borderId="1" xfId="0" applyFont="1" applyFill="1" applyBorder="1" applyAlignment="1">
      <alignment horizontal="center" vertical="center"/>
    </xf>
    <xf numFmtId="0" fontId="18" fillId="3" borderId="2" xfId="0" applyFont="1" applyFill="1" applyBorder="1">
      <alignment vertical="center"/>
    </xf>
    <xf numFmtId="14" fontId="21" fillId="3" borderId="2" xfId="0" applyNumberFormat="1" applyFont="1" applyFill="1" applyBorder="1">
      <alignment vertical="center"/>
    </xf>
    <xf numFmtId="0" fontId="18" fillId="3" borderId="3" xfId="0" applyFont="1" applyFill="1" applyBorder="1">
      <alignment vertical="center"/>
    </xf>
    <xf numFmtId="0" fontId="19" fillId="0" borderId="1" xfId="0" applyFont="1" applyBorder="1" applyAlignment="1">
      <alignment horizontal="center" vertical="top"/>
    </xf>
    <xf numFmtId="0" fontId="18" fillId="0" borderId="3" xfId="0" applyFont="1" applyBorder="1" applyAlignment="1">
      <alignment vertical="top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49" fontId="10" fillId="0" borderId="0" xfId="0" applyNumberFormat="1" applyFont="1" applyAlignment="1">
      <alignment vertical="top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0" fillId="0" borderId="2" xfId="0" applyBorder="1">
      <alignment vertical="center"/>
    </xf>
    <xf numFmtId="0" fontId="18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shrinkToFit="1"/>
    </xf>
    <xf numFmtId="0" fontId="23" fillId="0" borderId="0" xfId="0" applyFont="1">
      <alignment vertical="center"/>
    </xf>
    <xf numFmtId="0" fontId="24" fillId="0" borderId="0" xfId="0" applyFont="1" applyAlignment="1">
      <alignment horizontal="center" vertical="center"/>
    </xf>
    <xf numFmtId="22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quotePrefix="1">
      <alignment vertical="center"/>
    </xf>
    <xf numFmtId="0" fontId="0" fillId="0" borderId="1" xfId="0" applyBorder="1">
      <alignment vertical="center"/>
    </xf>
    <xf numFmtId="176" fontId="4" fillId="7" borderId="1" xfId="0" applyNumberFormat="1" applyFont="1" applyFill="1" applyBorder="1" applyAlignment="1">
      <alignment horizontal="center" vertical="center" shrinkToFit="1"/>
    </xf>
    <xf numFmtId="177" fontId="4" fillId="0" borderId="0" xfId="0" applyNumberFormat="1" applyFont="1" applyAlignment="1">
      <alignment horizontal="center" vertical="center"/>
    </xf>
    <xf numFmtId="49" fontId="0" fillId="0" borderId="0" xfId="0" applyNumberFormat="1">
      <alignment vertical="center"/>
    </xf>
    <xf numFmtId="177" fontId="0" fillId="0" borderId="0" xfId="0" applyNumberFormat="1">
      <alignment vertical="center"/>
    </xf>
    <xf numFmtId="14" fontId="15" fillId="0" borderId="1" xfId="0" applyNumberFormat="1" applyFont="1" applyBorder="1">
      <alignment vertical="center"/>
    </xf>
    <xf numFmtId="0" fontId="13" fillId="0" borderId="1" xfId="0" applyFont="1" applyFill="1" applyBorder="1" applyAlignment="1">
      <alignment horizontal="left" vertical="center"/>
    </xf>
    <xf numFmtId="38" fontId="13" fillId="0" borderId="1" xfId="0" applyNumberFormat="1" applyFont="1" applyFill="1" applyBorder="1" applyAlignment="1">
      <alignment horizontal="center" vertical="center"/>
    </xf>
    <xf numFmtId="0" fontId="15" fillId="0" borderId="1" xfId="0" applyFont="1" applyFill="1" applyBorder="1">
      <alignment vertical="center"/>
    </xf>
    <xf numFmtId="0" fontId="18" fillId="7" borderId="2" xfId="0" applyFont="1" applyFill="1" applyBorder="1">
      <alignment vertical="center"/>
    </xf>
    <xf numFmtId="0" fontId="0" fillId="0" borderId="0" xfId="0" applyAlignment="1">
      <alignment horizontal="left" vertical="center"/>
    </xf>
    <xf numFmtId="22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177" fontId="17" fillId="0" borderId="5" xfId="0" applyNumberFormat="1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7</xdr:row>
      <xdr:rowOff>0</xdr:rowOff>
    </xdr:from>
    <xdr:to>
      <xdr:col>13</xdr:col>
      <xdr:colOff>466725</xdr:colOff>
      <xdr:row>8</xdr:row>
      <xdr:rowOff>47625</xdr:rowOff>
    </xdr:to>
    <xdr:sp macro="[0]!연습2" textlink="">
      <xdr:nvSpPr>
        <xdr:cNvPr id="3" name="TextBox 2">
          <a:extLst>
            <a:ext uri="{FF2B5EF4-FFF2-40B4-BE49-F238E27FC236}">
              <a16:creationId xmlns:a16="http://schemas.microsoft.com/office/drawing/2014/main" xmlns="" id="{6CABF875-E66F-42E8-8556-39850D1FCD36}"/>
            </a:ext>
          </a:extLst>
        </xdr:cNvPr>
        <xdr:cNvSpPr txBox="1"/>
      </xdr:nvSpPr>
      <xdr:spPr>
        <a:xfrm>
          <a:off x="4886325" y="1466850"/>
          <a:ext cx="1571625" cy="257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연습</a:t>
          </a:r>
          <a:r>
            <a:rPr lang="en-US" altLang="ko-KR" sz="1100"/>
            <a:t>2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1028700</xdr:colOff>
      <xdr:row>20</xdr:row>
      <xdr:rowOff>95250</xdr:rowOff>
    </xdr:from>
    <xdr:to>
      <xdr:col>11</xdr:col>
      <xdr:colOff>171450</xdr:colOff>
      <xdr:row>22</xdr:row>
      <xdr:rowOff>66675</xdr:rowOff>
    </xdr:to>
    <xdr:sp macro="[0]!연습2" textlink="">
      <xdr:nvSpPr>
        <xdr:cNvPr id="2" name="TextBox 1"/>
        <xdr:cNvSpPr txBox="1"/>
      </xdr:nvSpPr>
      <xdr:spPr>
        <a:xfrm>
          <a:off x="7543800" y="3524250"/>
          <a:ext cx="1323975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연습</a:t>
          </a:r>
          <a:r>
            <a:rPr lang="en-US" altLang="ko-KR" sz="1100"/>
            <a:t>2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457200</xdr:colOff>
      <xdr:row>28</xdr:row>
      <xdr:rowOff>114300</xdr:rowOff>
    </xdr:from>
    <xdr:to>
      <xdr:col>32</xdr:col>
      <xdr:colOff>533400</xdr:colOff>
      <xdr:row>98</xdr:row>
      <xdr:rowOff>38100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4724400"/>
          <a:ext cx="13792200" cy="14592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571500</xdr:colOff>
      <xdr:row>8</xdr:row>
      <xdr:rowOff>161925</xdr:rowOff>
    </xdr:from>
    <xdr:to>
      <xdr:col>28</xdr:col>
      <xdr:colOff>619125</xdr:colOff>
      <xdr:row>20</xdr:row>
      <xdr:rowOff>66675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1838325"/>
          <a:ext cx="13763625" cy="2419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257175</xdr:colOff>
      <xdr:row>0</xdr:row>
      <xdr:rowOff>180975</xdr:rowOff>
    </xdr:from>
    <xdr:to>
      <xdr:col>27</xdr:col>
      <xdr:colOff>333375</xdr:colOff>
      <xdr:row>70</xdr:row>
      <xdr:rowOff>104775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57775" y="180975"/>
          <a:ext cx="13792200" cy="14592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219075</xdr:colOff>
      <xdr:row>6</xdr:row>
      <xdr:rowOff>171450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333875" cy="1428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6</xdr:col>
      <xdr:colOff>209550</xdr:colOff>
      <xdr:row>15</xdr:row>
      <xdr:rowOff>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76400"/>
          <a:ext cx="4324350" cy="1466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295275</xdr:colOff>
      <xdr:row>2</xdr:row>
      <xdr:rowOff>123825</xdr:rowOff>
    </xdr:from>
    <xdr:to>
      <xdr:col>20</xdr:col>
      <xdr:colOff>514350</xdr:colOff>
      <xdr:row>9</xdr:row>
      <xdr:rowOff>85725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333375"/>
          <a:ext cx="4333875" cy="1428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11</xdr:row>
      <xdr:rowOff>28575</xdr:rowOff>
    </xdr:from>
    <xdr:to>
      <xdr:col>20</xdr:col>
      <xdr:colOff>209550</xdr:colOff>
      <xdr:row>18</xdr:row>
      <xdr:rowOff>28575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24075"/>
          <a:ext cx="4324350" cy="1466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32</xdr:row>
      <xdr:rowOff>28575</xdr:rowOff>
    </xdr:from>
    <xdr:to>
      <xdr:col>20</xdr:col>
      <xdr:colOff>171450</xdr:colOff>
      <xdr:row>39</xdr:row>
      <xdr:rowOff>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10025"/>
          <a:ext cx="4286250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590550</xdr:colOff>
      <xdr:row>32</xdr:row>
      <xdr:rowOff>28575</xdr:rowOff>
    </xdr:from>
    <xdr:to>
      <xdr:col>9</xdr:col>
      <xdr:colOff>619125</xdr:colOff>
      <xdr:row>40</xdr:row>
      <xdr:rowOff>85725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3381375"/>
          <a:ext cx="6200775" cy="1733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180976</xdr:colOff>
      <xdr:row>6</xdr:row>
      <xdr:rowOff>76200</xdr:rowOff>
    </xdr:from>
    <xdr:to>
      <xdr:col>9</xdr:col>
      <xdr:colOff>257176</xdr:colOff>
      <xdr:row>7</xdr:row>
      <xdr:rowOff>123825</xdr:rowOff>
    </xdr:to>
    <xdr:sp macro="[0]!연습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 txBox="1"/>
      </xdr:nvSpPr>
      <xdr:spPr>
        <a:xfrm>
          <a:off x="9715501" y="1333500"/>
          <a:ext cx="762000" cy="257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연습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11</xdr:row>
      <xdr:rowOff>0</xdr:rowOff>
    </xdr:from>
    <xdr:to>
      <xdr:col>5</xdr:col>
      <xdr:colOff>76200</xdr:colOff>
      <xdr:row>12</xdr:row>
      <xdr:rowOff>47625</xdr:rowOff>
    </xdr:to>
    <xdr:sp macro="[0]!연습2" textlink="">
      <xdr:nvSpPr>
        <xdr:cNvPr id="3" name="TextBox 2">
          <a:extLst>
            <a:ext uri="{FF2B5EF4-FFF2-40B4-BE49-F238E27FC236}">
              <a16:creationId xmlns:a16="http://schemas.microsoft.com/office/drawing/2014/main" xmlns="" id="{3B509FA6-8E34-4BCD-B0D0-DDA2F25B35D8}"/>
            </a:ext>
          </a:extLst>
        </xdr:cNvPr>
        <xdr:cNvSpPr txBox="1"/>
      </xdr:nvSpPr>
      <xdr:spPr>
        <a:xfrm>
          <a:off x="6791325" y="2305050"/>
          <a:ext cx="762000" cy="257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연습</a:t>
          </a:r>
          <a:r>
            <a:rPr lang="en-US" altLang="ko-KR" sz="1100"/>
            <a:t>2</a:t>
          </a:r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81"/>
  <sheetViews>
    <sheetView workbookViewId="0">
      <selection activeCell="E12" sqref="E12"/>
    </sheetView>
  </sheetViews>
  <sheetFormatPr defaultRowHeight="16.5"/>
  <cols>
    <col min="1" max="2" width="3.75" style="122" customWidth="1"/>
    <col min="3" max="3" width="19.25" style="122" customWidth="1"/>
    <col min="4" max="4" width="15" style="122" customWidth="1"/>
    <col min="5" max="5" width="10.5" style="122" customWidth="1"/>
    <col min="6" max="6" width="5.375" style="122" customWidth="1"/>
    <col min="7" max="7" width="6.25" style="123" customWidth="1"/>
    <col min="8" max="8" width="10.875" style="122" customWidth="1"/>
    <col min="9" max="9" width="6.75" style="122" customWidth="1"/>
    <col min="10" max="10" width="7.5" style="123" customWidth="1"/>
    <col min="11" max="11" width="3.75" style="122" customWidth="1"/>
    <col min="12" max="12" width="8.125" style="122" customWidth="1"/>
    <col min="13" max="13" width="24.375" style="122" customWidth="1"/>
    <col min="14" max="14" width="10.625" style="122" customWidth="1"/>
    <col min="15" max="15" width="4.875" style="122" customWidth="1"/>
    <col min="16" max="16" width="10.875" style="122" customWidth="1"/>
    <col min="17" max="17" width="13.875" style="122" customWidth="1"/>
    <col min="18" max="18" width="5.875" style="122" customWidth="1"/>
    <col min="19" max="19" width="34.75" style="122" customWidth="1"/>
    <col min="20" max="20" width="9" style="122" customWidth="1"/>
    <col min="21" max="21" width="17.875" style="116" customWidth="1"/>
    <col min="22" max="22" width="9" style="116"/>
    <col min="23" max="23" width="13.875" style="116" customWidth="1"/>
    <col min="24" max="24" width="9" style="116"/>
    <col min="25" max="25" width="11.375" style="116" bestFit="1" customWidth="1"/>
    <col min="26" max="26" width="9" style="116"/>
    <col min="27" max="27" width="12" style="127" customWidth="1"/>
  </cols>
  <sheetData>
    <row r="1" spans="1:30" ht="22.5">
      <c r="A1" s="34" t="s">
        <v>293</v>
      </c>
      <c r="B1" s="35" t="s">
        <v>294</v>
      </c>
      <c r="C1" s="36" t="s">
        <v>59</v>
      </c>
      <c r="D1" s="37" t="s">
        <v>295</v>
      </c>
      <c r="E1" s="36" t="s">
        <v>296</v>
      </c>
      <c r="F1" s="38" t="s">
        <v>297</v>
      </c>
      <c r="G1" s="39" t="s">
        <v>298</v>
      </c>
      <c r="H1" s="40" t="s">
        <v>299</v>
      </c>
      <c r="I1" s="41" t="s">
        <v>300</v>
      </c>
      <c r="J1" s="42" t="s">
        <v>301</v>
      </c>
      <c r="K1" s="43" t="s">
        <v>302</v>
      </c>
      <c r="L1" s="41" t="s">
        <v>303</v>
      </c>
      <c r="M1" s="44" t="s">
        <v>304</v>
      </c>
      <c r="N1" s="45" t="s">
        <v>305</v>
      </c>
      <c r="O1" s="46" t="s">
        <v>306</v>
      </c>
      <c r="P1" s="47" t="s">
        <v>307</v>
      </c>
      <c r="Q1" s="48" t="s">
        <v>308</v>
      </c>
      <c r="R1" s="49" t="s">
        <v>309</v>
      </c>
      <c r="S1" s="50" t="s">
        <v>310</v>
      </c>
      <c r="T1" s="46" t="s">
        <v>311</v>
      </c>
      <c r="U1" s="51" t="s">
        <v>69</v>
      </c>
      <c r="V1" s="51" t="s">
        <v>312</v>
      </c>
      <c r="W1" s="51" t="s">
        <v>313</v>
      </c>
      <c r="X1" s="52" t="s">
        <v>71</v>
      </c>
      <c r="Y1" s="53" t="s">
        <v>72</v>
      </c>
      <c r="Z1" s="51" t="s">
        <v>73</v>
      </c>
      <c r="AA1" s="126"/>
    </row>
    <row r="2" spans="1:30">
      <c r="A2" s="54">
        <v>0</v>
      </c>
      <c r="B2" s="54">
        <v>3</v>
      </c>
      <c r="C2" s="55" t="s">
        <v>314</v>
      </c>
      <c r="D2" s="56" t="s">
        <v>428</v>
      </c>
      <c r="E2" s="178" t="s">
        <v>1149</v>
      </c>
      <c r="F2" s="179">
        <v>1917</v>
      </c>
      <c r="G2" s="58">
        <v>23004</v>
      </c>
      <c r="H2" s="59"/>
      <c r="I2" s="60">
        <v>46014</v>
      </c>
      <c r="J2" s="61" t="s">
        <v>315</v>
      </c>
      <c r="K2" s="62">
        <v>1</v>
      </c>
      <c r="L2" s="60">
        <v>46001</v>
      </c>
      <c r="M2" s="63"/>
      <c r="N2" s="64" t="s">
        <v>316</v>
      </c>
      <c r="O2" s="65" t="s">
        <v>317</v>
      </c>
      <c r="P2" s="66" t="s">
        <v>318</v>
      </c>
      <c r="Q2" s="67" t="s">
        <v>319</v>
      </c>
      <c r="R2" s="68" t="s">
        <v>320</v>
      </c>
      <c r="S2" s="69" t="s">
        <v>321</v>
      </c>
      <c r="T2" s="65"/>
      <c r="U2" s="70" t="s">
        <v>428</v>
      </c>
      <c r="V2" s="71" t="s">
        <v>1140</v>
      </c>
      <c r="W2" s="72" t="s">
        <v>1141</v>
      </c>
      <c r="X2" s="73">
        <v>1917</v>
      </c>
      <c r="Y2" s="74">
        <v>23962.5</v>
      </c>
      <c r="Z2" s="72" t="s">
        <v>1150</v>
      </c>
      <c r="AD2" s="9"/>
    </row>
    <row r="3" spans="1:30">
      <c r="A3" s="54">
        <v>0</v>
      </c>
      <c r="B3" s="54">
        <v>4</v>
      </c>
      <c r="C3" s="55" t="s">
        <v>314</v>
      </c>
      <c r="D3" s="56" t="s">
        <v>1142</v>
      </c>
      <c r="E3" s="178" t="s">
        <v>1151</v>
      </c>
      <c r="F3" s="179">
        <v>1960</v>
      </c>
      <c r="G3" s="58">
        <v>23520</v>
      </c>
      <c r="H3" s="59"/>
      <c r="I3" s="60">
        <v>46014</v>
      </c>
      <c r="J3" s="61">
        <v>190</v>
      </c>
      <c r="K3" s="62">
        <v>4</v>
      </c>
      <c r="L3" s="60">
        <v>46001</v>
      </c>
      <c r="M3" s="63"/>
      <c r="N3" s="64" t="s">
        <v>316</v>
      </c>
      <c r="O3" s="65" t="s">
        <v>317</v>
      </c>
      <c r="P3" s="66" t="s">
        <v>318</v>
      </c>
      <c r="Q3" s="67" t="s">
        <v>319</v>
      </c>
      <c r="R3" s="68" t="s">
        <v>320</v>
      </c>
      <c r="S3" s="69" t="s">
        <v>322</v>
      </c>
      <c r="T3" s="65"/>
      <c r="U3" s="70" t="s">
        <v>1142</v>
      </c>
      <c r="V3" s="71" t="s">
        <v>1140</v>
      </c>
      <c r="W3" s="72" t="s">
        <v>1143</v>
      </c>
      <c r="X3" s="73">
        <v>1960</v>
      </c>
      <c r="Y3" s="74">
        <v>24500</v>
      </c>
      <c r="Z3" s="72" t="s">
        <v>1150</v>
      </c>
    </row>
    <row r="4" spans="1:30">
      <c r="A4" s="54">
        <v>0</v>
      </c>
      <c r="B4" s="54">
        <v>7</v>
      </c>
      <c r="C4" s="75" t="s">
        <v>314</v>
      </c>
      <c r="D4" s="76" t="s">
        <v>429</v>
      </c>
      <c r="E4" s="178" t="s">
        <v>454</v>
      </c>
      <c r="F4" s="179">
        <v>1917</v>
      </c>
      <c r="G4" s="78">
        <v>23004</v>
      </c>
      <c r="H4" s="79"/>
      <c r="I4" s="80">
        <v>46014</v>
      </c>
      <c r="J4" s="61" t="s">
        <v>323</v>
      </c>
      <c r="K4" s="62">
        <v>2</v>
      </c>
      <c r="L4" s="80">
        <v>46003</v>
      </c>
      <c r="M4" s="81"/>
      <c r="N4" s="64" t="s">
        <v>316</v>
      </c>
      <c r="O4" s="65" t="s">
        <v>317</v>
      </c>
      <c r="P4" s="66" t="s">
        <v>318</v>
      </c>
      <c r="Q4" s="67" t="s">
        <v>319</v>
      </c>
      <c r="R4" s="68" t="s">
        <v>320</v>
      </c>
      <c r="S4" s="69" t="s">
        <v>324</v>
      </c>
      <c r="T4" s="65"/>
      <c r="U4" s="70" t="s">
        <v>429</v>
      </c>
      <c r="V4" s="71" t="s">
        <v>423</v>
      </c>
      <c r="W4" s="72" t="s">
        <v>1144</v>
      </c>
      <c r="X4" s="73">
        <v>1917</v>
      </c>
      <c r="Y4" s="74">
        <v>23962.5</v>
      </c>
      <c r="Z4" s="72" t="s">
        <v>1152</v>
      </c>
    </row>
    <row r="5" spans="1:30">
      <c r="A5" s="54">
        <v>0</v>
      </c>
      <c r="B5" s="54">
        <v>1</v>
      </c>
      <c r="C5" s="82" t="s">
        <v>325</v>
      </c>
      <c r="D5" s="82" t="s">
        <v>1145</v>
      </c>
      <c r="E5" s="180" t="s">
        <v>1153</v>
      </c>
      <c r="F5" s="179">
        <v>1566</v>
      </c>
      <c r="G5" s="83">
        <v>23490</v>
      </c>
      <c r="H5" s="82"/>
      <c r="I5" s="80">
        <v>46014</v>
      </c>
      <c r="J5" s="61" t="s">
        <v>326</v>
      </c>
      <c r="K5" s="62">
        <v>2</v>
      </c>
      <c r="L5" s="60">
        <v>46009</v>
      </c>
      <c r="M5" s="177"/>
      <c r="N5" s="82" t="s">
        <v>327</v>
      </c>
      <c r="O5" s="82" t="s">
        <v>317</v>
      </c>
      <c r="P5" s="82" t="s">
        <v>328</v>
      </c>
      <c r="Q5" s="82"/>
      <c r="R5" s="82" t="s">
        <v>320</v>
      </c>
      <c r="S5" s="82" t="s">
        <v>329</v>
      </c>
      <c r="T5" s="65"/>
      <c r="U5" s="70" t="s">
        <v>1145</v>
      </c>
      <c r="V5" s="84" t="s">
        <v>1146</v>
      </c>
      <c r="W5" s="85" t="s">
        <v>1147</v>
      </c>
      <c r="X5" s="73">
        <v>1566</v>
      </c>
      <c r="Y5" s="74">
        <v>24278.6</v>
      </c>
      <c r="Z5" s="85" t="s">
        <v>81</v>
      </c>
    </row>
    <row r="6" spans="1:30">
      <c r="A6" s="54">
        <v>0</v>
      </c>
      <c r="B6" s="54">
        <v>2</v>
      </c>
      <c r="C6" s="75" t="s">
        <v>330</v>
      </c>
      <c r="D6" s="76" t="s">
        <v>1148</v>
      </c>
      <c r="E6" s="178" t="s">
        <v>1154</v>
      </c>
      <c r="F6" s="179">
        <v>1980</v>
      </c>
      <c r="G6" s="78">
        <v>23760</v>
      </c>
      <c r="H6" s="79" t="s">
        <v>331</v>
      </c>
      <c r="I6" s="80">
        <v>46014</v>
      </c>
      <c r="J6" s="61">
        <v>82</v>
      </c>
      <c r="K6" s="62">
        <v>4</v>
      </c>
      <c r="L6" s="80">
        <v>46009</v>
      </c>
      <c r="M6" s="81"/>
      <c r="N6" s="64" t="s">
        <v>332</v>
      </c>
      <c r="O6" s="65" t="s">
        <v>317</v>
      </c>
      <c r="P6" s="66" t="s">
        <v>333</v>
      </c>
      <c r="Q6" s="67"/>
      <c r="R6" s="68" t="s">
        <v>320</v>
      </c>
      <c r="S6" s="69" t="s">
        <v>334</v>
      </c>
      <c r="T6" s="65"/>
      <c r="U6" s="70" t="s">
        <v>1148</v>
      </c>
      <c r="V6" s="71" t="s">
        <v>1146</v>
      </c>
      <c r="W6" s="72" t="s">
        <v>1155</v>
      </c>
      <c r="X6" s="73">
        <v>1980</v>
      </c>
      <c r="Y6" s="74">
        <v>24948</v>
      </c>
      <c r="Z6" s="85" t="s">
        <v>81</v>
      </c>
    </row>
    <row r="7" spans="1:30">
      <c r="A7" s="86">
        <v>0</v>
      </c>
      <c r="B7" s="54">
        <v>13</v>
      </c>
      <c r="C7" s="55" t="s">
        <v>335</v>
      </c>
      <c r="D7" s="56" t="s">
        <v>430</v>
      </c>
      <c r="E7" s="178" t="s">
        <v>443</v>
      </c>
      <c r="F7" s="179">
        <v>1925</v>
      </c>
      <c r="G7" s="58">
        <v>23100</v>
      </c>
      <c r="H7" s="59"/>
      <c r="I7" s="60">
        <v>46014</v>
      </c>
      <c r="J7" s="61">
        <v>18</v>
      </c>
      <c r="K7" s="62">
        <v>1</v>
      </c>
      <c r="L7" s="60">
        <v>46010</v>
      </c>
      <c r="M7" s="81"/>
      <c r="N7" s="64" t="s">
        <v>336</v>
      </c>
      <c r="O7" s="65" t="s">
        <v>317</v>
      </c>
      <c r="P7" s="66" t="s">
        <v>337</v>
      </c>
      <c r="Q7" s="67"/>
      <c r="R7" s="68" t="s">
        <v>338</v>
      </c>
      <c r="S7" s="69" t="s">
        <v>339</v>
      </c>
      <c r="T7" s="65"/>
      <c r="U7" s="70" t="s">
        <v>430</v>
      </c>
      <c r="V7" s="71" t="s">
        <v>424</v>
      </c>
      <c r="W7" s="72" t="s">
        <v>1156</v>
      </c>
      <c r="X7" s="73">
        <v>1925</v>
      </c>
      <c r="Y7" s="74">
        <v>24640</v>
      </c>
      <c r="Z7" s="85" t="s">
        <v>77</v>
      </c>
    </row>
    <row r="8" spans="1:30">
      <c r="A8" s="54"/>
      <c r="B8" s="54">
        <v>5</v>
      </c>
      <c r="C8" s="55" t="s">
        <v>314</v>
      </c>
      <c r="D8" s="56" t="s">
        <v>246</v>
      </c>
      <c r="E8" s="178" t="s">
        <v>527</v>
      </c>
      <c r="F8" s="179">
        <v>1960</v>
      </c>
      <c r="G8" s="58">
        <v>23520</v>
      </c>
      <c r="H8" s="59"/>
      <c r="I8" s="60"/>
      <c r="J8" s="61" t="s">
        <v>340</v>
      </c>
      <c r="K8" s="62"/>
      <c r="L8" s="60">
        <v>46002</v>
      </c>
      <c r="M8" s="63"/>
      <c r="N8" s="64" t="s">
        <v>316</v>
      </c>
      <c r="O8" s="65" t="s">
        <v>317</v>
      </c>
      <c r="P8" s="66" t="s">
        <v>318</v>
      </c>
      <c r="Q8" s="67" t="s">
        <v>319</v>
      </c>
      <c r="R8" s="68" t="s">
        <v>320</v>
      </c>
      <c r="S8" s="69" t="s">
        <v>341</v>
      </c>
      <c r="T8" s="65"/>
      <c r="U8" s="70" t="s">
        <v>246</v>
      </c>
      <c r="V8" s="71" t="s">
        <v>247</v>
      </c>
      <c r="W8" s="72" t="s">
        <v>1157</v>
      </c>
      <c r="X8" s="73">
        <v>1960</v>
      </c>
      <c r="Y8" s="74">
        <v>24500</v>
      </c>
      <c r="Z8" s="72" t="s">
        <v>248</v>
      </c>
    </row>
    <row r="9" spans="1:30">
      <c r="A9" s="54"/>
      <c r="B9" s="54">
        <v>6</v>
      </c>
      <c r="C9" s="75" t="s">
        <v>314</v>
      </c>
      <c r="D9" s="76" t="s">
        <v>250</v>
      </c>
      <c r="E9" s="75" t="s">
        <v>249</v>
      </c>
      <c r="F9" s="77">
        <v>1960</v>
      </c>
      <c r="G9" s="78">
        <v>23520</v>
      </c>
      <c r="H9" s="79"/>
      <c r="I9" s="80"/>
      <c r="J9" s="61">
        <v>72</v>
      </c>
      <c r="K9" s="62"/>
      <c r="L9" s="80">
        <v>46002</v>
      </c>
      <c r="M9" s="81"/>
      <c r="N9" s="64" t="s">
        <v>316</v>
      </c>
      <c r="O9" s="65" t="s">
        <v>317</v>
      </c>
      <c r="P9" s="66" t="s">
        <v>318</v>
      </c>
      <c r="Q9" s="67" t="s">
        <v>319</v>
      </c>
      <c r="R9" s="68" t="s">
        <v>320</v>
      </c>
      <c r="S9" s="69" t="s">
        <v>342</v>
      </c>
      <c r="T9" s="65"/>
      <c r="U9" s="70" t="s">
        <v>250</v>
      </c>
      <c r="V9" s="71" t="s">
        <v>247</v>
      </c>
      <c r="W9" s="72" t="s">
        <v>251</v>
      </c>
      <c r="X9" s="73">
        <v>1960</v>
      </c>
      <c r="Y9" s="74">
        <v>24500</v>
      </c>
      <c r="Z9" s="72" t="s">
        <v>248</v>
      </c>
    </row>
    <row r="10" spans="1:30">
      <c r="A10" s="54"/>
      <c r="B10" s="54">
        <v>8</v>
      </c>
      <c r="C10" s="75" t="s">
        <v>314</v>
      </c>
      <c r="D10" s="76" t="s">
        <v>253</v>
      </c>
      <c r="E10" s="75" t="s">
        <v>252</v>
      </c>
      <c r="F10" s="77">
        <v>1960</v>
      </c>
      <c r="G10" s="78">
        <v>23520</v>
      </c>
      <c r="H10" s="79"/>
      <c r="I10" s="80"/>
      <c r="J10" s="61">
        <v>88</v>
      </c>
      <c r="K10" s="62"/>
      <c r="L10" s="80">
        <v>46006</v>
      </c>
      <c r="M10" s="81"/>
      <c r="N10" s="64" t="s">
        <v>343</v>
      </c>
      <c r="O10" s="65" t="s">
        <v>317</v>
      </c>
      <c r="P10" s="66" t="s">
        <v>318</v>
      </c>
      <c r="Q10" s="67" t="s">
        <v>319</v>
      </c>
      <c r="R10" s="68" t="s">
        <v>320</v>
      </c>
      <c r="S10" s="69" t="s">
        <v>344</v>
      </c>
      <c r="T10" s="65"/>
      <c r="U10" s="70" t="s">
        <v>253</v>
      </c>
      <c r="V10" s="71" t="s">
        <v>196</v>
      </c>
      <c r="W10" s="72" t="s">
        <v>254</v>
      </c>
      <c r="X10" s="73">
        <v>1960</v>
      </c>
      <c r="Y10" s="74">
        <v>24500</v>
      </c>
      <c r="Z10" s="72" t="s">
        <v>255</v>
      </c>
    </row>
    <row r="11" spans="1:30">
      <c r="A11" s="54"/>
      <c r="B11" s="54">
        <v>9</v>
      </c>
      <c r="C11" s="55" t="s">
        <v>314</v>
      </c>
      <c r="D11" s="56" t="s">
        <v>257</v>
      </c>
      <c r="E11" s="55" t="s">
        <v>256</v>
      </c>
      <c r="F11" s="57">
        <v>1960</v>
      </c>
      <c r="G11" s="58">
        <v>23520</v>
      </c>
      <c r="H11" s="59"/>
      <c r="I11" s="60"/>
      <c r="J11" s="61" t="s">
        <v>345</v>
      </c>
      <c r="K11" s="62"/>
      <c r="L11" s="60">
        <v>46006</v>
      </c>
      <c r="M11" s="63"/>
      <c r="N11" s="64" t="s">
        <v>343</v>
      </c>
      <c r="O11" s="65" t="s">
        <v>317</v>
      </c>
      <c r="P11" s="66" t="s">
        <v>318</v>
      </c>
      <c r="Q11" s="67" t="s">
        <v>319</v>
      </c>
      <c r="R11" s="68" t="s">
        <v>320</v>
      </c>
      <c r="S11" s="69" t="s">
        <v>346</v>
      </c>
      <c r="T11" s="65"/>
      <c r="U11" s="70" t="s">
        <v>257</v>
      </c>
      <c r="V11" s="71" t="s">
        <v>196</v>
      </c>
      <c r="W11" s="72" t="s">
        <v>258</v>
      </c>
      <c r="X11" s="73">
        <v>1960</v>
      </c>
      <c r="Y11" s="74">
        <v>24500</v>
      </c>
      <c r="Z11" s="72" t="s">
        <v>255</v>
      </c>
    </row>
    <row r="12" spans="1:30">
      <c r="A12" s="54"/>
      <c r="B12" s="54">
        <v>10</v>
      </c>
      <c r="C12" s="55" t="s">
        <v>314</v>
      </c>
      <c r="D12" s="56" t="s">
        <v>261</v>
      </c>
      <c r="E12" s="55" t="s">
        <v>260</v>
      </c>
      <c r="F12" s="57">
        <v>1917</v>
      </c>
      <c r="G12" s="58">
        <v>23004</v>
      </c>
      <c r="H12" s="59"/>
      <c r="I12" s="60"/>
      <c r="J12" s="61" t="s">
        <v>347</v>
      </c>
      <c r="K12" s="62"/>
      <c r="L12" s="60">
        <v>46008</v>
      </c>
      <c r="M12" s="63"/>
      <c r="N12" s="64" t="s">
        <v>343</v>
      </c>
      <c r="O12" s="65" t="s">
        <v>317</v>
      </c>
      <c r="P12" s="66" t="s">
        <v>318</v>
      </c>
      <c r="Q12" s="87" t="s">
        <v>319</v>
      </c>
      <c r="R12" s="68" t="s">
        <v>320</v>
      </c>
      <c r="S12" s="69" t="s">
        <v>348</v>
      </c>
      <c r="T12" s="65"/>
      <c r="U12" s="70" t="s">
        <v>261</v>
      </c>
      <c r="V12" s="71" t="s">
        <v>262</v>
      </c>
      <c r="W12" s="72" t="s">
        <v>263</v>
      </c>
      <c r="X12" s="73">
        <v>1917</v>
      </c>
      <c r="Y12" s="74">
        <v>23962.5</v>
      </c>
      <c r="Z12" s="72" t="s">
        <v>186</v>
      </c>
    </row>
    <row r="13" spans="1:30">
      <c r="A13" s="54"/>
      <c r="B13" s="54">
        <v>11</v>
      </c>
      <c r="C13" s="55" t="s">
        <v>335</v>
      </c>
      <c r="D13" s="56" t="s">
        <v>183</v>
      </c>
      <c r="E13" s="55" t="s">
        <v>234</v>
      </c>
      <c r="F13" s="57">
        <v>1925</v>
      </c>
      <c r="G13" s="58">
        <v>23100</v>
      </c>
      <c r="H13" s="59"/>
      <c r="I13" s="60"/>
      <c r="J13" s="61"/>
      <c r="K13" s="62"/>
      <c r="L13" s="60">
        <v>46008</v>
      </c>
      <c r="M13" s="63"/>
      <c r="N13" s="64" t="s">
        <v>349</v>
      </c>
      <c r="O13" s="65" t="s">
        <v>317</v>
      </c>
      <c r="P13" s="66" t="s">
        <v>350</v>
      </c>
      <c r="Q13" s="67" t="s">
        <v>351</v>
      </c>
      <c r="R13" s="68" t="s">
        <v>338</v>
      </c>
      <c r="S13" s="69"/>
      <c r="T13" s="65"/>
      <c r="U13" s="70" t="s">
        <v>183</v>
      </c>
      <c r="V13" s="71" t="s">
        <v>184</v>
      </c>
      <c r="W13" s="72" t="s">
        <v>185</v>
      </c>
      <c r="X13" s="73">
        <v>1925</v>
      </c>
      <c r="Y13" s="74">
        <v>24640</v>
      </c>
      <c r="Z13" s="72" t="s">
        <v>186</v>
      </c>
    </row>
    <row r="14" spans="1:30">
      <c r="A14" s="54"/>
      <c r="B14" s="54">
        <v>12</v>
      </c>
      <c r="C14" s="55" t="s">
        <v>352</v>
      </c>
      <c r="D14" s="56" t="s">
        <v>85</v>
      </c>
      <c r="E14" s="55" t="s">
        <v>425</v>
      </c>
      <c r="F14" s="57">
        <v>1872</v>
      </c>
      <c r="G14" s="58">
        <v>22464</v>
      </c>
      <c r="H14" s="59"/>
      <c r="I14" s="60"/>
      <c r="J14" s="61"/>
      <c r="K14" s="62"/>
      <c r="L14" s="60">
        <v>46010</v>
      </c>
      <c r="M14" s="63"/>
      <c r="N14" s="64" t="s">
        <v>349</v>
      </c>
      <c r="O14" s="65" t="s">
        <v>317</v>
      </c>
      <c r="P14" s="66" t="s">
        <v>204</v>
      </c>
      <c r="Q14" s="67"/>
      <c r="R14" s="68" t="s">
        <v>338</v>
      </c>
      <c r="S14" s="69"/>
      <c r="T14" s="65"/>
      <c r="U14" s="70" t="s">
        <v>85</v>
      </c>
      <c r="V14" s="71" t="s">
        <v>86</v>
      </c>
      <c r="W14" s="72" t="s">
        <v>87</v>
      </c>
      <c r="X14" s="73">
        <v>1872</v>
      </c>
      <c r="Y14" s="74">
        <v>23587.200000000001</v>
      </c>
      <c r="Z14" s="72" t="s">
        <v>77</v>
      </c>
    </row>
    <row r="15" spans="1:30" ht="22.5">
      <c r="A15" s="54"/>
      <c r="B15" s="54">
        <v>14</v>
      </c>
      <c r="C15" s="55" t="s">
        <v>325</v>
      </c>
      <c r="D15" s="76" t="s">
        <v>104</v>
      </c>
      <c r="E15" s="75" t="s">
        <v>235</v>
      </c>
      <c r="F15" s="57">
        <v>1875</v>
      </c>
      <c r="G15" s="78">
        <v>22500</v>
      </c>
      <c r="H15" s="79"/>
      <c r="I15" s="80"/>
      <c r="J15" s="61"/>
      <c r="K15" s="62"/>
      <c r="L15" s="80">
        <v>46013</v>
      </c>
      <c r="M15" s="81"/>
      <c r="N15" s="64" t="s">
        <v>353</v>
      </c>
      <c r="O15" s="65" t="s">
        <v>317</v>
      </c>
      <c r="P15" s="66" t="s">
        <v>354</v>
      </c>
      <c r="Q15" s="67"/>
      <c r="R15" s="68" t="s">
        <v>320</v>
      </c>
      <c r="S15" s="69" t="s">
        <v>355</v>
      </c>
      <c r="T15" s="65"/>
      <c r="U15" s="70" t="s">
        <v>104</v>
      </c>
      <c r="V15" s="71" t="s">
        <v>105</v>
      </c>
      <c r="W15" s="72" t="s">
        <v>106</v>
      </c>
      <c r="X15" s="73">
        <v>1875</v>
      </c>
      <c r="Y15" s="74">
        <v>23197.5</v>
      </c>
      <c r="Z15" s="72" t="s">
        <v>94</v>
      </c>
    </row>
    <row r="16" spans="1:30">
      <c r="A16" s="54"/>
      <c r="B16" s="54">
        <v>15</v>
      </c>
      <c r="C16" s="55" t="s">
        <v>356</v>
      </c>
      <c r="D16" s="56" t="s">
        <v>91</v>
      </c>
      <c r="E16" s="55" t="s">
        <v>426</v>
      </c>
      <c r="F16" s="57">
        <v>1947</v>
      </c>
      <c r="G16" s="58">
        <v>23364</v>
      </c>
      <c r="H16" s="59" t="s">
        <v>331</v>
      </c>
      <c r="I16" s="60"/>
      <c r="J16" s="61"/>
      <c r="K16" s="62"/>
      <c r="L16" s="60">
        <v>46013</v>
      </c>
      <c r="M16" s="63"/>
      <c r="N16" s="64" t="s">
        <v>327</v>
      </c>
      <c r="O16" s="65" t="s">
        <v>317</v>
      </c>
      <c r="P16" s="66" t="s">
        <v>357</v>
      </c>
      <c r="Q16" s="67"/>
      <c r="R16" s="68" t="s">
        <v>320</v>
      </c>
      <c r="S16" s="69" t="s">
        <v>358</v>
      </c>
      <c r="T16" s="65"/>
      <c r="U16" s="70" t="s">
        <v>91</v>
      </c>
      <c r="V16" s="71" t="s">
        <v>92</v>
      </c>
      <c r="W16" s="72" t="s">
        <v>93</v>
      </c>
      <c r="X16" s="73">
        <v>1947</v>
      </c>
      <c r="Y16" s="74">
        <v>24349.14</v>
      </c>
      <c r="Z16" s="72" t="s">
        <v>94</v>
      </c>
    </row>
    <row r="17" spans="1:26">
      <c r="A17" s="54">
        <v>1</v>
      </c>
      <c r="B17" s="54">
        <v>16</v>
      </c>
      <c r="C17" s="75" t="s">
        <v>356</v>
      </c>
      <c r="D17" s="76" t="s">
        <v>96</v>
      </c>
      <c r="E17" s="75" t="s">
        <v>238</v>
      </c>
      <c r="F17" s="77">
        <v>1958</v>
      </c>
      <c r="G17" s="78">
        <v>23496</v>
      </c>
      <c r="H17" s="79" t="s">
        <v>331</v>
      </c>
      <c r="I17" s="80"/>
      <c r="J17" s="61"/>
      <c r="K17" s="62"/>
      <c r="L17" s="80">
        <v>46013</v>
      </c>
      <c r="M17" s="81"/>
      <c r="N17" s="64" t="s">
        <v>359</v>
      </c>
      <c r="O17" s="65" t="s">
        <v>317</v>
      </c>
      <c r="P17" s="66" t="s">
        <v>357</v>
      </c>
      <c r="Q17" s="67"/>
      <c r="R17" s="68" t="s">
        <v>320</v>
      </c>
      <c r="S17" s="69" t="s">
        <v>360</v>
      </c>
      <c r="T17" s="65"/>
      <c r="U17" s="70" t="s">
        <v>96</v>
      </c>
      <c r="V17" s="71" t="s">
        <v>92</v>
      </c>
      <c r="W17" s="72" t="s">
        <v>97</v>
      </c>
      <c r="X17" s="73">
        <v>1958</v>
      </c>
      <c r="Y17" s="74">
        <v>24486.83</v>
      </c>
      <c r="Z17" s="72" t="s">
        <v>94</v>
      </c>
    </row>
    <row r="18" spans="1:26">
      <c r="A18" s="54">
        <v>1</v>
      </c>
      <c r="B18" s="54">
        <v>17</v>
      </c>
      <c r="C18" s="75" t="s">
        <v>356</v>
      </c>
      <c r="D18" s="56" t="s">
        <v>99</v>
      </c>
      <c r="E18" s="55" t="s">
        <v>427</v>
      </c>
      <c r="F18" s="57">
        <v>1953</v>
      </c>
      <c r="G18" s="78">
        <v>23436</v>
      </c>
      <c r="H18" s="59" t="s">
        <v>331</v>
      </c>
      <c r="I18" s="60"/>
      <c r="J18" s="61"/>
      <c r="K18" s="62"/>
      <c r="L18" s="60">
        <v>46013</v>
      </c>
      <c r="M18" s="63"/>
      <c r="N18" s="64" t="s">
        <v>359</v>
      </c>
      <c r="O18" s="65" t="s">
        <v>317</v>
      </c>
      <c r="P18" s="66" t="s">
        <v>357</v>
      </c>
      <c r="Q18" s="67"/>
      <c r="R18" s="68" t="s">
        <v>320</v>
      </c>
      <c r="S18" s="69" t="s">
        <v>361</v>
      </c>
      <c r="T18" s="65"/>
      <c r="U18" s="70" t="s">
        <v>99</v>
      </c>
      <c r="V18" s="71" t="s">
        <v>92</v>
      </c>
      <c r="W18" s="72" t="s">
        <v>100</v>
      </c>
      <c r="X18" s="73">
        <v>1953</v>
      </c>
      <c r="Y18" s="74">
        <v>24424.28</v>
      </c>
      <c r="Z18" s="72" t="s">
        <v>94</v>
      </c>
    </row>
    <row r="19" spans="1:26">
      <c r="A19" s="54"/>
      <c r="B19" s="54">
        <v>18</v>
      </c>
      <c r="C19" s="55" t="s">
        <v>356</v>
      </c>
      <c r="D19" s="56" t="s">
        <v>110</v>
      </c>
      <c r="E19" s="55" t="s">
        <v>240</v>
      </c>
      <c r="F19" s="57">
        <v>1953</v>
      </c>
      <c r="G19" s="58">
        <v>23436</v>
      </c>
      <c r="H19" s="59" t="s">
        <v>331</v>
      </c>
      <c r="I19" s="60"/>
      <c r="J19" s="88"/>
      <c r="K19" s="62"/>
      <c r="L19" s="60">
        <v>46013</v>
      </c>
      <c r="M19" s="63"/>
      <c r="N19" s="64" t="s">
        <v>359</v>
      </c>
      <c r="O19" s="65" t="s">
        <v>317</v>
      </c>
      <c r="P19" s="66" t="s">
        <v>357</v>
      </c>
      <c r="Q19" s="67"/>
      <c r="R19" s="68" t="s">
        <v>320</v>
      </c>
      <c r="S19" s="69" t="s">
        <v>361</v>
      </c>
      <c r="T19" s="65"/>
      <c r="U19" s="70" t="s">
        <v>110</v>
      </c>
      <c r="V19" s="71" t="s">
        <v>92</v>
      </c>
      <c r="W19" s="72" t="s">
        <v>111</v>
      </c>
      <c r="X19" s="73">
        <v>1953</v>
      </c>
      <c r="Y19" s="74">
        <v>24424.29</v>
      </c>
      <c r="Z19" s="85" t="s">
        <v>94</v>
      </c>
    </row>
    <row r="20" spans="1:26">
      <c r="A20" s="54"/>
      <c r="B20" s="54">
        <v>19</v>
      </c>
      <c r="C20" s="55" t="s">
        <v>335</v>
      </c>
      <c r="D20" s="56" t="s">
        <v>190</v>
      </c>
      <c r="E20" s="55" t="s">
        <v>242</v>
      </c>
      <c r="F20" s="57">
        <v>1925</v>
      </c>
      <c r="G20" s="58">
        <v>23100</v>
      </c>
      <c r="H20" s="59"/>
      <c r="I20" s="60"/>
      <c r="J20" s="61"/>
      <c r="K20" s="62"/>
      <c r="L20" s="60">
        <v>46012</v>
      </c>
      <c r="M20" s="63"/>
      <c r="N20" s="64" t="s">
        <v>349</v>
      </c>
      <c r="O20" s="65" t="s">
        <v>317</v>
      </c>
      <c r="P20" s="66" t="s">
        <v>350</v>
      </c>
      <c r="Q20" s="67"/>
      <c r="R20" s="68" t="s">
        <v>338</v>
      </c>
      <c r="S20" s="69"/>
      <c r="T20" s="65"/>
      <c r="U20" s="70" t="s">
        <v>190</v>
      </c>
      <c r="V20" s="84" t="s">
        <v>191</v>
      </c>
      <c r="W20" s="72" t="s">
        <v>192</v>
      </c>
      <c r="X20" s="73">
        <v>1925</v>
      </c>
      <c r="Y20" s="74">
        <v>24640</v>
      </c>
      <c r="Z20" s="85" t="s">
        <v>79</v>
      </c>
    </row>
    <row r="21" spans="1:26">
      <c r="A21" s="54"/>
      <c r="B21" s="54">
        <v>20</v>
      </c>
      <c r="C21" s="55" t="s">
        <v>352</v>
      </c>
      <c r="D21" s="56" t="s">
        <v>244</v>
      </c>
      <c r="E21" s="55" t="s">
        <v>243</v>
      </c>
      <c r="F21" s="57">
        <v>1568</v>
      </c>
      <c r="G21" s="58">
        <v>23520</v>
      </c>
      <c r="H21" s="59"/>
      <c r="I21" s="60"/>
      <c r="J21" s="61"/>
      <c r="K21" s="62"/>
      <c r="L21" s="60">
        <v>46016</v>
      </c>
      <c r="M21" s="63"/>
      <c r="N21" s="64" t="s">
        <v>362</v>
      </c>
      <c r="O21" s="65" t="s">
        <v>317</v>
      </c>
      <c r="P21" s="66" t="s">
        <v>363</v>
      </c>
      <c r="Q21" s="67"/>
      <c r="R21" s="68" t="s">
        <v>320</v>
      </c>
      <c r="S21" s="69" t="s">
        <v>364</v>
      </c>
      <c r="T21" s="65"/>
      <c r="U21" s="70" t="s">
        <v>244</v>
      </c>
      <c r="V21" s="71" t="s">
        <v>188</v>
      </c>
      <c r="W21" s="72" t="s">
        <v>245</v>
      </c>
      <c r="X21" s="73">
        <v>1568</v>
      </c>
      <c r="Y21" s="74">
        <v>24202.080000000002</v>
      </c>
      <c r="Z21" s="72" t="s">
        <v>237</v>
      </c>
    </row>
    <row r="22" spans="1:26">
      <c r="A22" s="54"/>
      <c r="B22" s="54">
        <v>21</v>
      </c>
      <c r="C22" s="55" t="s">
        <v>325</v>
      </c>
      <c r="D22" s="56" t="s">
        <v>268</v>
      </c>
      <c r="E22" s="55" t="s">
        <v>267</v>
      </c>
      <c r="F22" s="57">
        <v>1950</v>
      </c>
      <c r="G22" s="58">
        <v>23400</v>
      </c>
      <c r="H22" s="59"/>
      <c r="I22" s="60"/>
      <c r="J22" s="61"/>
      <c r="K22" s="62"/>
      <c r="L22" s="60">
        <v>46016</v>
      </c>
      <c r="M22" s="81"/>
      <c r="N22" s="64" t="s">
        <v>365</v>
      </c>
      <c r="O22" s="65" t="s">
        <v>317</v>
      </c>
      <c r="P22" s="66" t="s">
        <v>366</v>
      </c>
      <c r="Q22" s="67"/>
      <c r="R22" s="68" t="s">
        <v>320</v>
      </c>
      <c r="S22" s="69" t="s">
        <v>367</v>
      </c>
      <c r="T22" s="65"/>
      <c r="U22" s="70" t="s">
        <v>268</v>
      </c>
      <c r="V22" s="71" t="s">
        <v>269</v>
      </c>
      <c r="W22" s="72" t="s">
        <v>270</v>
      </c>
      <c r="X22" s="73">
        <v>1950</v>
      </c>
      <c r="Y22" s="74">
        <v>24219</v>
      </c>
      <c r="Z22" s="72" t="s">
        <v>237</v>
      </c>
    </row>
    <row r="23" spans="1:26">
      <c r="A23" s="54"/>
      <c r="B23" s="54">
        <v>22</v>
      </c>
      <c r="C23" s="55" t="s">
        <v>314</v>
      </c>
      <c r="D23" s="56" t="s">
        <v>272</v>
      </c>
      <c r="E23" s="55" t="s">
        <v>271</v>
      </c>
      <c r="F23" s="57">
        <v>1960</v>
      </c>
      <c r="G23" s="58">
        <v>23520</v>
      </c>
      <c r="H23" s="59"/>
      <c r="I23" s="60"/>
      <c r="J23" s="61"/>
      <c r="K23" s="62"/>
      <c r="L23" s="60">
        <v>46015</v>
      </c>
      <c r="M23" s="63"/>
      <c r="N23" s="64" t="s">
        <v>343</v>
      </c>
      <c r="O23" s="65" t="s">
        <v>317</v>
      </c>
      <c r="P23" s="66" t="s">
        <v>318</v>
      </c>
      <c r="Q23" s="67"/>
      <c r="R23" s="68" t="s">
        <v>320</v>
      </c>
      <c r="S23" s="69" t="s">
        <v>368</v>
      </c>
      <c r="T23" s="65"/>
      <c r="U23" s="70" t="s">
        <v>272</v>
      </c>
      <c r="V23" s="84" t="s">
        <v>202</v>
      </c>
      <c r="W23" s="72" t="s">
        <v>273</v>
      </c>
      <c r="X23" s="73">
        <v>1960</v>
      </c>
      <c r="Y23" s="74">
        <v>24500</v>
      </c>
      <c r="Z23" s="85" t="s">
        <v>179</v>
      </c>
    </row>
    <row r="24" spans="1:26">
      <c r="A24" s="54"/>
      <c r="B24" s="54">
        <v>23</v>
      </c>
      <c r="C24" s="55" t="s">
        <v>369</v>
      </c>
      <c r="D24" s="56" t="s">
        <v>130</v>
      </c>
      <c r="E24" s="55" t="s">
        <v>203</v>
      </c>
      <c r="F24" s="57">
        <v>1500</v>
      </c>
      <c r="G24" s="58">
        <v>22500</v>
      </c>
      <c r="H24" s="59" t="s">
        <v>370</v>
      </c>
      <c r="I24" s="60"/>
      <c r="J24" s="61"/>
      <c r="K24" s="62"/>
      <c r="L24" s="60">
        <v>46016</v>
      </c>
      <c r="M24" s="63"/>
      <c r="N24" s="64" t="s">
        <v>353</v>
      </c>
      <c r="O24" s="65" t="s">
        <v>317</v>
      </c>
      <c r="P24" s="66" t="s">
        <v>371</v>
      </c>
      <c r="Q24" s="67"/>
      <c r="R24" s="68" t="s">
        <v>320</v>
      </c>
      <c r="S24" s="69" t="s">
        <v>372</v>
      </c>
      <c r="T24" s="65"/>
      <c r="U24" s="70" t="str">
        <f t="shared" ref="U24:U31" si="0">D24</f>
        <v>SAO500856200</v>
      </c>
      <c r="V24" s="71"/>
      <c r="W24" s="72"/>
      <c r="X24" s="73"/>
      <c r="Y24" s="74"/>
      <c r="Z24" s="72"/>
    </row>
    <row r="25" spans="1:26">
      <c r="A25" s="54"/>
      <c r="B25" s="54">
        <v>24</v>
      </c>
      <c r="C25" s="55" t="s">
        <v>314</v>
      </c>
      <c r="D25" s="56" t="s">
        <v>143</v>
      </c>
      <c r="E25" s="55" t="s">
        <v>211</v>
      </c>
      <c r="F25" s="57">
        <v>1960</v>
      </c>
      <c r="G25" s="58">
        <v>23520</v>
      </c>
      <c r="H25" s="59"/>
      <c r="I25" s="60"/>
      <c r="J25" s="61"/>
      <c r="K25" s="62"/>
      <c r="L25" s="60">
        <v>46017</v>
      </c>
      <c r="M25" s="63"/>
      <c r="N25" s="64" t="s">
        <v>373</v>
      </c>
      <c r="O25" s="65" t="s">
        <v>317</v>
      </c>
      <c r="P25" s="66" t="s">
        <v>318</v>
      </c>
      <c r="Q25" s="67"/>
      <c r="R25" s="68" t="s">
        <v>320</v>
      </c>
      <c r="S25" s="69" t="s">
        <v>374</v>
      </c>
      <c r="T25" s="65"/>
      <c r="U25" s="70" t="str">
        <f t="shared" si="0"/>
        <v>EGLV360500167935</v>
      </c>
      <c r="V25" s="71"/>
      <c r="W25" s="72"/>
      <c r="X25" s="73"/>
      <c r="Y25" s="74"/>
      <c r="Z25" s="72"/>
    </row>
    <row r="26" spans="1:26">
      <c r="A26" s="54"/>
      <c r="B26" s="54">
        <v>25</v>
      </c>
      <c r="C26" s="75" t="s">
        <v>325</v>
      </c>
      <c r="D26" s="89" t="s">
        <v>142</v>
      </c>
      <c r="E26" s="75" t="s">
        <v>209</v>
      </c>
      <c r="F26" s="57">
        <v>1566</v>
      </c>
      <c r="G26" s="78">
        <v>23490</v>
      </c>
      <c r="H26" s="79"/>
      <c r="I26" s="80"/>
      <c r="J26" s="61"/>
      <c r="K26" s="62"/>
      <c r="L26" s="80">
        <v>46020</v>
      </c>
      <c r="M26" s="81"/>
      <c r="N26" s="64" t="s">
        <v>327</v>
      </c>
      <c r="O26" s="65" t="s">
        <v>317</v>
      </c>
      <c r="P26" s="66" t="s">
        <v>328</v>
      </c>
      <c r="Q26" s="67"/>
      <c r="R26" s="68" t="s">
        <v>320</v>
      </c>
      <c r="S26" s="69" t="s">
        <v>375</v>
      </c>
      <c r="T26" s="65"/>
      <c r="U26" s="70" t="str">
        <f t="shared" si="0"/>
        <v>MEDUHI500545</v>
      </c>
      <c r="V26" s="71"/>
      <c r="W26" s="72"/>
      <c r="X26" s="73"/>
      <c r="Y26" s="74"/>
      <c r="Z26" s="72"/>
    </row>
    <row r="27" spans="1:26">
      <c r="A27" s="54"/>
      <c r="B27" s="54">
        <v>26</v>
      </c>
      <c r="C27" s="75" t="s">
        <v>325</v>
      </c>
      <c r="D27" s="56" t="s">
        <v>145</v>
      </c>
      <c r="E27" s="55" t="s">
        <v>214</v>
      </c>
      <c r="F27" s="57">
        <v>1500</v>
      </c>
      <c r="G27" s="58">
        <v>22500</v>
      </c>
      <c r="H27" s="59"/>
      <c r="I27" s="60"/>
      <c r="J27" s="61"/>
      <c r="K27" s="62"/>
      <c r="L27" s="60">
        <v>46022</v>
      </c>
      <c r="M27" s="81"/>
      <c r="N27" s="64" t="s">
        <v>376</v>
      </c>
      <c r="O27" s="65" t="s">
        <v>317</v>
      </c>
      <c r="P27" s="66" t="s">
        <v>371</v>
      </c>
      <c r="Q27" s="67"/>
      <c r="R27" s="68" t="s">
        <v>320</v>
      </c>
      <c r="S27" s="69" t="s">
        <v>377</v>
      </c>
      <c r="T27" s="65"/>
      <c r="U27" s="70" t="str">
        <f t="shared" si="0"/>
        <v>SSZ1708682</v>
      </c>
      <c r="V27" s="71"/>
      <c r="W27" s="72"/>
      <c r="X27" s="73"/>
      <c r="Y27" s="74"/>
      <c r="Z27" s="72"/>
    </row>
    <row r="28" spans="1:26">
      <c r="A28" s="54"/>
      <c r="B28" s="54">
        <v>27</v>
      </c>
      <c r="C28" s="75" t="s">
        <v>314</v>
      </c>
      <c r="D28" s="56" t="s">
        <v>149</v>
      </c>
      <c r="E28" s="55" t="s">
        <v>218</v>
      </c>
      <c r="F28" s="57">
        <v>1917</v>
      </c>
      <c r="G28" s="58">
        <v>23004</v>
      </c>
      <c r="H28" s="59"/>
      <c r="I28" s="60"/>
      <c r="J28" s="61"/>
      <c r="K28" s="62"/>
      <c r="L28" s="80">
        <v>46022</v>
      </c>
      <c r="M28" s="63" t="s">
        <v>378</v>
      </c>
      <c r="N28" s="64" t="s">
        <v>343</v>
      </c>
      <c r="O28" s="65" t="s">
        <v>317</v>
      </c>
      <c r="P28" s="66" t="s">
        <v>318</v>
      </c>
      <c r="Q28" s="67"/>
      <c r="R28" s="68" t="s">
        <v>320</v>
      </c>
      <c r="S28" s="69" t="s">
        <v>379</v>
      </c>
      <c r="T28" s="65"/>
      <c r="U28" s="70" t="str">
        <f t="shared" si="0"/>
        <v>EGLV360500171274</v>
      </c>
      <c r="V28" s="71"/>
      <c r="W28" s="72"/>
      <c r="X28" s="73"/>
      <c r="Y28" s="74"/>
      <c r="Z28" s="72"/>
    </row>
    <row r="29" spans="1:26">
      <c r="A29" s="54"/>
      <c r="B29" s="54">
        <v>28</v>
      </c>
      <c r="C29" s="75" t="s">
        <v>369</v>
      </c>
      <c r="D29" s="76" t="s">
        <v>150</v>
      </c>
      <c r="E29" s="75" t="s">
        <v>219</v>
      </c>
      <c r="F29" s="77">
        <v>1960</v>
      </c>
      <c r="G29" s="78">
        <v>23520</v>
      </c>
      <c r="H29" s="79"/>
      <c r="I29" s="80"/>
      <c r="J29" s="61"/>
      <c r="K29" s="62"/>
      <c r="L29" s="80">
        <v>46022</v>
      </c>
      <c r="M29" s="81"/>
      <c r="N29" s="64" t="s">
        <v>380</v>
      </c>
      <c r="O29" s="65" t="s">
        <v>317</v>
      </c>
      <c r="P29" s="66" t="s">
        <v>318</v>
      </c>
      <c r="Q29" s="67"/>
      <c r="R29" s="68" t="s">
        <v>320</v>
      </c>
      <c r="S29" s="69" t="s">
        <v>381</v>
      </c>
      <c r="T29" s="65"/>
      <c r="U29" s="70" t="str">
        <f t="shared" si="0"/>
        <v>EGLV360500178431</v>
      </c>
      <c r="V29" s="71"/>
      <c r="W29" s="72"/>
      <c r="X29" s="73"/>
      <c r="Y29" s="74"/>
      <c r="Z29" s="72"/>
    </row>
    <row r="30" spans="1:26">
      <c r="A30" s="54"/>
      <c r="B30" s="54">
        <v>29</v>
      </c>
      <c r="C30" s="55" t="s">
        <v>369</v>
      </c>
      <c r="D30" s="56" t="s">
        <v>151</v>
      </c>
      <c r="E30" s="55" t="s">
        <v>220</v>
      </c>
      <c r="F30" s="57">
        <v>1500</v>
      </c>
      <c r="G30" s="58">
        <v>22500</v>
      </c>
      <c r="H30" s="59" t="s">
        <v>382</v>
      </c>
      <c r="I30" s="60"/>
      <c r="J30" s="61"/>
      <c r="K30" s="62"/>
      <c r="L30" s="60">
        <v>46022</v>
      </c>
      <c r="M30" s="63"/>
      <c r="N30" s="64" t="s">
        <v>353</v>
      </c>
      <c r="O30" s="65" t="s">
        <v>317</v>
      </c>
      <c r="P30" s="66" t="s">
        <v>371</v>
      </c>
      <c r="Q30" s="67"/>
      <c r="R30" s="68" t="s">
        <v>320</v>
      </c>
      <c r="S30" s="69" t="s">
        <v>383</v>
      </c>
      <c r="T30" s="65"/>
      <c r="U30" s="70" t="str">
        <f t="shared" si="0"/>
        <v>SAO500855900</v>
      </c>
      <c r="V30" s="71"/>
      <c r="W30" s="72"/>
      <c r="X30" s="73"/>
      <c r="Y30" s="74"/>
      <c r="Z30" s="72"/>
    </row>
    <row r="31" spans="1:26">
      <c r="A31" s="86"/>
      <c r="B31" s="54">
        <v>30</v>
      </c>
      <c r="C31" s="55" t="s">
        <v>369</v>
      </c>
      <c r="D31" s="76" t="s">
        <v>152</v>
      </c>
      <c r="E31" s="55" t="s">
        <v>221</v>
      </c>
      <c r="F31" s="57">
        <v>1500</v>
      </c>
      <c r="G31" s="58">
        <v>22500</v>
      </c>
      <c r="H31" s="59" t="s">
        <v>382</v>
      </c>
      <c r="I31" s="60"/>
      <c r="J31" s="61"/>
      <c r="K31" s="62"/>
      <c r="L31" s="60">
        <v>46022</v>
      </c>
      <c r="M31" s="63"/>
      <c r="N31" s="64" t="s">
        <v>353</v>
      </c>
      <c r="O31" s="65" t="s">
        <v>317</v>
      </c>
      <c r="P31" s="66" t="s">
        <v>371</v>
      </c>
      <c r="Q31" s="67"/>
      <c r="R31" s="68" t="s">
        <v>320</v>
      </c>
      <c r="S31" s="69" t="s">
        <v>384</v>
      </c>
      <c r="T31" s="65"/>
      <c r="U31" s="70" t="str">
        <f t="shared" si="0"/>
        <v>SAO500886100</v>
      </c>
      <c r="V31" s="71"/>
      <c r="W31" s="72"/>
      <c r="X31" s="73"/>
      <c r="Y31" s="74"/>
      <c r="Z31" s="72"/>
    </row>
    <row r="32" spans="1:26">
      <c r="A32" s="54"/>
      <c r="B32" s="54">
        <v>31</v>
      </c>
      <c r="C32" s="75" t="s">
        <v>352</v>
      </c>
      <c r="D32" s="76" t="s">
        <v>138</v>
      </c>
      <c r="E32" s="90" t="s">
        <v>281</v>
      </c>
      <c r="F32" s="57">
        <v>1872</v>
      </c>
      <c r="G32" s="78">
        <v>22464</v>
      </c>
      <c r="H32" s="79"/>
      <c r="I32" s="80"/>
      <c r="J32" s="61"/>
      <c r="K32" s="62"/>
      <c r="L32" s="80">
        <v>46017</v>
      </c>
      <c r="M32" s="81"/>
      <c r="N32" s="82" t="s">
        <v>385</v>
      </c>
      <c r="O32" s="65" t="s">
        <v>317</v>
      </c>
      <c r="P32" s="66" t="s">
        <v>386</v>
      </c>
      <c r="Q32" s="87"/>
      <c r="R32" s="68" t="s">
        <v>338</v>
      </c>
      <c r="S32" s="69" t="s">
        <v>387</v>
      </c>
      <c r="T32" s="65" t="s">
        <v>292</v>
      </c>
      <c r="U32" s="70" t="s">
        <v>282</v>
      </c>
      <c r="V32" s="71" t="s">
        <v>205</v>
      </c>
      <c r="W32" s="72" t="s">
        <v>283</v>
      </c>
      <c r="X32" s="73">
        <v>1872</v>
      </c>
      <c r="Y32" s="74">
        <v>23587.200000000001</v>
      </c>
      <c r="Z32" s="72" t="s">
        <v>279</v>
      </c>
    </row>
    <row r="33" spans="1:26">
      <c r="A33" s="54"/>
      <c r="B33" s="54">
        <v>32</v>
      </c>
      <c r="C33" s="75" t="s">
        <v>325</v>
      </c>
      <c r="D33" s="76" t="s">
        <v>388</v>
      </c>
      <c r="E33" s="75" t="s">
        <v>389</v>
      </c>
      <c r="F33" s="57">
        <v>1980</v>
      </c>
      <c r="G33" s="78">
        <v>23760</v>
      </c>
      <c r="H33" s="79"/>
      <c r="I33" s="60"/>
      <c r="J33" s="61"/>
      <c r="K33" s="62"/>
      <c r="L33" s="80" t="s">
        <v>390</v>
      </c>
      <c r="M33" s="81"/>
      <c r="N33" s="64" t="s">
        <v>391</v>
      </c>
      <c r="O33" s="65" t="s">
        <v>317</v>
      </c>
      <c r="P33" s="66" t="s">
        <v>392</v>
      </c>
      <c r="Q33" s="67"/>
      <c r="R33" s="68" t="s">
        <v>320</v>
      </c>
      <c r="S33" s="69" t="s">
        <v>393</v>
      </c>
      <c r="T33" s="65"/>
      <c r="U33" s="70" t="str">
        <f>D33</f>
        <v>MEDUJJ126302</v>
      </c>
      <c r="V33" s="71"/>
      <c r="W33" s="72"/>
      <c r="X33" s="73"/>
      <c r="Y33" s="74"/>
      <c r="Z33" s="72"/>
    </row>
    <row r="34" spans="1:26">
      <c r="A34" s="54"/>
      <c r="B34" s="54">
        <v>33</v>
      </c>
      <c r="C34" s="75" t="s">
        <v>314</v>
      </c>
      <c r="D34" s="76" t="s">
        <v>159</v>
      </c>
      <c r="E34" s="75" t="s">
        <v>228</v>
      </c>
      <c r="F34" s="77">
        <v>1863</v>
      </c>
      <c r="G34" s="78">
        <v>22356</v>
      </c>
      <c r="H34" s="79"/>
      <c r="I34" s="80"/>
      <c r="J34" s="61"/>
      <c r="K34" s="62"/>
      <c r="L34" s="80" t="s">
        <v>390</v>
      </c>
      <c r="M34" s="81" t="s">
        <v>394</v>
      </c>
      <c r="N34" s="64" t="s">
        <v>327</v>
      </c>
      <c r="O34" s="65" t="s">
        <v>317</v>
      </c>
      <c r="P34" s="66" t="s">
        <v>357</v>
      </c>
      <c r="Q34" s="67"/>
      <c r="R34" s="68" t="s">
        <v>320</v>
      </c>
      <c r="S34" s="69" t="s">
        <v>395</v>
      </c>
      <c r="T34" s="65"/>
      <c r="U34" s="70" t="str">
        <f>D34</f>
        <v>MEDUHI500552</v>
      </c>
      <c r="V34" s="71"/>
      <c r="W34" s="72"/>
      <c r="X34" s="73"/>
      <c r="Y34" s="74"/>
      <c r="Z34" s="72"/>
    </row>
    <row r="35" spans="1:26">
      <c r="A35" s="54"/>
      <c r="B35" s="54">
        <v>34</v>
      </c>
      <c r="C35" s="75" t="s">
        <v>314</v>
      </c>
      <c r="D35" s="76" t="s">
        <v>396</v>
      </c>
      <c r="E35" s="75" t="s">
        <v>230</v>
      </c>
      <c r="F35" s="57">
        <v>1957</v>
      </c>
      <c r="G35" s="78">
        <v>23484</v>
      </c>
      <c r="H35" s="79"/>
      <c r="I35" s="80"/>
      <c r="J35" s="61"/>
      <c r="K35" s="62"/>
      <c r="L35" s="80" t="s">
        <v>390</v>
      </c>
      <c r="M35" s="81" t="s">
        <v>397</v>
      </c>
      <c r="N35" s="64" t="s">
        <v>398</v>
      </c>
      <c r="O35" s="65" t="s">
        <v>317</v>
      </c>
      <c r="P35" s="66" t="s">
        <v>399</v>
      </c>
      <c r="Q35" s="67"/>
      <c r="R35" s="68" t="s">
        <v>320</v>
      </c>
      <c r="S35" s="69" t="s">
        <v>400</v>
      </c>
      <c r="T35" s="65"/>
      <c r="U35" s="70" t="str">
        <f>D35</f>
        <v>MEUDJJ113896</v>
      </c>
      <c r="V35" s="71"/>
      <c r="W35" s="72"/>
      <c r="X35" s="73"/>
      <c r="Y35" s="74"/>
      <c r="Z35" s="72"/>
    </row>
    <row r="36" spans="1:26">
      <c r="A36" s="54"/>
      <c r="B36" s="54">
        <v>35</v>
      </c>
      <c r="C36" s="75" t="s">
        <v>352</v>
      </c>
      <c r="D36" s="76" t="s">
        <v>155</v>
      </c>
      <c r="E36" s="75" t="s">
        <v>225</v>
      </c>
      <c r="F36" s="77">
        <v>1567</v>
      </c>
      <c r="G36" s="78">
        <v>23505</v>
      </c>
      <c r="H36" s="79"/>
      <c r="I36" s="80"/>
      <c r="J36" s="61"/>
      <c r="K36" s="62"/>
      <c r="L36" s="80" t="s">
        <v>390</v>
      </c>
      <c r="M36" s="81"/>
      <c r="N36" s="64" t="s">
        <v>401</v>
      </c>
      <c r="O36" s="65" t="s">
        <v>317</v>
      </c>
      <c r="P36" s="66" t="s">
        <v>402</v>
      </c>
      <c r="Q36" s="67"/>
      <c r="R36" s="68" t="s">
        <v>320</v>
      </c>
      <c r="S36" s="69" t="s">
        <v>403</v>
      </c>
      <c r="T36" s="65"/>
      <c r="U36" s="70"/>
      <c r="V36" s="71"/>
      <c r="W36" s="72"/>
      <c r="X36" s="73"/>
      <c r="Y36" s="74"/>
      <c r="Z36" s="72"/>
    </row>
    <row r="37" spans="1:26">
      <c r="A37" s="54"/>
      <c r="B37" s="54">
        <v>36</v>
      </c>
      <c r="C37" s="55" t="s">
        <v>352</v>
      </c>
      <c r="D37" s="56" t="s">
        <v>154</v>
      </c>
      <c r="E37" s="55" t="s">
        <v>223</v>
      </c>
      <c r="F37" s="57">
        <v>1567</v>
      </c>
      <c r="G37" s="58">
        <v>23505</v>
      </c>
      <c r="H37" s="59"/>
      <c r="I37" s="60"/>
      <c r="J37" s="61"/>
      <c r="K37" s="62"/>
      <c r="L37" s="60" t="s">
        <v>390</v>
      </c>
      <c r="M37" s="63"/>
      <c r="N37" s="64" t="s">
        <v>380</v>
      </c>
      <c r="O37" s="65" t="s">
        <v>317</v>
      </c>
      <c r="P37" s="66" t="s">
        <v>404</v>
      </c>
      <c r="Q37" s="67"/>
      <c r="R37" s="68" t="s">
        <v>320</v>
      </c>
      <c r="S37" s="69" t="s">
        <v>405</v>
      </c>
      <c r="T37" s="65"/>
      <c r="U37" s="70"/>
      <c r="V37" s="71"/>
      <c r="W37" s="72"/>
      <c r="X37" s="73"/>
      <c r="Y37" s="74"/>
      <c r="Z37" s="72"/>
    </row>
    <row r="38" spans="1:26">
      <c r="A38" s="54"/>
      <c r="B38" s="54">
        <v>37</v>
      </c>
      <c r="C38" s="55" t="s">
        <v>406</v>
      </c>
      <c r="D38" s="56" t="s">
        <v>144</v>
      </c>
      <c r="E38" s="55" t="s">
        <v>213</v>
      </c>
      <c r="F38" s="57">
        <v>1916</v>
      </c>
      <c r="G38" s="58">
        <v>22992</v>
      </c>
      <c r="H38" s="59"/>
      <c r="I38" s="60"/>
      <c r="J38" s="61"/>
      <c r="K38" s="62"/>
      <c r="L38" s="60">
        <v>46020</v>
      </c>
      <c r="M38" s="63"/>
      <c r="N38" s="64" t="s">
        <v>407</v>
      </c>
      <c r="O38" s="65" t="s">
        <v>317</v>
      </c>
      <c r="P38" s="66" t="s">
        <v>408</v>
      </c>
      <c r="Q38" s="87"/>
      <c r="R38" s="68" t="s">
        <v>320</v>
      </c>
      <c r="S38" s="69" t="s">
        <v>409</v>
      </c>
      <c r="T38" s="65"/>
      <c r="U38" s="70"/>
      <c r="V38" s="84"/>
      <c r="W38" s="72"/>
      <c r="X38" s="73"/>
      <c r="Y38" s="74"/>
      <c r="Z38" s="85"/>
    </row>
    <row r="39" spans="1:26">
      <c r="A39" s="54"/>
      <c r="B39" s="54">
        <v>38</v>
      </c>
      <c r="C39" s="75" t="s">
        <v>406</v>
      </c>
      <c r="D39" s="76" t="s">
        <v>132</v>
      </c>
      <c r="E39" s="75" t="s">
        <v>275</v>
      </c>
      <c r="F39" s="57">
        <v>1950</v>
      </c>
      <c r="G39" s="78">
        <v>23400</v>
      </c>
      <c r="H39" s="79"/>
      <c r="I39" s="80"/>
      <c r="J39" s="61"/>
      <c r="K39" s="62"/>
      <c r="L39" s="80">
        <v>46016</v>
      </c>
      <c r="M39" s="81"/>
      <c r="N39" s="64" t="s">
        <v>410</v>
      </c>
      <c r="O39" s="65" t="s">
        <v>317</v>
      </c>
      <c r="P39" s="66" t="s">
        <v>366</v>
      </c>
      <c r="Q39" s="87"/>
      <c r="R39" s="68" t="s">
        <v>320</v>
      </c>
      <c r="S39" s="69" t="s">
        <v>411</v>
      </c>
      <c r="T39" s="65" t="s">
        <v>291</v>
      </c>
      <c r="U39" s="70" t="s">
        <v>276</v>
      </c>
      <c r="V39" s="84" t="s">
        <v>188</v>
      </c>
      <c r="W39" s="72" t="s">
        <v>277</v>
      </c>
      <c r="X39" s="73">
        <v>1950</v>
      </c>
      <c r="Y39" s="74">
        <v>24219</v>
      </c>
      <c r="Z39" s="85" t="s">
        <v>237</v>
      </c>
    </row>
    <row r="40" spans="1:26">
      <c r="A40" s="54"/>
      <c r="B40" s="54">
        <v>39</v>
      </c>
      <c r="C40" s="55" t="s">
        <v>369</v>
      </c>
      <c r="D40" s="56" t="s">
        <v>153</v>
      </c>
      <c r="E40" s="82" t="s">
        <v>222</v>
      </c>
      <c r="F40" s="57">
        <v>1500</v>
      </c>
      <c r="G40" s="58">
        <v>22500</v>
      </c>
      <c r="H40" s="59"/>
      <c r="I40" s="60"/>
      <c r="J40" s="61"/>
      <c r="K40" s="62"/>
      <c r="L40" s="60">
        <v>46022</v>
      </c>
      <c r="M40" s="63"/>
      <c r="N40" s="64" t="s">
        <v>353</v>
      </c>
      <c r="O40" s="65" t="s">
        <v>317</v>
      </c>
      <c r="P40" s="66" t="s">
        <v>371</v>
      </c>
      <c r="Q40" s="87"/>
      <c r="R40" s="68" t="s">
        <v>320</v>
      </c>
      <c r="S40" s="69" t="s">
        <v>412</v>
      </c>
      <c r="T40" s="65"/>
      <c r="U40" s="70"/>
      <c r="V40" s="84"/>
      <c r="W40" s="72"/>
      <c r="X40" s="73"/>
      <c r="Y40" s="74"/>
      <c r="Z40" s="85"/>
    </row>
    <row r="41" spans="1:26" ht="22.5">
      <c r="A41" s="86"/>
      <c r="B41" s="54">
        <v>40</v>
      </c>
      <c r="C41" s="75" t="s">
        <v>352</v>
      </c>
      <c r="D41" s="76" t="s">
        <v>413</v>
      </c>
      <c r="E41" s="55" t="s">
        <v>414</v>
      </c>
      <c r="F41" s="57">
        <v>1917</v>
      </c>
      <c r="G41" s="78">
        <v>23004</v>
      </c>
      <c r="H41" s="79"/>
      <c r="I41" s="80"/>
      <c r="J41" s="61"/>
      <c r="K41" s="62"/>
      <c r="L41" s="80"/>
      <c r="M41" s="81"/>
      <c r="N41" s="64" t="s">
        <v>415</v>
      </c>
      <c r="O41" s="65" t="s">
        <v>317</v>
      </c>
      <c r="P41" s="64" t="s">
        <v>416</v>
      </c>
      <c r="Q41" s="87"/>
      <c r="R41" s="68" t="s">
        <v>417</v>
      </c>
      <c r="S41" s="69" t="s">
        <v>418</v>
      </c>
      <c r="T41" s="65"/>
      <c r="U41" s="70"/>
      <c r="V41" s="84"/>
      <c r="W41" s="72"/>
      <c r="X41" s="73"/>
      <c r="Y41" s="74"/>
      <c r="Z41" s="85"/>
    </row>
    <row r="42" spans="1:26" ht="22.5">
      <c r="A42" s="54"/>
      <c r="B42" s="54">
        <v>41</v>
      </c>
      <c r="C42" s="75" t="s">
        <v>352</v>
      </c>
      <c r="D42" s="82" t="s">
        <v>419</v>
      </c>
      <c r="E42" s="55" t="s">
        <v>420</v>
      </c>
      <c r="F42" s="57">
        <v>1917</v>
      </c>
      <c r="G42" s="58">
        <v>23004</v>
      </c>
      <c r="H42" s="82"/>
      <c r="I42" s="60"/>
      <c r="J42" s="83"/>
      <c r="K42" s="62"/>
      <c r="L42" s="60"/>
      <c r="M42" s="82"/>
      <c r="N42" s="64" t="s">
        <v>415</v>
      </c>
      <c r="O42" s="65" t="s">
        <v>317</v>
      </c>
      <c r="P42" s="64" t="s">
        <v>416</v>
      </c>
      <c r="Q42" s="91"/>
      <c r="R42" s="68" t="s">
        <v>417</v>
      </c>
      <c r="S42" s="82" t="s">
        <v>421</v>
      </c>
      <c r="T42" s="65"/>
      <c r="U42" s="70"/>
      <c r="V42" s="84"/>
      <c r="W42" s="85"/>
      <c r="X42" s="73"/>
      <c r="Y42" s="74"/>
      <c r="Z42" s="85"/>
    </row>
    <row r="43" spans="1:26">
      <c r="A43" s="54"/>
      <c r="B43" s="54">
        <v>42</v>
      </c>
      <c r="C43" s="75"/>
      <c r="D43" s="76"/>
      <c r="E43" s="75"/>
      <c r="F43" s="92"/>
      <c r="G43" s="78"/>
      <c r="H43" s="79"/>
      <c r="I43" s="80"/>
      <c r="J43" s="61"/>
      <c r="K43" s="62"/>
      <c r="L43" s="80"/>
      <c r="M43" s="81"/>
      <c r="N43" s="64"/>
      <c r="O43" s="65"/>
      <c r="P43" s="66"/>
      <c r="Q43" s="87"/>
      <c r="R43" s="68"/>
      <c r="S43" s="69"/>
      <c r="T43" s="65"/>
      <c r="U43" s="70"/>
      <c r="V43" s="71"/>
      <c r="W43" s="72"/>
      <c r="X43" s="73"/>
      <c r="Y43" s="74"/>
      <c r="Z43" s="72"/>
    </row>
    <row r="44" spans="1:26">
      <c r="A44" s="54"/>
      <c r="B44" s="54">
        <v>43</v>
      </c>
      <c r="C44" s="75"/>
      <c r="D44" s="76"/>
      <c r="E44" s="75"/>
      <c r="F44" s="57"/>
      <c r="G44" s="78"/>
      <c r="H44" s="79"/>
      <c r="I44" s="80"/>
      <c r="J44" s="61"/>
      <c r="K44" s="62"/>
      <c r="L44" s="80"/>
      <c r="M44" s="81"/>
      <c r="N44" s="64"/>
      <c r="O44" s="65"/>
      <c r="P44" s="66"/>
      <c r="Q44" s="67"/>
      <c r="R44" s="68"/>
      <c r="S44" s="69"/>
      <c r="T44" s="65"/>
      <c r="U44" s="70"/>
      <c r="V44" s="71"/>
      <c r="W44" s="72"/>
      <c r="X44" s="73"/>
      <c r="Y44" s="74"/>
      <c r="Z44" s="72"/>
    </row>
    <row r="45" spans="1:26">
      <c r="A45" s="54"/>
      <c r="B45" s="54">
        <v>44</v>
      </c>
      <c r="C45" s="75"/>
      <c r="D45" s="56"/>
      <c r="E45" s="55"/>
      <c r="F45" s="57"/>
      <c r="G45" s="78"/>
      <c r="H45" s="59"/>
      <c r="I45" s="60"/>
      <c r="J45" s="61"/>
      <c r="K45" s="62"/>
      <c r="L45" s="60"/>
      <c r="M45" s="63"/>
      <c r="N45" s="64"/>
      <c r="O45" s="65"/>
      <c r="P45" s="66"/>
      <c r="Q45" s="67"/>
      <c r="R45" s="68"/>
      <c r="S45" s="69"/>
      <c r="T45" s="65"/>
      <c r="U45" s="70"/>
      <c r="V45" s="71"/>
      <c r="W45" s="72"/>
      <c r="X45" s="73"/>
      <c r="Y45" s="74"/>
      <c r="Z45" s="72"/>
    </row>
    <row r="46" spans="1:26">
      <c r="A46" s="54"/>
      <c r="B46" s="54">
        <v>45</v>
      </c>
      <c r="C46" s="55"/>
      <c r="D46" s="56"/>
      <c r="E46" s="55"/>
      <c r="F46" s="57"/>
      <c r="G46" s="58"/>
      <c r="H46" s="59"/>
      <c r="I46" s="60"/>
      <c r="J46" s="61"/>
      <c r="K46" s="62"/>
      <c r="L46" s="60"/>
      <c r="M46" s="63"/>
      <c r="N46" s="64"/>
      <c r="O46" s="65"/>
      <c r="P46" s="66"/>
      <c r="Q46" s="67"/>
      <c r="R46" s="68"/>
      <c r="S46" s="69"/>
      <c r="T46" s="65"/>
      <c r="U46" s="70"/>
      <c r="V46" s="71"/>
      <c r="W46" s="72"/>
      <c r="X46" s="73"/>
      <c r="Y46" s="74"/>
      <c r="Z46" s="72"/>
    </row>
    <row r="47" spans="1:26">
      <c r="A47" s="54"/>
      <c r="B47" s="54">
        <v>46</v>
      </c>
      <c r="C47" s="55"/>
      <c r="D47" s="56"/>
      <c r="E47" s="55"/>
      <c r="F47" s="57"/>
      <c r="G47" s="58"/>
      <c r="H47" s="59"/>
      <c r="I47" s="60"/>
      <c r="J47" s="61"/>
      <c r="K47" s="62"/>
      <c r="L47" s="60"/>
      <c r="M47" s="81"/>
      <c r="N47" s="64"/>
      <c r="O47" s="65"/>
      <c r="P47" s="66"/>
      <c r="Q47" s="67"/>
      <c r="R47" s="68"/>
      <c r="S47" s="69"/>
      <c r="T47" s="65"/>
      <c r="U47" s="70"/>
      <c r="V47" s="71"/>
      <c r="W47" s="72"/>
      <c r="X47" s="73"/>
      <c r="Y47" s="74"/>
      <c r="Z47" s="72"/>
    </row>
    <row r="48" spans="1:26">
      <c r="A48" s="54"/>
      <c r="B48" s="54">
        <v>47</v>
      </c>
      <c r="C48" s="75"/>
      <c r="D48" s="76"/>
      <c r="E48" s="75"/>
      <c r="F48" s="57"/>
      <c r="G48" s="78"/>
      <c r="H48" s="79"/>
      <c r="I48" s="80"/>
      <c r="J48" s="61"/>
      <c r="K48" s="62"/>
      <c r="L48" s="80"/>
      <c r="M48" s="81"/>
      <c r="N48" s="64"/>
      <c r="O48" s="65"/>
      <c r="P48" s="66"/>
      <c r="Q48" s="67"/>
      <c r="R48" s="68"/>
      <c r="S48" s="69"/>
      <c r="T48" s="65"/>
      <c r="U48" s="70"/>
      <c r="V48" s="71"/>
      <c r="W48" s="72"/>
      <c r="X48" s="73"/>
      <c r="Y48" s="74"/>
      <c r="Z48" s="72"/>
    </row>
    <row r="49" spans="1:26">
      <c r="A49" s="54"/>
      <c r="B49" s="54">
        <v>48</v>
      </c>
      <c r="C49" s="75"/>
      <c r="D49" s="93"/>
      <c r="E49" s="75"/>
      <c r="F49" s="57"/>
      <c r="G49" s="78"/>
      <c r="H49" s="79"/>
      <c r="I49" s="80"/>
      <c r="J49" s="61"/>
      <c r="K49" s="62"/>
      <c r="L49" s="80"/>
      <c r="M49" s="81"/>
      <c r="N49" s="64"/>
      <c r="O49" s="65"/>
      <c r="P49" s="66"/>
      <c r="Q49" s="67"/>
      <c r="R49" s="68"/>
      <c r="S49" s="69"/>
      <c r="T49" s="65"/>
      <c r="U49" s="70"/>
      <c r="V49" s="71"/>
      <c r="W49" s="72"/>
      <c r="X49" s="73"/>
      <c r="Y49" s="74"/>
      <c r="Z49" s="72"/>
    </row>
    <row r="50" spans="1:26">
      <c r="A50" s="54"/>
      <c r="B50" s="54">
        <v>49</v>
      </c>
      <c r="C50" s="55"/>
      <c r="D50" s="93"/>
      <c r="E50" s="55"/>
      <c r="F50" s="57"/>
      <c r="G50" s="78"/>
      <c r="H50" s="59"/>
      <c r="I50" s="60"/>
      <c r="J50" s="61"/>
      <c r="K50" s="62"/>
      <c r="L50" s="60"/>
      <c r="M50" s="63"/>
      <c r="N50" s="64"/>
      <c r="O50" s="65"/>
      <c r="P50" s="66"/>
      <c r="Q50" s="67"/>
      <c r="R50" s="68"/>
      <c r="S50" s="69"/>
      <c r="T50" s="65"/>
      <c r="U50" s="70"/>
      <c r="V50" s="84"/>
      <c r="W50" s="72"/>
      <c r="X50" s="73"/>
      <c r="Y50" s="74"/>
      <c r="Z50" s="85"/>
    </row>
    <row r="51" spans="1:26">
      <c r="A51" s="54"/>
      <c r="B51" s="54">
        <v>50</v>
      </c>
      <c r="C51" s="55"/>
      <c r="D51" s="56"/>
      <c r="E51" s="55"/>
      <c r="F51" s="57"/>
      <c r="G51" s="58"/>
      <c r="H51" s="59"/>
      <c r="I51" s="60"/>
      <c r="J51" s="61"/>
      <c r="K51" s="62"/>
      <c r="L51" s="60"/>
      <c r="M51" s="63"/>
      <c r="N51" s="64"/>
      <c r="O51" s="65"/>
      <c r="P51" s="66"/>
      <c r="Q51" s="67"/>
      <c r="R51" s="68"/>
      <c r="S51" s="69"/>
      <c r="T51" s="65"/>
      <c r="U51" s="70"/>
      <c r="V51" s="71"/>
      <c r="W51" s="72"/>
      <c r="X51" s="73"/>
      <c r="Y51" s="74"/>
      <c r="Z51" s="72"/>
    </row>
    <row r="52" spans="1:26">
      <c r="A52" s="54"/>
      <c r="B52" s="54">
        <v>51</v>
      </c>
      <c r="C52" s="75"/>
      <c r="D52" s="93"/>
      <c r="E52" s="75"/>
      <c r="F52" s="57"/>
      <c r="G52" s="78"/>
      <c r="H52" s="79"/>
      <c r="I52" s="80"/>
      <c r="J52" s="61"/>
      <c r="K52" s="62"/>
      <c r="L52" s="80"/>
      <c r="M52" s="81"/>
      <c r="N52" s="64"/>
      <c r="O52" s="65"/>
      <c r="P52" s="66"/>
      <c r="Q52" s="67"/>
      <c r="R52" s="68"/>
      <c r="S52" s="69"/>
      <c r="T52" s="124"/>
      <c r="U52" s="70"/>
      <c r="V52" s="71"/>
      <c r="W52" s="72"/>
      <c r="X52" s="73"/>
      <c r="Y52" s="74"/>
      <c r="Z52" s="72"/>
    </row>
    <row r="53" spans="1:26">
      <c r="A53" s="54"/>
      <c r="B53" s="54">
        <v>52</v>
      </c>
      <c r="C53" s="55"/>
      <c r="D53" s="93"/>
      <c r="E53" s="55"/>
      <c r="F53" s="57"/>
      <c r="G53" s="58"/>
      <c r="H53" s="59"/>
      <c r="I53" s="60"/>
      <c r="J53" s="61"/>
      <c r="K53" s="62"/>
      <c r="L53" s="60"/>
      <c r="M53" s="63"/>
      <c r="N53" s="64"/>
      <c r="O53" s="65"/>
      <c r="P53" s="66"/>
      <c r="Q53" s="67"/>
      <c r="R53" s="68"/>
      <c r="S53" s="69"/>
      <c r="T53" s="65"/>
      <c r="U53" s="70"/>
      <c r="V53" s="71"/>
      <c r="W53" s="72"/>
      <c r="X53" s="73"/>
      <c r="Y53" s="74"/>
      <c r="Z53" s="72"/>
    </row>
    <row r="54" spans="1:26">
      <c r="A54" s="54"/>
      <c r="B54" s="54">
        <v>53</v>
      </c>
      <c r="C54" s="55"/>
      <c r="D54" s="76"/>
      <c r="E54" s="75"/>
      <c r="F54" s="57"/>
      <c r="G54" s="58"/>
      <c r="H54" s="79"/>
      <c r="I54" s="60"/>
      <c r="J54" s="83"/>
      <c r="K54" s="62"/>
      <c r="L54" s="60"/>
      <c r="M54" s="81"/>
      <c r="N54" s="64"/>
      <c r="O54" s="65"/>
      <c r="P54" s="66"/>
      <c r="Q54" s="67"/>
      <c r="R54" s="68"/>
      <c r="S54" s="69"/>
      <c r="T54" s="124"/>
      <c r="U54" s="70"/>
      <c r="V54" s="71"/>
      <c r="W54" s="72"/>
      <c r="X54" s="73"/>
      <c r="Y54" s="74"/>
      <c r="Z54" s="72"/>
    </row>
    <row r="55" spans="1:26">
      <c r="A55" s="54"/>
      <c r="B55" s="54">
        <v>54</v>
      </c>
      <c r="C55" s="75"/>
      <c r="D55" s="76"/>
      <c r="E55" s="75"/>
      <c r="F55" s="57"/>
      <c r="G55" s="78"/>
      <c r="H55" s="79"/>
      <c r="I55" s="60"/>
      <c r="J55" s="61"/>
      <c r="K55" s="62"/>
      <c r="L55" s="80"/>
      <c r="M55" s="81"/>
      <c r="N55" s="64"/>
      <c r="O55" s="65"/>
      <c r="P55" s="66"/>
      <c r="Q55" s="67"/>
      <c r="R55" s="68"/>
      <c r="S55" s="69"/>
      <c r="T55" s="124"/>
      <c r="U55" s="70"/>
      <c r="V55" s="71"/>
      <c r="W55" s="72"/>
      <c r="X55" s="73"/>
      <c r="Y55" s="74"/>
      <c r="Z55" s="72"/>
    </row>
    <row r="56" spans="1:26">
      <c r="A56" s="54"/>
      <c r="B56" s="54">
        <v>55</v>
      </c>
      <c r="C56" s="75"/>
      <c r="D56" s="56"/>
      <c r="E56" s="55"/>
      <c r="F56" s="57"/>
      <c r="G56" s="78"/>
      <c r="H56" s="59"/>
      <c r="I56" s="60"/>
      <c r="J56" s="61"/>
      <c r="K56" s="62"/>
      <c r="L56" s="60"/>
      <c r="M56" s="63"/>
      <c r="N56" s="64"/>
      <c r="O56" s="65"/>
      <c r="P56" s="66"/>
      <c r="Q56" s="67"/>
      <c r="R56" s="68"/>
      <c r="S56" s="69"/>
      <c r="T56" s="65"/>
      <c r="U56" s="70"/>
      <c r="V56" s="71"/>
      <c r="W56" s="72"/>
      <c r="X56" s="73"/>
      <c r="Y56" s="74"/>
      <c r="Z56" s="72"/>
    </row>
    <row r="57" spans="1:26">
      <c r="A57" s="54"/>
      <c r="B57" s="54">
        <v>56</v>
      </c>
      <c r="C57" s="75"/>
      <c r="D57" s="76"/>
      <c r="E57" s="75"/>
      <c r="F57" s="57"/>
      <c r="G57" s="78"/>
      <c r="H57" s="79"/>
      <c r="I57" s="80"/>
      <c r="J57" s="61"/>
      <c r="K57" s="62"/>
      <c r="L57" s="80"/>
      <c r="M57" s="81"/>
      <c r="N57" s="64"/>
      <c r="O57" s="65"/>
      <c r="P57" s="66"/>
      <c r="Q57" s="67"/>
      <c r="R57" s="68"/>
      <c r="S57" s="69"/>
      <c r="T57" s="124"/>
      <c r="U57" s="70"/>
      <c r="V57" s="71"/>
      <c r="W57" s="72"/>
      <c r="X57" s="73"/>
      <c r="Y57" s="74"/>
      <c r="Z57" s="72"/>
    </row>
    <row r="58" spans="1:26">
      <c r="A58" s="54"/>
      <c r="B58" s="54">
        <v>57</v>
      </c>
      <c r="C58" s="75"/>
      <c r="D58" s="76"/>
      <c r="E58" s="75"/>
      <c r="F58" s="57"/>
      <c r="G58" s="78"/>
      <c r="H58" s="79"/>
      <c r="I58" s="80"/>
      <c r="J58" s="61"/>
      <c r="K58" s="62"/>
      <c r="L58" s="80"/>
      <c r="M58" s="81"/>
      <c r="N58" s="64"/>
      <c r="O58" s="65"/>
      <c r="P58" s="66"/>
      <c r="Q58" s="67"/>
      <c r="R58" s="68"/>
      <c r="S58" s="69"/>
      <c r="T58" s="124"/>
      <c r="U58" s="70"/>
      <c r="V58" s="71"/>
      <c r="W58" s="72"/>
      <c r="X58" s="73"/>
      <c r="Y58" s="74"/>
      <c r="Z58" s="72"/>
    </row>
    <row r="59" spans="1:26">
      <c r="A59" s="86"/>
      <c r="B59" s="54">
        <v>58</v>
      </c>
      <c r="C59" s="75"/>
      <c r="D59" s="56"/>
      <c r="E59" s="55"/>
      <c r="F59" s="57"/>
      <c r="G59" s="58"/>
      <c r="H59" s="59"/>
      <c r="I59" s="60"/>
      <c r="J59" s="61"/>
      <c r="K59" s="62"/>
      <c r="L59" s="60"/>
      <c r="M59" s="81"/>
      <c r="N59" s="64"/>
      <c r="O59" s="65"/>
      <c r="P59" s="66"/>
      <c r="Q59" s="67"/>
      <c r="R59" s="68"/>
      <c r="S59" s="69"/>
      <c r="T59" s="65"/>
      <c r="U59" s="70"/>
      <c r="V59" s="71"/>
      <c r="W59" s="72"/>
      <c r="X59" s="73"/>
      <c r="Y59" s="74"/>
      <c r="Z59" s="85"/>
    </row>
    <row r="60" spans="1:26">
      <c r="A60" s="54"/>
      <c r="B60" s="54">
        <v>59</v>
      </c>
      <c r="C60" s="55"/>
      <c r="D60" s="56"/>
      <c r="E60" s="55"/>
      <c r="F60" s="57"/>
      <c r="G60" s="58"/>
      <c r="H60" s="59"/>
      <c r="I60" s="60"/>
      <c r="J60" s="61"/>
      <c r="K60" s="62"/>
      <c r="L60" s="60"/>
      <c r="M60" s="63"/>
      <c r="N60" s="64"/>
      <c r="O60" s="65"/>
      <c r="P60" s="66"/>
      <c r="Q60" s="67"/>
      <c r="R60" s="68"/>
      <c r="S60" s="69"/>
      <c r="T60" s="65"/>
      <c r="U60" s="70"/>
      <c r="V60" s="71"/>
      <c r="W60" s="72"/>
      <c r="X60" s="73"/>
      <c r="Y60" s="74"/>
      <c r="Z60" s="72"/>
    </row>
    <row r="61" spans="1:26">
      <c r="A61" s="54"/>
      <c r="B61" s="54">
        <v>60</v>
      </c>
      <c r="C61" s="55"/>
      <c r="D61" s="56"/>
      <c r="E61" s="55"/>
      <c r="F61" s="57"/>
      <c r="G61" s="58"/>
      <c r="H61" s="59"/>
      <c r="I61" s="60"/>
      <c r="J61" s="61"/>
      <c r="K61" s="62"/>
      <c r="L61" s="60"/>
      <c r="M61" s="63"/>
      <c r="N61" s="64"/>
      <c r="O61" s="65"/>
      <c r="P61" s="66"/>
      <c r="Q61" s="67"/>
      <c r="R61" s="68"/>
      <c r="S61" s="69"/>
      <c r="T61" s="65"/>
      <c r="U61" s="70"/>
      <c r="V61" s="71"/>
      <c r="W61" s="72"/>
      <c r="X61" s="73"/>
      <c r="Y61" s="74"/>
      <c r="Z61" s="72"/>
    </row>
    <row r="62" spans="1:26">
      <c r="A62" s="54"/>
      <c r="B62" s="54">
        <v>61</v>
      </c>
      <c r="C62" s="55"/>
      <c r="D62" s="56"/>
      <c r="E62" s="55"/>
      <c r="F62" s="57"/>
      <c r="G62" s="58"/>
      <c r="H62" s="59"/>
      <c r="I62" s="60"/>
      <c r="J62" s="61"/>
      <c r="K62" s="62"/>
      <c r="L62" s="60"/>
      <c r="M62" s="63"/>
      <c r="N62" s="64"/>
      <c r="O62" s="65"/>
      <c r="P62" s="66"/>
      <c r="Q62" s="67"/>
      <c r="R62" s="68"/>
      <c r="S62" s="69"/>
      <c r="T62" s="65"/>
      <c r="U62" s="70"/>
      <c r="V62" s="71"/>
      <c r="W62" s="72"/>
      <c r="X62" s="73"/>
      <c r="Y62" s="74"/>
      <c r="Z62" s="72"/>
    </row>
    <row r="63" spans="1:26">
      <c r="A63" s="54"/>
      <c r="B63" s="54">
        <v>62</v>
      </c>
      <c r="C63" s="55"/>
      <c r="D63" s="56"/>
      <c r="E63" s="90"/>
      <c r="F63" s="57"/>
      <c r="G63" s="58"/>
      <c r="H63" s="59"/>
      <c r="I63" s="60"/>
      <c r="J63" s="61"/>
      <c r="K63" s="62"/>
      <c r="L63" s="60"/>
      <c r="M63" s="63"/>
      <c r="N63" s="64"/>
      <c r="O63" s="65"/>
      <c r="P63" s="66"/>
      <c r="Q63" s="67"/>
      <c r="R63" s="68"/>
      <c r="S63" s="69"/>
      <c r="T63" s="65"/>
      <c r="U63" s="70"/>
      <c r="V63" s="71"/>
      <c r="W63" s="72"/>
      <c r="X63" s="73"/>
      <c r="Y63" s="74"/>
      <c r="Z63" s="72"/>
    </row>
    <row r="64" spans="1:26">
      <c r="A64" s="54"/>
      <c r="B64" s="54">
        <v>63</v>
      </c>
      <c r="C64" s="75"/>
      <c r="D64" s="76"/>
      <c r="E64" s="75"/>
      <c r="F64" s="57"/>
      <c r="G64" s="78"/>
      <c r="H64" s="59"/>
      <c r="I64" s="80"/>
      <c r="J64" s="61"/>
      <c r="K64" s="62"/>
      <c r="L64" s="80"/>
      <c r="M64" s="63"/>
      <c r="N64" s="64"/>
      <c r="O64" s="65"/>
      <c r="P64" s="66"/>
      <c r="Q64" s="67"/>
      <c r="R64" s="68"/>
      <c r="S64" s="69"/>
      <c r="T64" s="124"/>
      <c r="U64" s="70"/>
      <c r="V64" s="71"/>
      <c r="W64" s="72"/>
      <c r="X64" s="73"/>
      <c r="Y64" s="74"/>
      <c r="Z64" s="72"/>
    </row>
    <row r="65" spans="1:26">
      <c r="A65" s="54"/>
      <c r="B65" s="54">
        <v>64</v>
      </c>
      <c r="C65" s="75"/>
      <c r="D65" s="76"/>
      <c r="E65" s="75"/>
      <c r="F65" s="57"/>
      <c r="G65" s="78"/>
      <c r="H65" s="79"/>
      <c r="I65" s="80"/>
      <c r="J65" s="61"/>
      <c r="K65" s="62"/>
      <c r="L65" s="80"/>
      <c r="M65" s="81"/>
      <c r="N65" s="64"/>
      <c r="O65" s="65"/>
      <c r="P65" s="66"/>
      <c r="Q65" s="67"/>
      <c r="R65" s="68"/>
      <c r="S65" s="69"/>
      <c r="T65" s="124"/>
      <c r="U65" s="70"/>
      <c r="V65" s="71"/>
      <c r="W65" s="72"/>
      <c r="X65" s="73"/>
      <c r="Y65" s="74"/>
      <c r="Z65" s="72"/>
    </row>
    <row r="66" spans="1:26">
      <c r="A66" s="54"/>
      <c r="B66" s="54">
        <v>65</v>
      </c>
      <c r="C66" s="55"/>
      <c r="D66" s="56"/>
      <c r="E66" s="55"/>
      <c r="F66" s="57"/>
      <c r="G66" s="58"/>
      <c r="H66" s="59"/>
      <c r="I66" s="60"/>
      <c r="J66" s="61"/>
      <c r="K66" s="62"/>
      <c r="L66" s="60"/>
      <c r="M66" s="63"/>
      <c r="N66" s="64"/>
      <c r="O66" s="65"/>
      <c r="P66" s="66"/>
      <c r="Q66" s="67"/>
      <c r="R66" s="68"/>
      <c r="S66" s="69"/>
      <c r="T66" s="65"/>
      <c r="U66" s="70"/>
      <c r="V66" s="71"/>
      <c r="W66" s="72"/>
      <c r="X66" s="73"/>
      <c r="Y66" s="74"/>
      <c r="Z66" s="72"/>
    </row>
    <row r="67" spans="1:26">
      <c r="A67" s="86"/>
      <c r="B67" s="54">
        <v>66</v>
      </c>
      <c r="C67" s="55"/>
      <c r="D67" s="56"/>
      <c r="E67" s="55"/>
      <c r="F67" s="57"/>
      <c r="G67" s="58"/>
      <c r="H67" s="59"/>
      <c r="I67" s="60"/>
      <c r="J67" s="61"/>
      <c r="K67" s="62"/>
      <c r="L67" s="60"/>
      <c r="M67" s="81"/>
      <c r="N67" s="64"/>
      <c r="O67" s="65"/>
      <c r="P67" s="66"/>
      <c r="Q67" s="67"/>
      <c r="R67" s="68"/>
      <c r="S67" s="69"/>
      <c r="T67" s="65"/>
      <c r="U67" s="70"/>
      <c r="V67" s="71"/>
      <c r="W67" s="72"/>
      <c r="X67" s="73"/>
      <c r="Y67" s="74"/>
      <c r="Z67" s="72"/>
    </row>
    <row r="68" spans="1:26">
      <c r="A68" s="54"/>
      <c r="B68" s="54">
        <v>67</v>
      </c>
      <c r="C68" s="75"/>
      <c r="D68" s="76"/>
      <c r="E68" s="75"/>
      <c r="F68" s="77"/>
      <c r="G68" s="78"/>
      <c r="H68" s="79"/>
      <c r="I68" s="80"/>
      <c r="J68" s="61"/>
      <c r="K68" s="62"/>
      <c r="L68" s="80"/>
      <c r="M68" s="81"/>
      <c r="N68" s="64"/>
      <c r="O68" s="65"/>
      <c r="P68" s="66"/>
      <c r="Q68" s="67"/>
      <c r="R68" s="68"/>
      <c r="S68" s="69"/>
      <c r="T68" s="124"/>
      <c r="U68" s="70"/>
      <c r="V68" s="71"/>
      <c r="W68" s="72"/>
      <c r="X68" s="73"/>
      <c r="Y68" s="74"/>
      <c r="Z68" s="72"/>
    </row>
    <row r="69" spans="1:26">
      <c r="A69" s="54"/>
      <c r="B69" s="54">
        <v>68</v>
      </c>
      <c r="C69" s="55"/>
      <c r="D69" s="56"/>
      <c r="E69" s="55"/>
      <c r="F69" s="57"/>
      <c r="G69" s="58"/>
      <c r="H69" s="59"/>
      <c r="I69" s="60"/>
      <c r="J69" s="61"/>
      <c r="K69" s="62"/>
      <c r="L69" s="60"/>
      <c r="M69" s="63"/>
      <c r="N69" s="64"/>
      <c r="O69" s="65"/>
      <c r="P69" s="66"/>
      <c r="Q69" s="67"/>
      <c r="R69" s="68"/>
      <c r="S69" s="69"/>
      <c r="T69" s="65"/>
      <c r="U69" s="70"/>
      <c r="V69" s="71"/>
      <c r="W69" s="72"/>
      <c r="X69" s="73"/>
      <c r="Y69" s="74"/>
      <c r="Z69" s="72"/>
    </row>
    <row r="70" spans="1:26">
      <c r="A70" s="54"/>
      <c r="B70" s="54">
        <v>69</v>
      </c>
      <c r="C70" s="75"/>
      <c r="D70" s="76"/>
      <c r="E70" s="75"/>
      <c r="F70" s="77"/>
      <c r="G70" s="78"/>
      <c r="H70" s="79"/>
      <c r="I70" s="80"/>
      <c r="J70" s="61"/>
      <c r="K70" s="62"/>
      <c r="L70" s="80"/>
      <c r="M70" s="81"/>
      <c r="N70" s="64"/>
      <c r="O70" s="65"/>
      <c r="P70" s="66"/>
      <c r="Q70" s="67"/>
      <c r="R70" s="68"/>
      <c r="S70" s="69"/>
      <c r="T70" s="124"/>
      <c r="U70" s="70"/>
      <c r="V70" s="71"/>
      <c r="W70" s="72"/>
      <c r="X70" s="73"/>
      <c r="Y70" s="74"/>
      <c r="Z70" s="72"/>
    </row>
    <row r="71" spans="1:26">
      <c r="A71" s="54"/>
      <c r="B71" s="54">
        <v>70</v>
      </c>
      <c r="C71" s="55"/>
      <c r="D71" s="56"/>
      <c r="E71" s="55"/>
      <c r="F71" s="57"/>
      <c r="G71" s="58"/>
      <c r="H71" s="59"/>
      <c r="I71" s="60"/>
      <c r="J71" s="61"/>
      <c r="K71" s="62"/>
      <c r="L71" s="60"/>
      <c r="M71" s="63"/>
      <c r="N71" s="64"/>
      <c r="O71" s="65"/>
      <c r="P71" s="66"/>
      <c r="Q71" s="67"/>
      <c r="R71" s="68"/>
      <c r="S71" s="69"/>
      <c r="T71" s="65"/>
      <c r="U71" s="70"/>
      <c r="V71" s="71"/>
      <c r="W71" s="72"/>
      <c r="X71" s="73"/>
      <c r="Y71" s="74"/>
      <c r="Z71" s="72"/>
    </row>
    <row r="72" spans="1:26">
      <c r="A72" s="94"/>
      <c r="B72" s="54">
        <v>71</v>
      </c>
      <c r="C72" s="95"/>
      <c r="D72" s="96"/>
      <c r="E72" s="97"/>
      <c r="F72" s="98"/>
      <c r="G72" s="99"/>
      <c r="H72" s="100"/>
      <c r="I72" s="101"/>
      <c r="J72" s="102"/>
      <c r="K72" s="103"/>
      <c r="L72" s="104"/>
      <c r="M72" s="105"/>
      <c r="N72" s="106"/>
      <c r="O72" s="107"/>
      <c r="P72" s="108"/>
      <c r="Q72" s="109"/>
      <c r="R72" s="110"/>
      <c r="S72" s="111"/>
      <c r="T72" s="107"/>
      <c r="U72" s="112"/>
      <c r="V72" s="113"/>
      <c r="W72" s="113"/>
      <c r="X72" s="114"/>
      <c r="Y72" s="115"/>
      <c r="Z72" s="113"/>
    </row>
    <row r="73" spans="1:26">
      <c r="A73" s="94"/>
      <c r="B73" s="54">
        <v>72</v>
      </c>
      <c r="C73" s="97"/>
      <c r="D73" s="96"/>
      <c r="E73" s="97"/>
      <c r="F73" s="98"/>
      <c r="G73" s="99"/>
      <c r="H73" s="100"/>
      <c r="I73" s="101"/>
      <c r="J73" s="102"/>
      <c r="K73" s="103"/>
      <c r="L73" s="101"/>
      <c r="M73" s="105"/>
      <c r="N73" s="106"/>
      <c r="O73" s="107"/>
      <c r="P73" s="108"/>
      <c r="Q73" s="109"/>
      <c r="R73" s="110"/>
      <c r="S73" s="111"/>
      <c r="T73" s="107"/>
      <c r="U73" s="112"/>
      <c r="V73" s="113"/>
      <c r="W73" s="113"/>
      <c r="X73" s="114"/>
      <c r="Y73" s="115"/>
      <c r="Z73" s="113"/>
    </row>
    <row r="74" spans="1:26">
      <c r="A74" s="94"/>
      <c r="B74" s="54">
        <v>73</v>
      </c>
      <c r="C74" s="97"/>
      <c r="D74" s="96"/>
      <c r="E74" s="97"/>
      <c r="F74" s="98"/>
      <c r="G74" s="99"/>
      <c r="H74" s="100"/>
      <c r="I74" s="101"/>
      <c r="J74" s="102"/>
      <c r="K74" s="103"/>
      <c r="L74" s="101"/>
      <c r="M74" s="105"/>
      <c r="N74" s="106"/>
      <c r="O74" s="107"/>
      <c r="P74" s="108"/>
      <c r="Q74" s="109"/>
      <c r="R74" s="110"/>
      <c r="S74" s="111"/>
      <c r="T74" s="107"/>
      <c r="U74" s="112"/>
      <c r="W74" s="113"/>
      <c r="X74" s="114"/>
      <c r="Y74" s="115"/>
    </row>
    <row r="75" spans="1:26">
      <c r="A75" s="94"/>
      <c r="B75" s="54">
        <v>74</v>
      </c>
      <c r="C75" s="95"/>
      <c r="D75" s="117"/>
      <c r="E75" s="95"/>
      <c r="F75" s="118"/>
      <c r="G75" s="119"/>
      <c r="H75" s="120"/>
      <c r="I75" s="104"/>
      <c r="J75" s="102"/>
      <c r="K75" s="103"/>
      <c r="L75" s="104"/>
      <c r="M75" s="121"/>
      <c r="N75" s="106"/>
      <c r="O75" s="107"/>
      <c r="P75" s="108"/>
      <c r="Q75" s="109"/>
      <c r="R75" s="110"/>
      <c r="S75" s="111"/>
      <c r="T75" s="125"/>
      <c r="U75" s="112"/>
      <c r="V75" s="113"/>
      <c r="W75" s="113"/>
      <c r="X75" s="114"/>
      <c r="Y75" s="115"/>
      <c r="Z75" s="113"/>
    </row>
    <row r="76" spans="1:26">
      <c r="A76" s="94"/>
      <c r="B76" s="54">
        <v>75</v>
      </c>
      <c r="C76" s="97"/>
      <c r="D76" s="96"/>
      <c r="E76" s="97"/>
      <c r="F76" s="98"/>
      <c r="G76" s="99"/>
      <c r="H76" s="100"/>
      <c r="I76" s="101"/>
      <c r="J76" s="102"/>
      <c r="K76" s="103"/>
      <c r="L76" s="101"/>
      <c r="M76" s="105"/>
      <c r="N76" s="106"/>
      <c r="O76" s="107"/>
      <c r="P76" s="108"/>
      <c r="Q76" s="109"/>
      <c r="R76" s="110"/>
      <c r="S76" s="111"/>
      <c r="T76" s="107"/>
      <c r="U76" s="112"/>
      <c r="V76" s="113"/>
      <c r="W76" s="113"/>
      <c r="X76" s="114"/>
      <c r="Y76" s="115"/>
      <c r="Z76" s="113"/>
    </row>
    <row r="77" spans="1:26">
      <c r="A77" s="94"/>
      <c r="B77" s="54">
        <v>76</v>
      </c>
      <c r="C77" s="95"/>
      <c r="D77" s="117"/>
      <c r="E77" s="95"/>
      <c r="F77" s="118"/>
      <c r="G77" s="119"/>
      <c r="H77" s="120"/>
      <c r="I77" s="104"/>
      <c r="J77" s="102"/>
      <c r="K77" s="103"/>
      <c r="L77" s="104"/>
      <c r="M77" s="121"/>
      <c r="N77" s="106"/>
      <c r="O77" s="107"/>
      <c r="P77" s="108"/>
      <c r="Q77" s="109"/>
      <c r="R77" s="110"/>
      <c r="S77" s="111"/>
      <c r="T77" s="125"/>
      <c r="U77" s="112"/>
      <c r="V77" s="113"/>
      <c r="W77" s="113"/>
      <c r="X77" s="114"/>
      <c r="Y77" s="115"/>
      <c r="Z77" s="113"/>
    </row>
    <row r="78" spans="1:26">
      <c r="A78" s="94"/>
      <c r="B78" s="54">
        <v>77</v>
      </c>
      <c r="C78" s="95"/>
      <c r="D78" s="117"/>
      <c r="E78" s="95"/>
      <c r="F78" s="118"/>
      <c r="G78" s="119"/>
      <c r="H78" s="120"/>
      <c r="I78" s="104"/>
      <c r="J78" s="102"/>
      <c r="K78" s="103"/>
      <c r="L78" s="104"/>
      <c r="M78" s="121"/>
      <c r="N78" s="106"/>
      <c r="O78" s="107"/>
      <c r="P78" s="108"/>
      <c r="Q78" s="109"/>
      <c r="R78" s="110"/>
      <c r="S78" s="111"/>
      <c r="T78" s="125"/>
      <c r="U78" s="112"/>
      <c r="V78" s="113"/>
      <c r="W78" s="113"/>
      <c r="X78" s="114"/>
      <c r="Y78" s="115"/>
      <c r="Z78" s="113"/>
    </row>
    <row r="79" spans="1:26">
      <c r="A79" s="94"/>
      <c r="B79" s="54">
        <v>78</v>
      </c>
      <c r="C79" s="97"/>
      <c r="D79" s="96"/>
      <c r="E79" s="97"/>
      <c r="F79" s="98"/>
      <c r="G79" s="99"/>
      <c r="H79" s="100"/>
      <c r="I79" s="101"/>
      <c r="J79" s="102"/>
      <c r="K79" s="103"/>
      <c r="L79" s="101"/>
      <c r="M79" s="105"/>
      <c r="N79" s="106"/>
      <c r="O79" s="107"/>
      <c r="P79" s="108"/>
      <c r="Q79" s="109"/>
      <c r="R79" s="110"/>
      <c r="S79" s="111"/>
      <c r="T79" s="107"/>
      <c r="U79" s="112"/>
      <c r="V79" s="113"/>
      <c r="W79" s="113"/>
      <c r="X79" s="114"/>
      <c r="Y79" s="115"/>
      <c r="Z79" s="113"/>
    </row>
    <row r="80" spans="1:26">
      <c r="A80" s="94"/>
      <c r="B80" s="54">
        <v>79</v>
      </c>
      <c r="C80" s="95"/>
      <c r="D80" s="117"/>
      <c r="E80" s="95"/>
      <c r="F80" s="118"/>
      <c r="G80" s="119"/>
      <c r="H80" s="120"/>
      <c r="I80" s="104"/>
      <c r="J80" s="102"/>
      <c r="K80" s="103"/>
      <c r="L80" s="104"/>
      <c r="M80" s="121"/>
      <c r="N80" s="106"/>
      <c r="O80" s="107"/>
      <c r="P80" s="108"/>
      <c r="Q80" s="109"/>
      <c r="R80" s="110"/>
      <c r="S80" s="111"/>
      <c r="T80" s="125"/>
      <c r="U80" s="112"/>
      <c r="V80" s="113"/>
      <c r="W80" s="113"/>
      <c r="X80" s="114"/>
      <c r="Y80" s="115"/>
      <c r="Z80" s="113"/>
    </row>
    <row r="81" spans="1:26">
      <c r="A81" s="94"/>
      <c r="B81" s="54">
        <v>80</v>
      </c>
      <c r="C81" s="97"/>
      <c r="D81" s="96"/>
      <c r="E81" s="97"/>
      <c r="F81" s="98"/>
      <c r="G81" s="99"/>
      <c r="H81" s="100"/>
      <c r="I81" s="101"/>
      <c r="J81" s="102"/>
      <c r="K81" s="103"/>
      <c r="L81" s="101"/>
      <c r="M81" s="105"/>
      <c r="N81" s="106"/>
      <c r="O81" s="107"/>
      <c r="P81" s="108"/>
      <c r="Q81" s="109"/>
      <c r="R81" s="110"/>
      <c r="S81" s="111"/>
      <c r="T81" s="107"/>
      <c r="U81" s="112"/>
      <c r="V81" s="113"/>
      <c r="W81" s="113"/>
      <c r="X81" s="114"/>
      <c r="Y81" s="115"/>
      <c r="Z81" s="11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Q86"/>
  <sheetViews>
    <sheetView workbookViewId="0">
      <selection activeCell="P2" sqref="P2:P11"/>
    </sheetView>
  </sheetViews>
  <sheetFormatPr defaultRowHeight="16.5"/>
  <cols>
    <col min="1" max="1" width="2.125" customWidth="1"/>
    <col min="2" max="2" width="2.75" customWidth="1"/>
    <col min="3" max="3" width="13.875" customWidth="1"/>
    <col min="4" max="4" width="9.25" customWidth="1"/>
    <col min="5" max="5" width="9.125" customWidth="1"/>
    <col min="6" max="6" width="7.625" customWidth="1"/>
    <col min="7" max="7" width="5.5" customWidth="1"/>
    <col min="8" max="8" width="9.125" customWidth="1"/>
    <col min="9" max="9" width="4.75" customWidth="1"/>
    <col min="10" max="10" width="1.75" customWidth="1"/>
    <col min="11" max="11" width="5.125" customWidth="1"/>
    <col min="12" max="12" width="4.75" customWidth="1"/>
    <col min="13" max="13" width="2.875" customWidth="1"/>
    <col min="14" max="14" width="6.375" customWidth="1"/>
    <col min="15" max="15" width="3.5" customWidth="1"/>
    <col min="16" max="16" width="8.25" customWidth="1"/>
    <col min="17" max="17" width="10.125" customWidth="1"/>
    <col min="18" max="18" width="13.25" customWidth="1"/>
    <col min="19" max="19" width="5.875" customWidth="1"/>
    <col min="20" max="20" width="8.75" customWidth="1"/>
    <col min="21" max="21" width="9" customWidth="1"/>
    <col min="23" max="23" width="2.125" customWidth="1"/>
    <col min="24" max="24" width="2.75" customWidth="1"/>
    <col min="25" max="25" width="13.875" customWidth="1"/>
    <col min="26" max="26" width="9.25" customWidth="1"/>
    <col min="27" max="27" width="9.125" customWidth="1"/>
    <col min="28" max="28" width="7.625" customWidth="1"/>
    <col min="29" max="29" width="5.5" customWidth="1"/>
    <col min="30" max="30" width="9.125" customWidth="1"/>
    <col min="31" max="31" width="4.75" customWidth="1"/>
    <col min="32" max="32" width="1.75" customWidth="1"/>
    <col min="33" max="33" width="5.125" customWidth="1"/>
    <col min="34" max="34" width="4.75" customWidth="1"/>
    <col min="35" max="35" width="2.875" customWidth="1"/>
    <col min="36" max="36" width="6.375" customWidth="1"/>
    <col min="37" max="37" width="3.5" customWidth="1"/>
    <col min="38" max="38" width="8.25" customWidth="1"/>
    <col min="39" max="39" width="10.125" customWidth="1"/>
    <col min="40" max="40" width="13.25" customWidth="1"/>
    <col min="41" max="41" width="5.875" customWidth="1"/>
    <col min="42" max="42" width="8.75" customWidth="1"/>
  </cols>
  <sheetData>
    <row r="1" spans="1:43">
      <c r="A1" s="10" t="s">
        <v>56</v>
      </c>
      <c r="B1" s="11" t="s">
        <v>57</v>
      </c>
      <c r="C1" s="11" t="s">
        <v>58</v>
      </c>
      <c r="D1" s="11" t="s">
        <v>59</v>
      </c>
      <c r="E1" s="27" t="s">
        <v>60</v>
      </c>
      <c r="F1" s="11" t="s">
        <v>61</v>
      </c>
      <c r="G1" s="28" t="s">
        <v>62</v>
      </c>
      <c r="H1" s="11" t="s">
        <v>63</v>
      </c>
      <c r="I1" s="29" t="s">
        <v>64</v>
      </c>
      <c r="J1" s="11" t="s">
        <v>65</v>
      </c>
      <c r="K1" s="30" t="s">
        <v>66</v>
      </c>
      <c r="L1" s="31" t="s">
        <v>67</v>
      </c>
      <c r="M1" s="15" t="s">
        <v>65</v>
      </c>
      <c r="N1" s="11" t="s">
        <v>68</v>
      </c>
      <c r="O1" s="15" t="str">
        <f ca="1">TEXT(NOW(),"mm/dd aaa hh:mm")</f>
        <v>12/29 월 14:47</v>
      </c>
      <c r="P1" s="27" t="s">
        <v>69</v>
      </c>
      <c r="Q1" s="27" t="s">
        <v>70</v>
      </c>
      <c r="R1" s="27" t="s">
        <v>0</v>
      </c>
      <c r="S1" s="32" t="s">
        <v>71</v>
      </c>
      <c r="T1" s="33" t="s">
        <v>72</v>
      </c>
      <c r="U1" s="27" t="s">
        <v>73</v>
      </c>
      <c r="V1" t="s">
        <v>288</v>
      </c>
      <c r="W1" s="10" t="s">
        <v>56</v>
      </c>
      <c r="X1" s="11" t="s">
        <v>57</v>
      </c>
      <c r="Y1" s="11" t="s">
        <v>58</v>
      </c>
      <c r="Z1" s="11" t="s">
        <v>59</v>
      </c>
      <c r="AA1" s="11" t="s">
        <v>60</v>
      </c>
      <c r="AB1" s="11" t="s">
        <v>61</v>
      </c>
      <c r="AC1" s="12" t="s">
        <v>62</v>
      </c>
      <c r="AD1" s="11" t="s">
        <v>63</v>
      </c>
      <c r="AE1" s="13" t="s">
        <v>64</v>
      </c>
      <c r="AF1" s="11" t="s">
        <v>65</v>
      </c>
      <c r="AG1" s="14" t="s">
        <v>66</v>
      </c>
      <c r="AH1" s="3" t="s">
        <v>67</v>
      </c>
      <c r="AI1" s="15" t="s">
        <v>65</v>
      </c>
      <c r="AJ1" s="11" t="s">
        <v>68</v>
      </c>
      <c r="AK1" s="15" t="str">
        <f ca="1">TEXT(NOW(),"mm/dd aaa hh:mm")</f>
        <v>12/29 월 14:47</v>
      </c>
      <c r="AL1" s="16" t="s">
        <v>69</v>
      </c>
      <c r="AM1" s="16" t="s">
        <v>70</v>
      </c>
      <c r="AN1" s="16" t="s">
        <v>0</v>
      </c>
      <c r="AO1" s="17" t="s">
        <v>71</v>
      </c>
      <c r="AP1" s="18" t="s">
        <v>72</v>
      </c>
      <c r="AQ1" s="16" t="s">
        <v>73</v>
      </c>
    </row>
    <row r="2" spans="1:43">
      <c r="A2" s="20"/>
      <c r="B2" s="21" t="s">
        <v>1109</v>
      </c>
      <c r="C2" s="16" t="s">
        <v>169</v>
      </c>
      <c r="D2" s="21"/>
      <c r="E2" s="21" t="s">
        <v>231</v>
      </c>
      <c r="F2" s="21"/>
      <c r="G2" s="23">
        <v>834</v>
      </c>
      <c r="H2" s="21"/>
      <c r="I2" s="24">
        <v>46012</v>
      </c>
      <c r="J2" s="21"/>
      <c r="K2" s="25">
        <v>46015</v>
      </c>
      <c r="L2" s="3" t="s">
        <v>1071</v>
      </c>
      <c r="M2" s="26"/>
      <c r="N2" s="21"/>
      <c r="O2" s="21" t="s">
        <v>1114</v>
      </c>
      <c r="P2" s="16" t="s">
        <v>169</v>
      </c>
      <c r="Q2" s="16" t="s">
        <v>170</v>
      </c>
      <c r="R2" s="16" t="s">
        <v>171</v>
      </c>
      <c r="S2" s="17">
        <v>834</v>
      </c>
      <c r="T2" s="18">
        <v>9174</v>
      </c>
      <c r="U2" s="16" t="s">
        <v>79</v>
      </c>
      <c r="W2" s="10"/>
      <c r="X2" s="11"/>
      <c r="Y2" s="16" t="s">
        <v>169</v>
      </c>
      <c r="Z2" s="11"/>
      <c r="AA2" s="11"/>
      <c r="AB2" s="11"/>
      <c r="AC2" s="12"/>
      <c r="AD2" s="11" t="s">
        <v>167</v>
      </c>
      <c r="AE2" s="13">
        <v>46012</v>
      </c>
      <c r="AF2" s="11">
        <v>1</v>
      </c>
      <c r="AG2" s="14">
        <v>46015</v>
      </c>
      <c r="AH2" s="3" t="s">
        <v>168</v>
      </c>
      <c r="AI2" s="19">
        <v>20</v>
      </c>
      <c r="AJ2" s="11" t="s">
        <v>167</v>
      </c>
      <c r="AK2" s="11"/>
      <c r="AL2" s="16" t="s">
        <v>169</v>
      </c>
      <c r="AM2" s="16" t="s">
        <v>170</v>
      </c>
      <c r="AN2" s="16" t="s">
        <v>171</v>
      </c>
      <c r="AO2" s="17">
        <v>834</v>
      </c>
      <c r="AP2" s="18">
        <v>9174</v>
      </c>
      <c r="AQ2" s="16" t="s">
        <v>79</v>
      </c>
    </row>
    <row r="3" spans="1:43">
      <c r="A3" s="10"/>
      <c r="B3" s="11" t="s">
        <v>1109</v>
      </c>
      <c r="C3" s="16" t="s">
        <v>172</v>
      </c>
      <c r="D3" s="11"/>
      <c r="E3" s="11" t="s">
        <v>1070</v>
      </c>
      <c r="F3" s="11"/>
      <c r="G3" s="12">
        <v>750</v>
      </c>
      <c r="H3" s="11"/>
      <c r="I3" s="13">
        <v>46012</v>
      </c>
      <c r="J3" s="11"/>
      <c r="K3" s="14">
        <v>46015</v>
      </c>
      <c r="L3" s="3" t="s">
        <v>1072</v>
      </c>
      <c r="M3" s="19"/>
      <c r="N3" s="11"/>
      <c r="O3" s="11" t="s">
        <v>1114</v>
      </c>
      <c r="P3" s="16" t="s">
        <v>172</v>
      </c>
      <c r="Q3" s="16" t="s">
        <v>170</v>
      </c>
      <c r="R3" s="16" t="s">
        <v>173</v>
      </c>
      <c r="S3" s="17">
        <v>750</v>
      </c>
      <c r="T3" s="18">
        <v>6000</v>
      </c>
      <c r="U3" s="16" t="s">
        <v>79</v>
      </c>
      <c r="W3" s="10"/>
      <c r="X3" s="11"/>
      <c r="Y3" s="16" t="s">
        <v>172</v>
      </c>
      <c r="Z3" s="11"/>
      <c r="AA3" s="11"/>
      <c r="AB3" s="11"/>
      <c r="AC3" s="12"/>
      <c r="AD3" s="11" t="s">
        <v>167</v>
      </c>
      <c r="AE3" s="13">
        <v>46012</v>
      </c>
      <c r="AF3" s="11">
        <v>1</v>
      </c>
      <c r="AG3" s="14"/>
      <c r="AH3" s="3"/>
      <c r="AI3" s="19">
        <v>20</v>
      </c>
      <c r="AJ3" s="11" t="s">
        <v>167</v>
      </c>
      <c r="AK3" s="11"/>
      <c r="AL3" s="16" t="s">
        <v>172</v>
      </c>
      <c r="AM3" s="16" t="s">
        <v>170</v>
      </c>
      <c r="AN3" s="16" t="s">
        <v>173</v>
      </c>
      <c r="AO3" s="17">
        <v>750</v>
      </c>
      <c r="AP3" s="18">
        <v>6000</v>
      </c>
      <c r="AQ3" s="16" t="s">
        <v>79</v>
      </c>
    </row>
    <row r="4" spans="1:43">
      <c r="A4" s="10"/>
      <c r="B4" s="11" t="s">
        <v>1109</v>
      </c>
      <c r="C4" s="16" t="s">
        <v>175</v>
      </c>
      <c r="D4" s="11"/>
      <c r="E4" s="11" t="s">
        <v>232</v>
      </c>
      <c r="F4" s="11"/>
      <c r="G4" s="12">
        <v>952</v>
      </c>
      <c r="H4" s="11"/>
      <c r="I4" s="13">
        <v>46012</v>
      </c>
      <c r="J4" s="11"/>
      <c r="K4" s="14">
        <v>46015</v>
      </c>
      <c r="L4" s="3" t="s">
        <v>1073</v>
      </c>
      <c r="M4" s="19"/>
      <c r="N4" s="11"/>
      <c r="O4" s="11" t="s">
        <v>1114</v>
      </c>
      <c r="P4" s="16" t="s">
        <v>175</v>
      </c>
      <c r="Q4" s="16" t="s">
        <v>170</v>
      </c>
      <c r="R4" s="16" t="s">
        <v>176</v>
      </c>
      <c r="S4" s="17">
        <v>952</v>
      </c>
      <c r="T4" s="18">
        <v>7616</v>
      </c>
      <c r="U4" s="16" t="s">
        <v>79</v>
      </c>
      <c r="W4" s="10"/>
      <c r="X4" s="11"/>
      <c r="Y4" s="16" t="s">
        <v>175</v>
      </c>
      <c r="Z4" s="11"/>
      <c r="AA4" s="11"/>
      <c r="AB4" s="11"/>
      <c r="AC4" s="12"/>
      <c r="AD4" s="11" t="s">
        <v>167</v>
      </c>
      <c r="AE4" s="13">
        <v>46012</v>
      </c>
      <c r="AF4" s="11">
        <v>1</v>
      </c>
      <c r="AG4" s="14">
        <v>46015</v>
      </c>
      <c r="AH4" s="3" t="s">
        <v>174</v>
      </c>
      <c r="AI4" s="19">
        <v>20</v>
      </c>
      <c r="AJ4" s="11" t="s">
        <v>167</v>
      </c>
      <c r="AK4" s="11"/>
      <c r="AL4" s="16" t="s">
        <v>175</v>
      </c>
      <c r="AM4" s="16" t="s">
        <v>170</v>
      </c>
      <c r="AN4" s="16" t="s">
        <v>176</v>
      </c>
      <c r="AO4" s="17">
        <v>952</v>
      </c>
      <c r="AP4" s="18">
        <v>7616</v>
      </c>
      <c r="AQ4" s="16" t="s">
        <v>79</v>
      </c>
    </row>
    <row r="5" spans="1:43">
      <c r="A5" s="10"/>
      <c r="B5" s="11" t="s">
        <v>1109</v>
      </c>
      <c r="C5" s="16" t="s">
        <v>115</v>
      </c>
      <c r="D5" s="11"/>
      <c r="E5" s="11" t="s">
        <v>113</v>
      </c>
      <c r="F5" s="11"/>
      <c r="G5" s="12">
        <v>1800</v>
      </c>
      <c r="H5" s="11"/>
      <c r="I5" s="13">
        <v>46015</v>
      </c>
      <c r="J5" s="11"/>
      <c r="K5" s="14">
        <v>46017</v>
      </c>
      <c r="L5" s="3" t="s">
        <v>1074</v>
      </c>
      <c r="M5" s="19"/>
      <c r="N5" s="11"/>
      <c r="O5" s="11" t="s">
        <v>1115</v>
      </c>
      <c r="P5" s="16" t="s">
        <v>115</v>
      </c>
      <c r="Q5" s="16" t="s">
        <v>177</v>
      </c>
      <c r="R5" s="16" t="s">
        <v>178</v>
      </c>
      <c r="S5" s="17">
        <v>1800</v>
      </c>
      <c r="T5" s="18">
        <v>21000</v>
      </c>
      <c r="U5" s="16" t="s">
        <v>179</v>
      </c>
      <c r="W5" s="10"/>
      <c r="X5" s="11"/>
      <c r="Y5" s="16" t="s">
        <v>115</v>
      </c>
      <c r="Z5" s="11"/>
      <c r="AA5" s="11"/>
      <c r="AB5" s="11"/>
      <c r="AC5" s="12"/>
      <c r="AD5" s="11" t="s">
        <v>57</v>
      </c>
      <c r="AE5" s="13">
        <v>46015</v>
      </c>
      <c r="AF5" s="11">
        <v>1</v>
      </c>
      <c r="AG5" s="14"/>
      <c r="AH5" s="3"/>
      <c r="AI5" s="19"/>
      <c r="AJ5" s="11"/>
      <c r="AK5" s="11"/>
      <c r="AL5" s="16" t="s">
        <v>115</v>
      </c>
      <c r="AM5" s="16" t="s">
        <v>177</v>
      </c>
      <c r="AN5" s="16" t="s">
        <v>178</v>
      </c>
      <c r="AO5" s="17">
        <v>1800</v>
      </c>
      <c r="AP5" s="18">
        <v>21000</v>
      </c>
      <c r="AQ5" s="16" t="s">
        <v>179</v>
      </c>
    </row>
    <row r="6" spans="1:43">
      <c r="A6" s="10"/>
      <c r="B6" s="11" t="s">
        <v>1109</v>
      </c>
      <c r="C6" s="16" t="s">
        <v>180</v>
      </c>
      <c r="D6" s="11" t="s">
        <v>479</v>
      </c>
      <c r="E6" s="11" t="s">
        <v>233</v>
      </c>
      <c r="F6" s="11" t="s">
        <v>479</v>
      </c>
      <c r="G6" s="12">
        <v>1100</v>
      </c>
      <c r="H6" s="11" t="s">
        <v>113</v>
      </c>
      <c r="I6" s="13">
        <v>46015</v>
      </c>
      <c r="J6" s="11"/>
      <c r="K6" s="14">
        <v>46017</v>
      </c>
      <c r="L6" s="3" t="s">
        <v>1102</v>
      </c>
      <c r="M6" s="19"/>
      <c r="N6" s="11"/>
      <c r="O6" s="11" t="s">
        <v>1116</v>
      </c>
      <c r="P6" s="16" t="s">
        <v>180</v>
      </c>
      <c r="Q6" s="16" t="s">
        <v>177</v>
      </c>
      <c r="R6" s="16" t="s">
        <v>181</v>
      </c>
      <c r="S6" s="17">
        <v>1100</v>
      </c>
      <c r="T6" s="18">
        <v>10520</v>
      </c>
      <c r="U6" s="16" t="s">
        <v>179</v>
      </c>
      <c r="W6" s="10"/>
      <c r="X6" s="11"/>
      <c r="Y6" s="16" t="s">
        <v>180</v>
      </c>
      <c r="Z6" s="11"/>
      <c r="AA6" s="11"/>
      <c r="AB6" s="11"/>
      <c r="AC6" s="12"/>
      <c r="AD6" s="11"/>
      <c r="AE6" s="13">
        <v>46015</v>
      </c>
      <c r="AF6" s="11">
        <v>1</v>
      </c>
      <c r="AG6" s="14"/>
      <c r="AH6" s="3"/>
      <c r="AI6" s="19">
        <v>20</v>
      </c>
      <c r="AJ6" s="11"/>
      <c r="AK6" s="11"/>
      <c r="AL6" s="16" t="s">
        <v>180</v>
      </c>
      <c r="AM6" s="16" t="s">
        <v>177</v>
      </c>
      <c r="AN6" s="16" t="s">
        <v>181</v>
      </c>
      <c r="AO6" s="17">
        <v>1100</v>
      </c>
      <c r="AP6" s="18">
        <v>10520</v>
      </c>
      <c r="AQ6" s="16" t="s">
        <v>179</v>
      </c>
    </row>
    <row r="7" spans="1:43">
      <c r="A7" s="10"/>
      <c r="B7" s="11" t="s">
        <v>1109</v>
      </c>
      <c r="C7" s="16" t="s">
        <v>183</v>
      </c>
      <c r="D7" s="11" t="s">
        <v>112</v>
      </c>
      <c r="E7" s="11" t="s">
        <v>234</v>
      </c>
      <c r="F7" s="11"/>
      <c r="G7" s="12">
        <v>1925</v>
      </c>
      <c r="H7" s="11" t="s">
        <v>233</v>
      </c>
      <c r="I7" s="13">
        <v>46008</v>
      </c>
      <c r="J7" s="11"/>
      <c r="K7" s="14">
        <v>46017</v>
      </c>
      <c r="L7" s="3" t="s">
        <v>1103</v>
      </c>
      <c r="M7" s="19"/>
      <c r="N7" s="11"/>
      <c r="O7" s="11" t="s">
        <v>1117</v>
      </c>
      <c r="P7" s="16" t="s">
        <v>183</v>
      </c>
      <c r="Q7" s="16" t="s">
        <v>184</v>
      </c>
      <c r="R7" s="16" t="s">
        <v>185</v>
      </c>
      <c r="S7" s="17">
        <v>1925</v>
      </c>
      <c r="T7" s="18">
        <v>24640</v>
      </c>
      <c r="U7" s="16" t="s">
        <v>186</v>
      </c>
      <c r="W7" s="10"/>
      <c r="X7" s="11"/>
      <c r="Y7" s="16" t="s">
        <v>183</v>
      </c>
      <c r="Z7" s="11"/>
      <c r="AA7" s="11"/>
      <c r="AB7" s="11"/>
      <c r="AC7" s="12"/>
      <c r="AD7" s="11" t="s">
        <v>182</v>
      </c>
      <c r="AE7" s="13">
        <v>46008</v>
      </c>
      <c r="AF7" s="11">
        <v>2</v>
      </c>
      <c r="AG7" s="14"/>
      <c r="AH7" s="3"/>
      <c r="AI7" s="19" t="s">
        <v>78</v>
      </c>
      <c r="AJ7" s="11" t="s">
        <v>182</v>
      </c>
      <c r="AK7" s="11"/>
      <c r="AL7" s="16" t="s">
        <v>183</v>
      </c>
      <c r="AM7" s="16" t="s">
        <v>184</v>
      </c>
      <c r="AN7" s="16" t="s">
        <v>185</v>
      </c>
      <c r="AO7" s="17">
        <v>1925</v>
      </c>
      <c r="AP7" s="18">
        <v>24640</v>
      </c>
      <c r="AQ7" s="16" t="s">
        <v>186</v>
      </c>
    </row>
    <row r="8" spans="1:43">
      <c r="A8" s="10"/>
      <c r="B8" s="11" t="s">
        <v>1109</v>
      </c>
      <c r="C8" s="16" t="s">
        <v>104</v>
      </c>
      <c r="D8" s="11" t="s">
        <v>116</v>
      </c>
      <c r="E8" s="11" t="s">
        <v>235</v>
      </c>
      <c r="F8" s="11"/>
      <c r="G8" s="173">
        <v>1875</v>
      </c>
      <c r="H8" s="11" t="s">
        <v>234</v>
      </c>
      <c r="I8" s="13">
        <v>46013</v>
      </c>
      <c r="J8" s="11"/>
      <c r="K8" s="14">
        <v>46016</v>
      </c>
      <c r="L8" s="3" t="s">
        <v>1104</v>
      </c>
      <c r="M8" s="19"/>
      <c r="N8" s="11"/>
      <c r="O8" s="11" t="s">
        <v>1118</v>
      </c>
      <c r="P8" s="16" t="s">
        <v>104</v>
      </c>
      <c r="Q8" s="16" t="s">
        <v>105</v>
      </c>
      <c r="R8" s="16" t="s">
        <v>106</v>
      </c>
      <c r="S8" s="17">
        <v>1875</v>
      </c>
      <c r="T8" s="18">
        <v>23197.5</v>
      </c>
      <c r="U8" s="16" t="s">
        <v>94</v>
      </c>
      <c r="W8" s="10"/>
      <c r="X8" s="11"/>
      <c r="Y8" s="16" t="s">
        <v>104</v>
      </c>
      <c r="Z8" s="11"/>
      <c r="AA8" s="11"/>
      <c r="AB8" s="11"/>
      <c r="AC8" s="12"/>
      <c r="AD8" s="11" t="s">
        <v>103</v>
      </c>
      <c r="AE8" s="13">
        <v>46013</v>
      </c>
      <c r="AF8" s="11">
        <v>2</v>
      </c>
      <c r="AG8" s="14"/>
      <c r="AH8" s="3"/>
      <c r="AI8" s="19"/>
      <c r="AJ8" s="11" t="s">
        <v>103</v>
      </c>
      <c r="AK8" s="11"/>
      <c r="AL8" s="16" t="s">
        <v>104</v>
      </c>
      <c r="AM8" s="16" t="s">
        <v>105</v>
      </c>
      <c r="AN8" s="16" t="s">
        <v>106</v>
      </c>
      <c r="AO8" s="17">
        <v>1875</v>
      </c>
      <c r="AP8" s="18">
        <v>23197.5</v>
      </c>
      <c r="AQ8" s="16" t="s">
        <v>94</v>
      </c>
    </row>
    <row r="9" spans="1:43">
      <c r="A9" s="10"/>
      <c r="B9" s="11" t="s">
        <v>1109</v>
      </c>
      <c r="C9" s="16" t="s">
        <v>187</v>
      </c>
      <c r="D9" s="11" t="s">
        <v>102</v>
      </c>
      <c r="E9" s="11" t="s">
        <v>236</v>
      </c>
      <c r="F9" s="11"/>
      <c r="G9" s="12">
        <v>1980</v>
      </c>
      <c r="H9" s="11"/>
      <c r="I9" s="13">
        <v>46016</v>
      </c>
      <c r="J9" s="11"/>
      <c r="K9" s="14">
        <v>46017</v>
      </c>
      <c r="L9" s="3" t="s">
        <v>1105</v>
      </c>
      <c r="M9" s="19"/>
      <c r="N9" s="11"/>
      <c r="O9" s="11" t="s">
        <v>1128</v>
      </c>
      <c r="P9" s="16" t="s">
        <v>187</v>
      </c>
      <c r="Q9" s="16" t="s">
        <v>188</v>
      </c>
      <c r="R9" s="16" t="s">
        <v>189</v>
      </c>
      <c r="S9" s="17">
        <v>1980</v>
      </c>
      <c r="T9" s="18">
        <v>24948</v>
      </c>
      <c r="U9" s="16" t="s">
        <v>237</v>
      </c>
      <c r="W9" s="10"/>
      <c r="X9" s="11"/>
      <c r="Y9" s="16" t="s">
        <v>187</v>
      </c>
      <c r="Z9" s="11"/>
      <c r="AA9" s="11"/>
      <c r="AB9" s="11"/>
      <c r="AC9" s="12"/>
      <c r="AD9" s="11" t="s">
        <v>57</v>
      </c>
      <c r="AE9" s="13">
        <v>46015</v>
      </c>
      <c r="AF9" s="11">
        <v>2</v>
      </c>
      <c r="AG9" s="14"/>
      <c r="AH9" s="3"/>
      <c r="AI9" s="19"/>
      <c r="AJ9" s="11"/>
      <c r="AK9" s="11"/>
      <c r="AL9" s="16" t="s">
        <v>187</v>
      </c>
      <c r="AM9" s="16" t="s">
        <v>188</v>
      </c>
      <c r="AN9" s="16" t="s">
        <v>189</v>
      </c>
      <c r="AO9" s="17">
        <v>1980</v>
      </c>
      <c r="AP9" s="18">
        <v>24948</v>
      </c>
      <c r="AQ9" s="16" t="s">
        <v>179</v>
      </c>
    </row>
    <row r="10" spans="1:43">
      <c r="A10" s="10"/>
      <c r="B10" s="11" t="s">
        <v>1109</v>
      </c>
      <c r="C10" s="16" t="s">
        <v>96</v>
      </c>
      <c r="D10" s="11" t="s">
        <v>102</v>
      </c>
      <c r="E10" s="11" t="s">
        <v>238</v>
      </c>
      <c r="F10" s="11"/>
      <c r="G10" s="12">
        <v>1958</v>
      </c>
      <c r="H10" s="11"/>
      <c r="I10" s="13">
        <v>46013</v>
      </c>
      <c r="J10" s="11"/>
      <c r="K10" s="14">
        <v>46015</v>
      </c>
      <c r="L10" s="3" t="s">
        <v>239</v>
      </c>
      <c r="M10" s="19"/>
      <c r="N10" s="11"/>
      <c r="O10" s="11" t="s">
        <v>1129</v>
      </c>
      <c r="P10" s="16" t="s">
        <v>96</v>
      </c>
      <c r="Q10" s="16" t="s">
        <v>92</v>
      </c>
      <c r="R10" s="16" t="s">
        <v>97</v>
      </c>
      <c r="S10" s="17">
        <v>1958</v>
      </c>
      <c r="T10" s="18">
        <v>24486.83</v>
      </c>
      <c r="U10" s="16" t="s">
        <v>94</v>
      </c>
      <c r="W10" s="10"/>
      <c r="X10" s="11"/>
      <c r="Y10" s="16" t="s">
        <v>96</v>
      </c>
      <c r="Z10" s="11"/>
      <c r="AA10" s="11"/>
      <c r="AB10" s="11"/>
      <c r="AC10" s="12"/>
      <c r="AD10" s="11" t="s">
        <v>90</v>
      </c>
      <c r="AE10" s="13">
        <v>46015</v>
      </c>
      <c r="AF10" s="11">
        <v>2</v>
      </c>
      <c r="AG10" s="14"/>
      <c r="AH10" s="3"/>
      <c r="AI10" s="19" t="s">
        <v>78</v>
      </c>
      <c r="AJ10" s="11" t="s">
        <v>90</v>
      </c>
      <c r="AK10" s="11"/>
      <c r="AL10" s="16" t="s">
        <v>96</v>
      </c>
      <c r="AM10" s="16" t="s">
        <v>92</v>
      </c>
      <c r="AN10" s="16" t="s">
        <v>97</v>
      </c>
      <c r="AO10" s="17">
        <v>1958</v>
      </c>
      <c r="AP10" s="18">
        <v>24486.83</v>
      </c>
      <c r="AQ10" s="16" t="s">
        <v>94</v>
      </c>
    </row>
    <row r="11" spans="1:43">
      <c r="A11" s="10"/>
      <c r="B11" s="11" t="s">
        <v>1109</v>
      </c>
      <c r="C11" s="16" t="s">
        <v>110</v>
      </c>
      <c r="D11" s="11" t="s">
        <v>89</v>
      </c>
      <c r="E11" s="11" t="s">
        <v>240</v>
      </c>
      <c r="F11" s="11"/>
      <c r="G11" s="12">
        <v>1953</v>
      </c>
      <c r="H11" s="11"/>
      <c r="I11" s="13">
        <v>46013</v>
      </c>
      <c r="J11" s="11"/>
      <c r="K11" s="14">
        <v>46015</v>
      </c>
      <c r="L11" s="3" t="s">
        <v>241</v>
      </c>
      <c r="M11" s="19"/>
      <c r="N11" s="11"/>
      <c r="O11" s="11" t="s">
        <v>1130</v>
      </c>
      <c r="P11" s="16" t="s">
        <v>110</v>
      </c>
      <c r="Q11" s="16" t="s">
        <v>92</v>
      </c>
      <c r="R11" s="16" t="s">
        <v>111</v>
      </c>
      <c r="S11" s="17">
        <v>1953</v>
      </c>
      <c r="T11" s="18">
        <v>24424.29</v>
      </c>
      <c r="U11" s="16" t="s">
        <v>94</v>
      </c>
      <c r="W11" s="10"/>
      <c r="X11" s="11"/>
      <c r="Y11" s="16" t="s">
        <v>110</v>
      </c>
      <c r="Z11" s="11"/>
      <c r="AA11" s="11"/>
      <c r="AB11" s="11"/>
      <c r="AC11" s="12"/>
      <c r="AD11" s="11" t="s">
        <v>90</v>
      </c>
      <c r="AE11" s="13">
        <v>46015</v>
      </c>
      <c r="AF11" s="11">
        <v>2</v>
      </c>
      <c r="AG11" s="14"/>
      <c r="AH11" s="3"/>
      <c r="AI11" s="19" t="s">
        <v>78</v>
      </c>
      <c r="AJ11" s="11" t="s">
        <v>90</v>
      </c>
      <c r="AK11" s="11"/>
      <c r="AL11" s="16" t="s">
        <v>110</v>
      </c>
      <c r="AM11" s="16" t="s">
        <v>92</v>
      </c>
      <c r="AN11" s="16" t="s">
        <v>111</v>
      </c>
      <c r="AO11" s="17">
        <v>1953</v>
      </c>
      <c r="AP11" s="18">
        <v>24424.29</v>
      </c>
      <c r="AQ11" s="16" t="s">
        <v>94</v>
      </c>
    </row>
    <row r="12" spans="1:43">
      <c r="A12" s="10"/>
      <c r="B12" s="11" t="s">
        <v>1109</v>
      </c>
      <c r="C12" s="16" t="s">
        <v>190</v>
      </c>
      <c r="D12" s="11" t="s">
        <v>89</v>
      </c>
      <c r="E12" s="11" t="s">
        <v>242</v>
      </c>
      <c r="F12" s="11"/>
      <c r="G12" s="12">
        <v>1925</v>
      </c>
      <c r="H12" s="11"/>
      <c r="I12" s="13">
        <v>46012</v>
      </c>
      <c r="J12" s="11"/>
      <c r="K12" s="14">
        <v>46017</v>
      </c>
      <c r="L12" s="3" t="s">
        <v>1076</v>
      </c>
      <c r="M12" s="19"/>
      <c r="N12" s="11"/>
      <c r="O12" s="11" t="s">
        <v>1131</v>
      </c>
      <c r="P12" s="16" t="s">
        <v>190</v>
      </c>
      <c r="Q12" s="16" t="s">
        <v>191</v>
      </c>
      <c r="R12" s="16" t="s">
        <v>1077</v>
      </c>
      <c r="S12" s="17">
        <v>1925</v>
      </c>
      <c r="T12" s="18">
        <v>24640</v>
      </c>
      <c r="U12" s="16" t="s">
        <v>79</v>
      </c>
      <c r="W12" s="20"/>
      <c r="X12" s="21"/>
      <c r="Y12" s="16" t="s">
        <v>190</v>
      </c>
      <c r="Z12" s="21"/>
      <c r="AA12" s="21"/>
      <c r="AB12" s="21"/>
      <c r="AC12" s="23"/>
      <c r="AD12" s="21" t="s">
        <v>182</v>
      </c>
      <c r="AE12" s="24">
        <v>46012</v>
      </c>
      <c r="AF12" s="21">
        <v>2</v>
      </c>
      <c r="AG12" s="25"/>
      <c r="AH12" s="22"/>
      <c r="AI12" s="26"/>
      <c r="AJ12" s="21" t="s">
        <v>182</v>
      </c>
      <c r="AK12" s="21"/>
      <c r="AL12" s="16" t="s">
        <v>190</v>
      </c>
      <c r="AM12" s="16" t="s">
        <v>191</v>
      </c>
      <c r="AN12" s="16" t="s">
        <v>192</v>
      </c>
      <c r="AO12" s="17">
        <v>1925</v>
      </c>
      <c r="AP12" s="18">
        <v>24640</v>
      </c>
      <c r="AQ12" s="16" t="s">
        <v>79</v>
      </c>
    </row>
    <row r="13" spans="1:43">
      <c r="A13" s="20"/>
      <c r="B13" s="21" t="s">
        <v>1109</v>
      </c>
      <c r="C13" s="16" t="s">
        <v>244</v>
      </c>
      <c r="D13" s="21" t="s">
        <v>117</v>
      </c>
      <c r="E13" s="21" t="s">
        <v>243</v>
      </c>
      <c r="F13" s="21"/>
      <c r="G13" s="23">
        <v>1568</v>
      </c>
      <c r="H13" s="21"/>
      <c r="I13" s="24">
        <v>46016</v>
      </c>
      <c r="J13" s="21"/>
      <c r="K13" s="25">
        <v>46017</v>
      </c>
      <c r="L13" s="3" t="s">
        <v>1106</v>
      </c>
      <c r="M13" s="26"/>
      <c r="N13" s="21"/>
      <c r="O13" s="21" t="s">
        <v>1132</v>
      </c>
      <c r="P13" s="16" t="s">
        <v>244</v>
      </c>
      <c r="Q13" s="16" t="s">
        <v>188</v>
      </c>
      <c r="R13" s="16" t="s">
        <v>1078</v>
      </c>
      <c r="S13" s="17">
        <v>1568</v>
      </c>
      <c r="T13" s="18">
        <v>24202.080000000002</v>
      </c>
      <c r="U13" s="16" t="s">
        <v>237</v>
      </c>
      <c r="W13" s="20"/>
      <c r="X13" s="21"/>
      <c r="Y13" s="16" t="s">
        <v>118</v>
      </c>
      <c r="Z13" s="21"/>
      <c r="AA13" s="21"/>
      <c r="AB13" s="21"/>
      <c r="AC13" s="23"/>
      <c r="AD13" s="21" t="s">
        <v>193</v>
      </c>
      <c r="AE13" s="24">
        <v>46016</v>
      </c>
      <c r="AF13" s="21">
        <v>2</v>
      </c>
      <c r="AG13" s="25"/>
      <c r="AH13" s="22"/>
      <c r="AI13" s="26"/>
      <c r="AJ13" s="21" t="s">
        <v>193</v>
      </c>
      <c r="AK13" s="21"/>
      <c r="AL13" s="16" t="s">
        <v>118</v>
      </c>
      <c r="AM13" s="16" t="s">
        <v>107</v>
      </c>
      <c r="AN13" s="16" t="s">
        <v>166</v>
      </c>
      <c r="AO13" s="17">
        <v>1568</v>
      </c>
      <c r="AP13" s="18">
        <v>24202.080000000002</v>
      </c>
      <c r="AQ13" s="16" t="s">
        <v>108</v>
      </c>
    </row>
    <row r="14" spans="1:43">
      <c r="A14" s="20"/>
      <c r="B14" s="21" t="s">
        <v>1109</v>
      </c>
      <c r="C14" s="22" t="s">
        <v>250</v>
      </c>
      <c r="D14" s="21" t="s">
        <v>84</v>
      </c>
      <c r="E14" s="21" t="s">
        <v>249</v>
      </c>
      <c r="F14" s="21"/>
      <c r="G14" s="23">
        <v>1960</v>
      </c>
      <c r="H14" s="21"/>
      <c r="I14" s="24">
        <v>46002</v>
      </c>
      <c r="J14" s="21"/>
      <c r="K14" s="25">
        <v>46017</v>
      </c>
      <c r="L14" s="3" t="s">
        <v>1107</v>
      </c>
      <c r="M14" s="26"/>
      <c r="N14" s="21"/>
      <c r="O14" s="21" t="s">
        <v>1119</v>
      </c>
      <c r="P14" s="16" t="s">
        <v>250</v>
      </c>
      <c r="Q14" s="16" t="s">
        <v>247</v>
      </c>
      <c r="R14" s="16" t="s">
        <v>1080</v>
      </c>
      <c r="S14" s="17">
        <v>1960</v>
      </c>
      <c r="T14" s="18">
        <v>24500</v>
      </c>
      <c r="U14" s="16" t="s">
        <v>248</v>
      </c>
      <c r="W14" s="20"/>
      <c r="X14" s="21"/>
      <c r="Y14" s="22" t="s">
        <v>119</v>
      </c>
      <c r="Z14" s="21"/>
      <c r="AA14" s="21"/>
      <c r="AB14" s="21"/>
      <c r="AC14" s="23"/>
      <c r="AD14" s="21" t="s">
        <v>194</v>
      </c>
      <c r="AE14" s="24">
        <v>46002</v>
      </c>
      <c r="AF14" s="21">
        <v>2</v>
      </c>
      <c r="AG14" s="25"/>
      <c r="AH14" s="22"/>
      <c r="AI14" s="26" t="s">
        <v>78</v>
      </c>
      <c r="AJ14" s="21" t="s">
        <v>194</v>
      </c>
      <c r="AK14" s="21"/>
      <c r="AL14" s="16"/>
      <c r="AM14" s="16" t="s">
        <v>195</v>
      </c>
      <c r="AN14" s="16"/>
      <c r="AO14" s="17"/>
      <c r="AP14" s="18"/>
      <c r="AQ14" s="16"/>
    </row>
    <row r="15" spans="1:43">
      <c r="A15" s="20"/>
      <c r="B15" s="21"/>
      <c r="C15" s="22" t="s">
        <v>253</v>
      </c>
      <c r="D15" s="21" t="s">
        <v>80</v>
      </c>
      <c r="E15" s="21" t="s">
        <v>252</v>
      </c>
      <c r="F15" s="21"/>
      <c r="G15" s="23">
        <v>1960</v>
      </c>
      <c r="H15" s="21"/>
      <c r="I15" s="24">
        <v>46006</v>
      </c>
      <c r="J15" s="21"/>
      <c r="K15" s="25"/>
      <c r="L15" s="3"/>
      <c r="M15" s="26"/>
      <c r="N15" s="21"/>
      <c r="O15" s="21" t="s">
        <v>1120</v>
      </c>
      <c r="P15" s="16" t="s">
        <v>253</v>
      </c>
      <c r="Q15" s="16" t="s">
        <v>196</v>
      </c>
      <c r="R15" s="16" t="s">
        <v>1083</v>
      </c>
      <c r="S15" s="17">
        <v>1960</v>
      </c>
      <c r="T15" s="18">
        <v>24500</v>
      </c>
      <c r="U15" s="16" t="s">
        <v>255</v>
      </c>
      <c r="W15" s="20"/>
      <c r="X15" s="21"/>
      <c r="Y15" s="22" t="s">
        <v>120</v>
      </c>
      <c r="Z15" s="21"/>
      <c r="AA15" s="21"/>
      <c r="AB15" s="21"/>
      <c r="AC15" s="23"/>
      <c r="AD15" s="21" t="s">
        <v>194</v>
      </c>
      <c r="AE15" s="24">
        <v>46003</v>
      </c>
      <c r="AF15" s="21">
        <v>2</v>
      </c>
      <c r="AG15" s="25"/>
      <c r="AH15" s="22"/>
      <c r="AI15" s="26" t="s">
        <v>78</v>
      </c>
      <c r="AJ15" s="21" t="s">
        <v>194</v>
      </c>
      <c r="AK15" s="21"/>
      <c r="AL15" s="16"/>
      <c r="AM15" s="16" t="s">
        <v>195</v>
      </c>
      <c r="AN15" s="16"/>
      <c r="AO15" s="17"/>
      <c r="AP15" s="18"/>
      <c r="AQ15" s="16"/>
    </row>
    <row r="16" spans="1:43">
      <c r="A16" s="20"/>
      <c r="B16" s="21" t="s">
        <v>1109</v>
      </c>
      <c r="C16" s="22" t="s">
        <v>257</v>
      </c>
      <c r="D16" s="21" t="s">
        <v>80</v>
      </c>
      <c r="E16" s="21" t="s">
        <v>256</v>
      </c>
      <c r="F16" s="21"/>
      <c r="G16" s="23">
        <v>1960</v>
      </c>
      <c r="H16" s="21"/>
      <c r="I16" s="24">
        <v>46006</v>
      </c>
      <c r="J16" s="21"/>
      <c r="K16" s="25">
        <v>46017</v>
      </c>
      <c r="L16" s="3" t="s">
        <v>1108</v>
      </c>
      <c r="M16" s="26"/>
      <c r="N16" s="21"/>
      <c r="O16" s="21" t="s">
        <v>1121</v>
      </c>
      <c r="P16" s="16" t="s">
        <v>257</v>
      </c>
      <c r="Q16" s="16" t="s">
        <v>196</v>
      </c>
      <c r="R16" s="16" t="s">
        <v>1085</v>
      </c>
      <c r="S16" s="17">
        <v>1960</v>
      </c>
      <c r="T16" s="18">
        <v>24500</v>
      </c>
      <c r="U16" s="16" t="s">
        <v>255</v>
      </c>
      <c r="W16" s="20"/>
      <c r="X16" s="21"/>
      <c r="Y16" s="22" t="s">
        <v>121</v>
      </c>
      <c r="Z16" s="21"/>
      <c r="AA16" s="21"/>
      <c r="AB16" s="21"/>
      <c r="AC16" s="23"/>
      <c r="AD16" s="21" t="s">
        <v>167</v>
      </c>
      <c r="AE16" s="24">
        <v>46007</v>
      </c>
      <c r="AF16" s="21">
        <v>2</v>
      </c>
      <c r="AG16" s="25"/>
      <c r="AH16" s="22"/>
      <c r="AI16" s="26" t="s">
        <v>78</v>
      </c>
      <c r="AJ16" s="21" t="s">
        <v>167</v>
      </c>
      <c r="AK16" s="21"/>
      <c r="AL16" s="16"/>
      <c r="AM16" s="16" t="s">
        <v>196</v>
      </c>
      <c r="AN16" s="16"/>
      <c r="AO16" s="17"/>
      <c r="AP16" s="18"/>
      <c r="AQ16" s="16"/>
    </row>
    <row r="17" spans="1:43">
      <c r="A17" s="20"/>
      <c r="B17" s="21" t="s">
        <v>1109</v>
      </c>
      <c r="C17" s="22" t="s">
        <v>605</v>
      </c>
      <c r="D17" s="21" t="s">
        <v>80</v>
      </c>
      <c r="E17" s="21" t="s">
        <v>259</v>
      </c>
      <c r="F17" s="21"/>
      <c r="G17" s="23">
        <v>1925</v>
      </c>
      <c r="H17" s="21"/>
      <c r="I17" s="24">
        <v>46008</v>
      </c>
      <c r="J17" s="21"/>
      <c r="K17" s="25"/>
      <c r="L17" s="3"/>
      <c r="M17" s="26"/>
      <c r="N17" s="21"/>
      <c r="O17" s="21" t="s">
        <v>1122</v>
      </c>
      <c r="P17" s="16" t="s">
        <v>605</v>
      </c>
      <c r="Q17" s="16" t="s">
        <v>197</v>
      </c>
      <c r="R17" s="16" t="s">
        <v>1086</v>
      </c>
      <c r="S17" s="17">
        <v>1925</v>
      </c>
      <c r="T17" s="18">
        <v>24640</v>
      </c>
      <c r="U17" s="16" t="s">
        <v>186</v>
      </c>
      <c r="W17" s="20"/>
      <c r="X17" s="21"/>
      <c r="Y17" s="22" t="s">
        <v>122</v>
      </c>
      <c r="Z17" s="21"/>
      <c r="AA17" s="21"/>
      <c r="AB17" s="21"/>
      <c r="AC17" s="23"/>
      <c r="AD17" s="21" t="s">
        <v>167</v>
      </c>
      <c r="AE17" s="24">
        <v>46007</v>
      </c>
      <c r="AF17" s="21">
        <v>2</v>
      </c>
      <c r="AG17" s="25"/>
      <c r="AH17" s="22"/>
      <c r="AI17" s="26" t="s">
        <v>78</v>
      </c>
      <c r="AJ17" s="21" t="s">
        <v>167</v>
      </c>
      <c r="AK17" s="21"/>
      <c r="AL17" s="16"/>
      <c r="AM17" s="16" t="s">
        <v>196</v>
      </c>
      <c r="AN17" s="16"/>
      <c r="AO17" s="17"/>
      <c r="AP17" s="18"/>
      <c r="AQ17" s="16"/>
    </row>
    <row r="18" spans="1:43">
      <c r="A18" s="20"/>
      <c r="B18" s="21"/>
      <c r="C18" s="22" t="s">
        <v>261</v>
      </c>
      <c r="D18" s="21" t="s">
        <v>117</v>
      </c>
      <c r="E18" s="21" t="s">
        <v>260</v>
      </c>
      <c r="F18" s="21"/>
      <c r="G18" s="23">
        <v>1917</v>
      </c>
      <c r="H18" s="21"/>
      <c r="I18" s="24">
        <v>46008</v>
      </c>
      <c r="J18" s="21"/>
      <c r="K18" s="25"/>
      <c r="L18" s="3"/>
      <c r="M18" s="26"/>
      <c r="N18" s="21"/>
      <c r="O18" s="21" t="s">
        <v>1123</v>
      </c>
      <c r="P18" s="16" t="s">
        <v>261</v>
      </c>
      <c r="Q18" s="16" t="s">
        <v>262</v>
      </c>
      <c r="R18" s="16" t="s">
        <v>1087</v>
      </c>
      <c r="S18" s="17">
        <v>1917</v>
      </c>
      <c r="T18" s="18">
        <v>23962.5</v>
      </c>
      <c r="U18" s="16" t="s">
        <v>186</v>
      </c>
      <c r="W18" s="20"/>
      <c r="X18" s="21"/>
      <c r="Y18" s="22" t="s">
        <v>123</v>
      </c>
      <c r="Z18" s="21"/>
      <c r="AA18" s="21"/>
      <c r="AB18" s="21"/>
      <c r="AC18" s="23"/>
      <c r="AD18" s="21" t="s">
        <v>75</v>
      </c>
      <c r="AE18" s="24">
        <v>46008</v>
      </c>
      <c r="AF18" s="21">
        <v>2</v>
      </c>
      <c r="AG18" s="25"/>
      <c r="AH18" s="22"/>
      <c r="AI18" s="26" t="s">
        <v>78</v>
      </c>
      <c r="AJ18" s="21" t="s">
        <v>75</v>
      </c>
      <c r="AK18" s="21"/>
      <c r="AL18" s="16"/>
      <c r="AM18" s="16" t="s">
        <v>197</v>
      </c>
      <c r="AN18" s="16"/>
      <c r="AO18" s="17"/>
      <c r="AP18" s="18"/>
      <c r="AQ18" s="16"/>
    </row>
    <row r="19" spans="1:43">
      <c r="A19" s="20"/>
      <c r="B19" s="21" t="s">
        <v>1109</v>
      </c>
      <c r="C19" s="22" t="s">
        <v>606</v>
      </c>
      <c r="D19" s="21" t="s">
        <v>80</v>
      </c>
      <c r="E19" s="21" t="s">
        <v>264</v>
      </c>
      <c r="F19" s="21"/>
      <c r="G19" s="23">
        <v>1947</v>
      </c>
      <c r="H19" s="21"/>
      <c r="I19" s="24">
        <v>46008</v>
      </c>
      <c r="J19" s="21"/>
      <c r="K19" s="25">
        <v>46010</v>
      </c>
      <c r="L19" s="3" t="s">
        <v>265</v>
      </c>
      <c r="M19" s="26"/>
      <c r="N19" s="21"/>
      <c r="O19" s="21" t="s">
        <v>1124</v>
      </c>
      <c r="P19" s="16" t="s">
        <v>606</v>
      </c>
      <c r="Q19" s="16" t="s">
        <v>200</v>
      </c>
      <c r="R19" s="16" t="s">
        <v>1088</v>
      </c>
      <c r="S19" s="17">
        <v>1947</v>
      </c>
      <c r="T19" s="18">
        <v>24313.34</v>
      </c>
      <c r="U19" s="16" t="s">
        <v>186</v>
      </c>
      <c r="W19" s="20"/>
      <c r="X19" s="21"/>
      <c r="Y19" s="22" t="s">
        <v>124</v>
      </c>
      <c r="Z19" s="21"/>
      <c r="AA19" s="21"/>
      <c r="AB19" s="21"/>
      <c r="AC19" s="23"/>
      <c r="AD19" s="21" t="s">
        <v>194</v>
      </c>
      <c r="AE19" s="24">
        <v>46008</v>
      </c>
      <c r="AF19" s="21">
        <v>2</v>
      </c>
      <c r="AG19" s="25"/>
      <c r="AH19" s="22"/>
      <c r="AI19" s="26" t="s">
        <v>78</v>
      </c>
      <c r="AJ19" s="21" t="s">
        <v>194</v>
      </c>
      <c r="AK19" s="21"/>
      <c r="AL19" s="16"/>
      <c r="AM19" s="16" t="s">
        <v>198</v>
      </c>
      <c r="AN19" s="16"/>
      <c r="AO19" s="17"/>
      <c r="AP19" s="18"/>
      <c r="AQ19" s="16"/>
    </row>
    <row r="20" spans="1:43">
      <c r="A20" s="20"/>
      <c r="B20" s="21" t="s">
        <v>1109</v>
      </c>
      <c r="C20" s="22" t="s">
        <v>548</v>
      </c>
      <c r="D20" s="21" t="s">
        <v>82</v>
      </c>
      <c r="E20" s="21" t="s">
        <v>266</v>
      </c>
      <c r="F20" s="21"/>
      <c r="G20" s="23">
        <v>1925</v>
      </c>
      <c r="H20" s="21"/>
      <c r="I20" s="24">
        <v>46012</v>
      </c>
      <c r="J20" s="21"/>
      <c r="K20" s="25"/>
      <c r="L20" s="3"/>
      <c r="M20" s="26"/>
      <c r="N20" s="21"/>
      <c r="O20" s="21" t="s">
        <v>1125</v>
      </c>
      <c r="P20" s="16" t="s">
        <v>548</v>
      </c>
      <c r="Q20" s="16" t="s">
        <v>191</v>
      </c>
      <c r="R20" s="16" t="s">
        <v>1089</v>
      </c>
      <c r="S20" s="17">
        <v>1925</v>
      </c>
      <c r="T20" s="18">
        <v>24640</v>
      </c>
      <c r="U20" s="16" t="s">
        <v>79</v>
      </c>
      <c r="W20" s="20"/>
      <c r="X20" s="21"/>
      <c r="Y20" s="22" t="s">
        <v>125</v>
      </c>
      <c r="Z20" s="21"/>
      <c r="AA20" s="21"/>
      <c r="AB20" s="21"/>
      <c r="AC20" s="23"/>
      <c r="AD20" s="21" t="s">
        <v>199</v>
      </c>
      <c r="AE20" s="24">
        <v>46008</v>
      </c>
      <c r="AF20" s="21">
        <v>2</v>
      </c>
      <c r="AG20" s="25"/>
      <c r="AH20" s="22"/>
      <c r="AI20" s="26"/>
      <c r="AJ20" s="21" t="s">
        <v>199</v>
      </c>
      <c r="AK20" s="21"/>
      <c r="AL20" s="16"/>
      <c r="AM20" s="16" t="s">
        <v>200</v>
      </c>
      <c r="AN20" s="16"/>
      <c r="AO20" s="17"/>
      <c r="AP20" s="18"/>
      <c r="AQ20" s="16"/>
    </row>
    <row r="21" spans="1:43">
      <c r="A21" s="20"/>
      <c r="B21" s="21" t="s">
        <v>1109</v>
      </c>
      <c r="C21" s="22" t="s">
        <v>268</v>
      </c>
      <c r="D21" s="21" t="s">
        <v>117</v>
      </c>
      <c r="E21" s="21" t="s">
        <v>267</v>
      </c>
      <c r="F21" s="21"/>
      <c r="G21" s="23">
        <v>1950</v>
      </c>
      <c r="H21" s="21"/>
      <c r="I21" s="24">
        <v>46016</v>
      </c>
      <c r="J21" s="21"/>
      <c r="K21" s="25"/>
      <c r="L21" s="3"/>
      <c r="M21" s="26"/>
      <c r="N21" s="21"/>
      <c r="O21" s="21" t="s">
        <v>1126</v>
      </c>
      <c r="P21" s="16" t="s">
        <v>268</v>
      </c>
      <c r="Q21" s="16" t="s">
        <v>269</v>
      </c>
      <c r="R21" s="16" t="s">
        <v>1090</v>
      </c>
      <c r="S21" s="17">
        <v>1950</v>
      </c>
      <c r="T21" s="18">
        <v>24219</v>
      </c>
      <c r="U21" s="16" t="s">
        <v>237</v>
      </c>
      <c r="W21" s="20"/>
      <c r="X21" s="21"/>
      <c r="Y21" s="22" t="s">
        <v>126</v>
      </c>
      <c r="Z21" s="21"/>
      <c r="AA21" s="21"/>
      <c r="AB21" s="21"/>
      <c r="AC21" s="23"/>
      <c r="AD21" s="21"/>
      <c r="AE21" s="24">
        <v>46012</v>
      </c>
      <c r="AF21" s="21">
        <v>2</v>
      </c>
      <c r="AG21" s="25"/>
      <c r="AH21" s="22"/>
      <c r="AI21" s="26" t="s">
        <v>78</v>
      </c>
      <c r="AJ21" s="21"/>
      <c r="AK21" s="21"/>
      <c r="AL21" s="16"/>
      <c r="AM21" s="16" t="s">
        <v>191</v>
      </c>
      <c r="AN21" s="16"/>
      <c r="AO21" s="17"/>
      <c r="AP21" s="18"/>
      <c r="AQ21" s="16"/>
    </row>
    <row r="22" spans="1:43">
      <c r="A22" s="20"/>
      <c r="B22" s="21"/>
      <c r="C22" s="22" t="s">
        <v>272</v>
      </c>
      <c r="D22" s="21" t="s">
        <v>127</v>
      </c>
      <c r="E22" s="21" t="s">
        <v>271</v>
      </c>
      <c r="F22" s="21"/>
      <c r="G22" s="23">
        <v>1960</v>
      </c>
      <c r="H22" s="21"/>
      <c r="I22" s="24">
        <v>46015</v>
      </c>
      <c r="J22" s="21"/>
      <c r="K22" s="25"/>
      <c r="L22" s="3"/>
      <c r="M22" s="26"/>
      <c r="N22" s="21"/>
      <c r="O22" s="21" t="s">
        <v>1120</v>
      </c>
      <c r="P22" s="16" t="s">
        <v>272</v>
      </c>
      <c r="Q22" s="16" t="s">
        <v>202</v>
      </c>
      <c r="R22" s="16" t="s">
        <v>1091</v>
      </c>
      <c r="S22" s="17">
        <v>1960</v>
      </c>
      <c r="T22" s="18">
        <v>24500</v>
      </c>
      <c r="U22" s="16" t="s">
        <v>179</v>
      </c>
      <c r="W22" s="10"/>
      <c r="X22" s="11"/>
      <c r="Y22" s="22" t="s">
        <v>128</v>
      </c>
      <c r="Z22" s="11"/>
      <c r="AA22" s="11"/>
      <c r="AB22" s="11"/>
      <c r="AC22" s="12"/>
      <c r="AD22" s="11" t="s">
        <v>194</v>
      </c>
      <c r="AE22" s="13">
        <v>46015</v>
      </c>
      <c r="AF22" s="11">
        <v>2</v>
      </c>
      <c r="AG22" s="14"/>
      <c r="AH22" s="3"/>
      <c r="AI22" s="19" t="s">
        <v>78</v>
      </c>
      <c r="AJ22" s="11" t="s">
        <v>194</v>
      </c>
      <c r="AK22" s="11"/>
      <c r="AL22" s="16"/>
      <c r="AM22" s="16" t="s">
        <v>201</v>
      </c>
      <c r="AN22" s="16"/>
      <c r="AO22" s="17"/>
      <c r="AP22" s="18"/>
      <c r="AQ22" s="16"/>
    </row>
    <row r="23" spans="1:43">
      <c r="A23" s="20"/>
      <c r="B23" s="21"/>
      <c r="C23" s="22" t="s">
        <v>607</v>
      </c>
      <c r="D23" s="21" t="s">
        <v>80</v>
      </c>
      <c r="E23" s="21" t="s">
        <v>274</v>
      </c>
      <c r="F23" s="21"/>
      <c r="G23" s="23">
        <v>800</v>
      </c>
      <c r="H23" s="21"/>
      <c r="I23" s="24">
        <v>46015</v>
      </c>
      <c r="J23" s="21"/>
      <c r="K23" s="25"/>
      <c r="L23" s="3"/>
      <c r="M23" s="26"/>
      <c r="N23" s="21"/>
      <c r="O23" s="21" t="s">
        <v>1127</v>
      </c>
      <c r="P23" s="16" t="s">
        <v>607</v>
      </c>
      <c r="Q23" s="16" t="s">
        <v>177</v>
      </c>
      <c r="R23" s="16" t="s">
        <v>1092</v>
      </c>
      <c r="S23" s="17">
        <v>800</v>
      </c>
      <c r="T23" s="18">
        <v>9360</v>
      </c>
      <c r="U23" s="16" t="s">
        <v>179</v>
      </c>
      <c r="W23" s="10"/>
      <c r="X23" s="11"/>
      <c r="Y23" s="22" t="s">
        <v>129</v>
      </c>
      <c r="Z23" s="11"/>
      <c r="AA23" s="11"/>
      <c r="AB23" s="11"/>
      <c r="AC23" s="12"/>
      <c r="AD23" s="11" t="s">
        <v>167</v>
      </c>
      <c r="AE23" s="13">
        <v>46015</v>
      </c>
      <c r="AF23" s="11">
        <v>2</v>
      </c>
      <c r="AG23" s="14"/>
      <c r="AH23" s="3"/>
      <c r="AI23" s="19" t="s">
        <v>78</v>
      </c>
      <c r="AJ23" s="11" t="s">
        <v>167</v>
      </c>
      <c r="AK23" s="11"/>
      <c r="AL23" s="16"/>
      <c r="AM23" s="16" t="s">
        <v>202</v>
      </c>
      <c r="AN23" s="16"/>
      <c r="AO23" s="17"/>
      <c r="AP23" s="18"/>
      <c r="AQ23" s="16"/>
    </row>
    <row r="24" spans="1:43">
      <c r="A24" s="20"/>
      <c r="B24" s="21"/>
      <c r="C24" s="22" t="s">
        <v>130</v>
      </c>
      <c r="D24" s="21" t="s">
        <v>76</v>
      </c>
      <c r="E24" s="21" t="s">
        <v>274</v>
      </c>
      <c r="F24" s="21"/>
      <c r="G24" s="23">
        <v>800</v>
      </c>
      <c r="H24" s="21"/>
      <c r="I24" s="24">
        <v>46015</v>
      </c>
      <c r="J24" s="21"/>
      <c r="K24" s="25"/>
      <c r="L24" s="3"/>
      <c r="M24" s="26"/>
      <c r="N24" s="21"/>
      <c r="O24" s="21" t="s">
        <v>290</v>
      </c>
      <c r="P24" s="16" t="s">
        <v>607</v>
      </c>
      <c r="Q24" s="16" t="s">
        <v>177</v>
      </c>
      <c r="R24" s="16" t="s">
        <v>608</v>
      </c>
      <c r="S24" s="17">
        <v>800</v>
      </c>
      <c r="T24" s="18">
        <v>9360</v>
      </c>
      <c r="U24" s="16" t="s">
        <v>179</v>
      </c>
      <c r="W24" s="10"/>
      <c r="X24" s="11"/>
      <c r="Y24" s="22" t="s">
        <v>130</v>
      </c>
      <c r="Z24" s="11"/>
      <c r="AA24" s="11"/>
      <c r="AB24" s="11"/>
      <c r="AC24" s="12"/>
      <c r="AD24" s="11"/>
      <c r="AE24" s="13">
        <v>46015</v>
      </c>
      <c r="AF24" s="11">
        <v>1</v>
      </c>
      <c r="AG24" s="14"/>
      <c r="AH24" s="3"/>
      <c r="AI24" s="19">
        <v>20</v>
      </c>
      <c r="AJ24" s="11"/>
      <c r="AK24" s="11"/>
      <c r="AL24" s="16"/>
      <c r="AM24" s="16"/>
      <c r="AN24" s="16"/>
      <c r="AO24" s="17"/>
      <c r="AP24" s="18"/>
      <c r="AQ24" s="16"/>
    </row>
    <row r="25" spans="1:43">
      <c r="A25" s="20"/>
      <c r="B25" s="21" t="s">
        <v>1109</v>
      </c>
      <c r="C25" s="22" t="s">
        <v>276</v>
      </c>
      <c r="D25" s="21" t="s">
        <v>131</v>
      </c>
      <c r="E25" s="21" t="s">
        <v>275</v>
      </c>
      <c r="F25" s="21"/>
      <c r="G25" s="23">
        <v>1950</v>
      </c>
      <c r="H25" s="21"/>
      <c r="I25" s="24">
        <v>46016</v>
      </c>
      <c r="J25" s="21"/>
      <c r="K25" s="25"/>
      <c r="L25" s="3"/>
      <c r="M25" s="26"/>
      <c r="N25" s="21"/>
      <c r="O25" s="21" t="s">
        <v>1133</v>
      </c>
      <c r="P25" s="16" t="s">
        <v>276</v>
      </c>
      <c r="Q25" s="16" t="s">
        <v>188</v>
      </c>
      <c r="R25" s="16" t="s">
        <v>1093</v>
      </c>
      <c r="S25" s="17">
        <v>1950</v>
      </c>
      <c r="T25" s="18">
        <v>24219</v>
      </c>
      <c r="U25" s="16" t="s">
        <v>237</v>
      </c>
      <c r="W25" s="10"/>
      <c r="X25" s="11"/>
      <c r="Y25" s="22" t="s">
        <v>132</v>
      </c>
      <c r="Z25" s="11"/>
      <c r="AA25" s="11"/>
      <c r="AB25" s="11"/>
      <c r="AC25" s="12"/>
      <c r="AD25" s="11"/>
      <c r="AE25" s="13">
        <v>46016</v>
      </c>
      <c r="AF25" s="11">
        <v>2</v>
      </c>
      <c r="AG25" s="14"/>
      <c r="AH25" s="3"/>
      <c r="AI25" s="19" t="s">
        <v>78</v>
      </c>
      <c r="AJ25" s="11"/>
      <c r="AK25" s="11"/>
      <c r="AL25" s="16"/>
      <c r="AM25" s="16"/>
      <c r="AN25" s="16"/>
      <c r="AO25" s="17"/>
      <c r="AP25" s="18"/>
      <c r="AQ25" s="16"/>
    </row>
    <row r="26" spans="1:43">
      <c r="A26" s="20"/>
      <c r="B26" s="21" t="s">
        <v>1109</v>
      </c>
      <c r="C26" s="22" t="s">
        <v>609</v>
      </c>
      <c r="D26" s="21" t="s">
        <v>133</v>
      </c>
      <c r="E26" s="21" t="s">
        <v>278</v>
      </c>
      <c r="F26" s="21"/>
      <c r="G26" s="23">
        <v>1950</v>
      </c>
      <c r="H26" s="21"/>
      <c r="I26" s="24">
        <v>46017</v>
      </c>
      <c r="J26" s="21"/>
      <c r="K26" s="25"/>
      <c r="L26" s="3"/>
      <c r="M26" s="26"/>
      <c r="N26" s="21"/>
      <c r="O26" s="21" t="s">
        <v>1134</v>
      </c>
      <c r="P26" s="16" t="s">
        <v>609</v>
      </c>
      <c r="Q26" s="16" t="s">
        <v>205</v>
      </c>
      <c r="R26" s="16" t="s">
        <v>1094</v>
      </c>
      <c r="S26" s="17">
        <v>1950</v>
      </c>
      <c r="T26" s="18">
        <v>24434</v>
      </c>
      <c r="U26" s="16" t="s">
        <v>279</v>
      </c>
      <c r="W26" s="10"/>
      <c r="X26" s="11"/>
      <c r="Y26" s="22" t="s">
        <v>134</v>
      </c>
      <c r="Z26" s="11"/>
      <c r="AA26" s="11"/>
      <c r="AB26" s="11"/>
      <c r="AC26" s="12"/>
      <c r="AD26" s="11"/>
      <c r="AE26" s="13">
        <v>46016</v>
      </c>
      <c r="AF26" s="11">
        <v>2</v>
      </c>
      <c r="AG26" s="14"/>
      <c r="AH26" s="3"/>
      <c r="AI26" s="19" t="s">
        <v>78</v>
      </c>
      <c r="AJ26" s="11"/>
      <c r="AK26" s="11"/>
      <c r="AL26" s="16"/>
      <c r="AM26" s="16"/>
      <c r="AN26" s="16"/>
      <c r="AO26" s="17"/>
      <c r="AP26" s="18"/>
      <c r="AQ26" s="16"/>
    </row>
    <row r="27" spans="1:43">
      <c r="A27" s="20"/>
      <c r="B27" s="21" t="s">
        <v>1109</v>
      </c>
      <c r="C27" s="22" t="s">
        <v>610</v>
      </c>
      <c r="D27" s="21" t="s">
        <v>116</v>
      </c>
      <c r="E27" s="21" t="s">
        <v>280</v>
      </c>
      <c r="F27" s="21"/>
      <c r="G27" s="23">
        <v>1950</v>
      </c>
      <c r="H27" s="21"/>
      <c r="I27" s="24">
        <v>46017</v>
      </c>
      <c r="J27" s="21"/>
      <c r="K27" s="25"/>
      <c r="L27" s="3"/>
      <c r="M27" s="26"/>
      <c r="N27" s="21"/>
      <c r="O27" s="21" t="s">
        <v>1134</v>
      </c>
      <c r="P27" s="16" t="s">
        <v>610</v>
      </c>
      <c r="Q27" s="16" t="s">
        <v>205</v>
      </c>
      <c r="R27" s="16" t="s">
        <v>1095</v>
      </c>
      <c r="S27" s="17">
        <v>1950</v>
      </c>
      <c r="T27" s="18">
        <v>24434</v>
      </c>
      <c r="U27" s="16" t="s">
        <v>279</v>
      </c>
      <c r="W27" s="10"/>
      <c r="X27" s="11"/>
      <c r="Y27" s="22" t="s">
        <v>135</v>
      </c>
      <c r="Z27" s="11"/>
      <c r="AA27" s="11"/>
      <c r="AB27" s="11"/>
      <c r="AC27" s="12"/>
      <c r="AD27" s="11" t="s">
        <v>75</v>
      </c>
      <c r="AE27" s="13">
        <v>46017</v>
      </c>
      <c r="AF27" s="11">
        <v>2</v>
      </c>
      <c r="AG27" s="14"/>
      <c r="AH27" s="3"/>
      <c r="AI27" s="19" t="s">
        <v>78</v>
      </c>
      <c r="AJ27" s="11" t="s">
        <v>75</v>
      </c>
      <c r="AK27" s="11"/>
      <c r="AL27" s="16"/>
      <c r="AM27" s="16" t="s">
        <v>205</v>
      </c>
      <c r="AN27" s="16"/>
      <c r="AO27" s="17"/>
      <c r="AP27" s="18"/>
      <c r="AQ27" s="16"/>
    </row>
    <row r="28" spans="1:43">
      <c r="A28" s="20"/>
      <c r="B28" s="21" t="s">
        <v>1109</v>
      </c>
      <c r="C28" s="22" t="s">
        <v>575</v>
      </c>
      <c r="D28" s="21" t="s">
        <v>116</v>
      </c>
      <c r="E28" s="21" t="s">
        <v>1096</v>
      </c>
      <c r="F28" s="21"/>
      <c r="G28" s="23">
        <v>2750</v>
      </c>
      <c r="H28" s="21"/>
      <c r="I28" s="24">
        <v>46019</v>
      </c>
      <c r="J28" s="21"/>
      <c r="K28" s="25"/>
      <c r="L28" s="3"/>
      <c r="M28" s="26"/>
      <c r="N28" s="21"/>
      <c r="O28" s="21" t="s">
        <v>1135</v>
      </c>
      <c r="P28" s="16" t="s">
        <v>575</v>
      </c>
      <c r="Q28" s="16" t="s">
        <v>206</v>
      </c>
      <c r="R28" s="16" t="s">
        <v>1097</v>
      </c>
      <c r="S28" s="17">
        <v>2750</v>
      </c>
      <c r="T28" s="18">
        <v>18425</v>
      </c>
      <c r="U28" s="16" t="s">
        <v>801</v>
      </c>
      <c r="W28" s="10"/>
      <c r="X28" s="11"/>
      <c r="Y28" s="22" t="s">
        <v>136</v>
      </c>
      <c r="Z28" s="11"/>
      <c r="AA28" s="11"/>
      <c r="AB28" s="11"/>
      <c r="AC28" s="12"/>
      <c r="AD28" s="11" t="s">
        <v>75</v>
      </c>
      <c r="AE28" s="13">
        <v>46017</v>
      </c>
      <c r="AF28" s="11">
        <v>2</v>
      </c>
      <c r="AG28" s="14"/>
      <c r="AH28" s="3"/>
      <c r="AI28" s="19" t="s">
        <v>78</v>
      </c>
      <c r="AJ28" s="11" t="s">
        <v>75</v>
      </c>
      <c r="AK28" s="11"/>
      <c r="AL28" s="16"/>
      <c r="AM28" s="16" t="s">
        <v>205</v>
      </c>
      <c r="AN28" s="16"/>
      <c r="AO28" s="17"/>
      <c r="AP28" s="18"/>
      <c r="AQ28" s="16"/>
    </row>
    <row r="29" spans="1:43">
      <c r="A29" s="20"/>
      <c r="B29" s="21"/>
      <c r="C29" s="22" t="s">
        <v>282</v>
      </c>
      <c r="D29" s="21" t="s">
        <v>137</v>
      </c>
      <c r="E29" s="21" t="s">
        <v>281</v>
      </c>
      <c r="F29" s="21"/>
      <c r="G29" s="23">
        <v>1872</v>
      </c>
      <c r="H29" s="21"/>
      <c r="I29" s="24">
        <v>46017</v>
      </c>
      <c r="J29" s="21"/>
      <c r="K29" s="25"/>
      <c r="L29" s="3"/>
      <c r="M29" s="26"/>
      <c r="N29" s="21"/>
      <c r="O29" s="21" t="s">
        <v>1136</v>
      </c>
      <c r="P29" s="16" t="s">
        <v>282</v>
      </c>
      <c r="Q29" s="16" t="s">
        <v>205</v>
      </c>
      <c r="R29" s="16" t="s">
        <v>1098</v>
      </c>
      <c r="S29" s="17">
        <v>1872</v>
      </c>
      <c r="T29" s="18">
        <v>23587.200000000001</v>
      </c>
      <c r="U29" s="16" t="s">
        <v>279</v>
      </c>
      <c r="W29" s="10"/>
      <c r="X29" s="11"/>
      <c r="Y29" s="22" t="s">
        <v>138</v>
      </c>
      <c r="Z29" s="11"/>
      <c r="AA29" s="11"/>
      <c r="AB29" s="11"/>
      <c r="AC29" s="12"/>
      <c r="AD29" s="11" t="s">
        <v>182</v>
      </c>
      <c r="AE29" s="13">
        <v>46017</v>
      </c>
      <c r="AF29" s="11">
        <v>1</v>
      </c>
      <c r="AG29" s="14"/>
      <c r="AH29" s="3"/>
      <c r="AI29" s="19" t="s">
        <v>78</v>
      </c>
      <c r="AJ29" s="11" t="s">
        <v>182</v>
      </c>
      <c r="AK29" s="11"/>
      <c r="AL29" s="16"/>
      <c r="AM29" s="16" t="s">
        <v>206</v>
      </c>
      <c r="AN29" s="16"/>
      <c r="AO29" s="17"/>
      <c r="AP29" s="18"/>
      <c r="AQ29" s="16"/>
    </row>
    <row r="30" spans="1:43">
      <c r="A30" s="20"/>
      <c r="B30" s="21" t="s">
        <v>1109</v>
      </c>
      <c r="C30" s="22" t="s">
        <v>802</v>
      </c>
      <c r="D30" s="21" t="s">
        <v>139</v>
      </c>
      <c r="E30" s="21" t="s">
        <v>1099</v>
      </c>
      <c r="F30" s="21"/>
      <c r="G30" s="23">
        <v>1980</v>
      </c>
      <c r="H30" s="21"/>
      <c r="I30" s="24">
        <v>46018</v>
      </c>
      <c r="J30" s="21"/>
      <c r="K30" s="25"/>
      <c r="L30" s="3"/>
      <c r="M30" s="26"/>
      <c r="N30" s="21"/>
      <c r="O30" s="21" t="s">
        <v>1137</v>
      </c>
      <c r="P30" s="16" t="s">
        <v>802</v>
      </c>
      <c r="Q30" s="16" t="s">
        <v>803</v>
      </c>
      <c r="R30" s="16" t="s">
        <v>1100</v>
      </c>
      <c r="S30" s="17">
        <v>1980</v>
      </c>
      <c r="T30" s="18">
        <v>24948</v>
      </c>
      <c r="U30" s="16" t="s">
        <v>804</v>
      </c>
      <c r="W30" s="10"/>
      <c r="X30" s="11"/>
      <c r="Y30" s="22" t="s">
        <v>140</v>
      </c>
      <c r="Z30" s="11"/>
      <c r="AA30" s="11"/>
      <c r="AB30" s="11"/>
      <c r="AC30" s="12"/>
      <c r="AD30" s="11" t="s">
        <v>207</v>
      </c>
      <c r="AE30" s="13">
        <v>46017</v>
      </c>
      <c r="AF30" s="11">
        <v>2</v>
      </c>
      <c r="AG30" s="14"/>
      <c r="AH30" s="3"/>
      <c r="AI30" s="19" t="s">
        <v>78</v>
      </c>
      <c r="AJ30" s="11" t="s">
        <v>207</v>
      </c>
      <c r="AK30" s="11"/>
      <c r="AL30" s="16"/>
      <c r="AM30" s="16" t="s">
        <v>205</v>
      </c>
      <c r="AN30" s="16"/>
      <c r="AO30" s="17"/>
      <c r="AP30" s="18"/>
      <c r="AQ30" s="16"/>
    </row>
    <row r="31" spans="1:43">
      <c r="A31" s="20"/>
      <c r="B31" s="21"/>
      <c r="C31" s="22" t="s">
        <v>578</v>
      </c>
      <c r="D31" s="21" t="s">
        <v>127</v>
      </c>
      <c r="E31" s="21" t="s">
        <v>1138</v>
      </c>
      <c r="F31" s="21"/>
      <c r="G31" s="23">
        <v>564</v>
      </c>
      <c r="H31" s="21"/>
      <c r="I31" s="24">
        <v>46019</v>
      </c>
      <c r="J31" s="21"/>
      <c r="K31" s="25"/>
      <c r="L31" s="3"/>
      <c r="M31" s="26"/>
      <c r="N31" s="21"/>
      <c r="O31" s="21" t="s">
        <v>1139</v>
      </c>
      <c r="P31" s="16" t="s">
        <v>578</v>
      </c>
      <c r="Q31" s="16" t="s">
        <v>208</v>
      </c>
      <c r="R31" s="16" t="s">
        <v>1110</v>
      </c>
      <c r="S31" s="17">
        <v>564</v>
      </c>
      <c r="T31" s="18">
        <v>3778.8</v>
      </c>
      <c r="U31" s="16" t="s">
        <v>801</v>
      </c>
      <c r="W31" s="10"/>
      <c r="X31" s="11"/>
      <c r="Y31" s="22" t="s">
        <v>141</v>
      </c>
      <c r="Z31" s="11"/>
      <c r="AA31" s="11"/>
      <c r="AB31" s="11"/>
      <c r="AC31" s="12"/>
      <c r="AD31" s="11"/>
      <c r="AE31" s="13">
        <v>46018</v>
      </c>
      <c r="AF31" s="11">
        <v>2</v>
      </c>
      <c r="AG31" s="14"/>
      <c r="AH31" s="3"/>
      <c r="AI31" s="19" t="s">
        <v>78</v>
      </c>
      <c r="AJ31" s="11"/>
      <c r="AK31" s="11"/>
      <c r="AL31" s="16"/>
      <c r="AM31" s="16"/>
      <c r="AN31" s="16"/>
      <c r="AO31" s="17"/>
      <c r="AP31" s="18"/>
      <c r="AQ31" s="16"/>
    </row>
    <row r="32" spans="1:43">
      <c r="A32" s="20"/>
      <c r="B32" s="21"/>
      <c r="C32" s="22" t="s">
        <v>142</v>
      </c>
      <c r="D32" s="21" t="s">
        <v>76</v>
      </c>
      <c r="E32" s="21"/>
      <c r="F32" s="21"/>
      <c r="G32" s="23"/>
      <c r="H32" s="21"/>
      <c r="I32" s="24"/>
      <c r="J32" s="21"/>
      <c r="K32" s="25"/>
      <c r="L32" s="3"/>
      <c r="M32" s="26"/>
      <c r="N32" s="21"/>
      <c r="O32" s="21"/>
      <c r="P32" s="16"/>
      <c r="Q32" s="16"/>
      <c r="R32" s="16"/>
      <c r="S32" s="17"/>
      <c r="T32" s="18"/>
      <c r="U32" s="16"/>
      <c r="W32" s="20"/>
      <c r="X32" s="21"/>
      <c r="Y32" s="22" t="s">
        <v>142</v>
      </c>
      <c r="Z32" s="21"/>
      <c r="AA32" s="21"/>
      <c r="AB32" s="21"/>
      <c r="AC32" s="23"/>
      <c r="AD32" s="21" t="s">
        <v>167</v>
      </c>
      <c r="AE32" s="24">
        <v>46019</v>
      </c>
      <c r="AF32" s="21">
        <v>1</v>
      </c>
      <c r="AG32" s="25"/>
      <c r="AH32" s="22"/>
      <c r="AI32" s="26">
        <v>20</v>
      </c>
      <c r="AJ32" s="21" t="s">
        <v>167</v>
      </c>
      <c r="AK32" s="21"/>
      <c r="AL32" s="16"/>
      <c r="AM32" s="16" t="s">
        <v>208</v>
      </c>
      <c r="AN32" s="16"/>
      <c r="AO32" s="17"/>
      <c r="AP32" s="18"/>
      <c r="AQ32" s="16"/>
    </row>
    <row r="33" spans="1:43">
      <c r="A33" s="20"/>
      <c r="B33" s="21"/>
      <c r="C33" s="22" t="s">
        <v>143</v>
      </c>
      <c r="D33" s="21" t="s">
        <v>127</v>
      </c>
      <c r="E33" s="21"/>
      <c r="F33" s="21"/>
      <c r="G33" s="23"/>
      <c r="H33" s="21"/>
      <c r="I33" s="24"/>
      <c r="J33" s="21"/>
      <c r="K33" s="25"/>
      <c r="L33" s="3"/>
      <c r="M33" s="26"/>
      <c r="N33" s="21"/>
      <c r="O33" s="21"/>
      <c r="P33" s="16"/>
      <c r="Q33" s="16"/>
      <c r="R33" s="16"/>
      <c r="S33" s="17"/>
      <c r="T33" s="18"/>
      <c r="U33" s="16"/>
      <c r="W33" s="20"/>
      <c r="X33" s="21"/>
      <c r="Y33" s="22" t="s">
        <v>143</v>
      </c>
      <c r="Z33" s="21"/>
      <c r="AA33" s="21"/>
      <c r="AB33" s="21"/>
      <c r="AC33" s="23"/>
      <c r="AD33" s="21"/>
      <c r="AE33" s="24">
        <v>46020</v>
      </c>
      <c r="AF33" s="21">
        <v>2</v>
      </c>
      <c r="AG33" s="25"/>
      <c r="AH33" s="22"/>
      <c r="AI33" s="26" t="s">
        <v>78</v>
      </c>
      <c r="AJ33" s="21"/>
      <c r="AK33" s="21"/>
      <c r="AL33" s="16"/>
      <c r="AM33" s="16" t="s">
        <v>210</v>
      </c>
      <c r="AN33" s="16"/>
      <c r="AO33" s="17"/>
      <c r="AP33" s="18"/>
      <c r="AQ33" s="16"/>
    </row>
    <row r="34" spans="1:43">
      <c r="A34" s="20"/>
      <c r="B34" s="21"/>
      <c r="C34" s="22" t="s">
        <v>144</v>
      </c>
      <c r="D34" s="21" t="s">
        <v>80</v>
      </c>
      <c r="E34" s="21"/>
      <c r="F34" s="21"/>
      <c r="G34" s="23"/>
      <c r="H34" s="21"/>
      <c r="I34" s="24"/>
      <c r="J34" s="21"/>
      <c r="K34" s="25"/>
      <c r="L34" s="3"/>
      <c r="M34" s="26"/>
      <c r="N34" s="21"/>
      <c r="O34" s="21"/>
      <c r="P34" s="16"/>
      <c r="Q34" s="16"/>
      <c r="R34" s="16"/>
      <c r="S34" s="17"/>
      <c r="T34" s="18"/>
      <c r="U34" s="16"/>
      <c r="W34" s="20"/>
      <c r="X34" s="21"/>
      <c r="Y34" s="22" t="s">
        <v>144</v>
      </c>
      <c r="Z34" s="21"/>
      <c r="AA34" s="21"/>
      <c r="AB34" s="21"/>
      <c r="AC34" s="23"/>
      <c r="AD34" s="21" t="s">
        <v>75</v>
      </c>
      <c r="AE34" s="24">
        <v>46020</v>
      </c>
      <c r="AF34" s="21">
        <v>2</v>
      </c>
      <c r="AG34" s="25"/>
      <c r="AH34" s="22"/>
      <c r="AI34" s="26" t="s">
        <v>78</v>
      </c>
      <c r="AJ34" s="21" t="s">
        <v>75</v>
      </c>
      <c r="AK34" s="21"/>
      <c r="AL34" s="16"/>
      <c r="AM34" s="16" t="s">
        <v>212</v>
      </c>
      <c r="AN34" s="16"/>
      <c r="AO34" s="17"/>
      <c r="AP34" s="18"/>
      <c r="AQ34" s="16"/>
    </row>
    <row r="35" spans="1:43">
      <c r="A35" s="20"/>
      <c r="B35" s="21"/>
      <c r="C35" s="22" t="s">
        <v>145</v>
      </c>
      <c r="D35" s="21" t="s">
        <v>133</v>
      </c>
      <c r="E35" s="21"/>
      <c r="F35" s="21"/>
      <c r="G35" s="23"/>
      <c r="H35" s="21"/>
      <c r="I35" s="24"/>
      <c r="J35" s="21"/>
      <c r="K35" s="25"/>
      <c r="L35" s="3"/>
      <c r="M35" s="26"/>
      <c r="N35" s="21"/>
      <c r="O35" s="21"/>
      <c r="P35" s="16"/>
      <c r="Q35" s="16"/>
      <c r="R35" s="16"/>
      <c r="S35" s="17"/>
      <c r="T35" s="18"/>
      <c r="U35" s="16"/>
      <c r="W35" s="20"/>
      <c r="X35" s="21"/>
      <c r="Y35" s="22" t="s">
        <v>145</v>
      </c>
      <c r="Z35" s="21"/>
      <c r="AA35" s="21"/>
      <c r="AB35" s="21"/>
      <c r="AC35" s="23"/>
      <c r="AD35" s="21"/>
      <c r="AE35" s="24">
        <v>46020</v>
      </c>
      <c r="AF35" s="21">
        <v>2</v>
      </c>
      <c r="AG35" s="25"/>
      <c r="AH35" s="22"/>
      <c r="AI35" s="26" t="s">
        <v>78</v>
      </c>
      <c r="AJ35" s="21"/>
      <c r="AK35" s="21"/>
      <c r="AL35" s="16"/>
      <c r="AM35" s="16"/>
      <c r="AN35" s="16"/>
      <c r="AO35" s="17"/>
      <c r="AP35" s="18"/>
      <c r="AQ35" s="16"/>
    </row>
    <row r="36" spans="1:43">
      <c r="A36" s="20"/>
      <c r="B36" s="21"/>
      <c r="C36" s="22" t="s">
        <v>146</v>
      </c>
      <c r="D36" s="21" t="s">
        <v>127</v>
      </c>
      <c r="E36" s="21"/>
      <c r="F36" s="21"/>
      <c r="G36" s="23"/>
      <c r="H36" s="21"/>
      <c r="I36" s="24"/>
      <c r="J36" s="21"/>
      <c r="K36" s="25"/>
      <c r="L36" s="3"/>
      <c r="M36" s="26"/>
      <c r="N36" s="21"/>
      <c r="O36" s="21"/>
      <c r="P36" s="16"/>
      <c r="Q36" s="16"/>
      <c r="R36" s="16"/>
      <c r="S36" s="17"/>
      <c r="T36" s="18"/>
      <c r="U36" s="16"/>
      <c r="W36" s="20"/>
      <c r="X36" s="21"/>
      <c r="Y36" s="22" t="s">
        <v>146</v>
      </c>
      <c r="Z36" s="21"/>
      <c r="AA36" s="21"/>
      <c r="AB36" s="21"/>
      <c r="AC36" s="23"/>
      <c r="AD36" s="21"/>
      <c r="AE36" s="24">
        <v>46022</v>
      </c>
      <c r="AF36" s="21">
        <v>2</v>
      </c>
      <c r="AG36" s="25"/>
      <c r="AH36" s="22"/>
      <c r="AI36" s="26" t="s">
        <v>78</v>
      </c>
      <c r="AJ36" s="21"/>
      <c r="AK36" s="21"/>
      <c r="AL36" s="16"/>
      <c r="AM36" s="16" t="s">
        <v>215</v>
      </c>
      <c r="AN36" s="16"/>
      <c r="AO36" s="17"/>
      <c r="AP36" s="18"/>
      <c r="AQ36" s="16"/>
    </row>
    <row r="37" spans="1:43">
      <c r="A37" s="20"/>
      <c r="B37" s="21"/>
      <c r="C37" s="22" t="s">
        <v>148</v>
      </c>
      <c r="D37" s="21" t="s">
        <v>147</v>
      </c>
      <c r="E37" s="21"/>
      <c r="F37" s="21"/>
      <c r="G37" s="23"/>
      <c r="H37" s="21"/>
      <c r="I37" s="24"/>
      <c r="J37" s="21"/>
      <c r="K37" s="25"/>
      <c r="L37" s="3"/>
      <c r="M37" s="26"/>
      <c r="N37" s="21"/>
      <c r="O37" s="21"/>
      <c r="P37" s="16"/>
      <c r="Q37" s="16"/>
      <c r="R37" s="16"/>
      <c r="S37" s="17"/>
      <c r="T37" s="18"/>
      <c r="U37" s="16"/>
      <c r="W37" s="20"/>
      <c r="X37" s="21"/>
      <c r="Y37" s="22" t="s">
        <v>148</v>
      </c>
      <c r="Z37" s="21"/>
      <c r="AA37" s="21"/>
      <c r="AB37" s="21"/>
      <c r="AC37" s="23"/>
      <c r="AD37" s="21"/>
      <c r="AE37" s="24">
        <v>46022</v>
      </c>
      <c r="AF37" s="21">
        <v>1</v>
      </c>
      <c r="AG37" s="25"/>
      <c r="AH37" s="22"/>
      <c r="AI37" s="26"/>
      <c r="AJ37" s="21"/>
      <c r="AK37" s="21"/>
      <c r="AL37" s="16"/>
      <c r="AM37" s="16" t="s">
        <v>216</v>
      </c>
      <c r="AN37" s="16"/>
      <c r="AO37" s="17"/>
      <c r="AP37" s="18"/>
      <c r="AQ37" s="16"/>
    </row>
    <row r="38" spans="1:43">
      <c r="A38" s="20"/>
      <c r="B38" s="21"/>
      <c r="C38" s="22" t="s">
        <v>149</v>
      </c>
      <c r="D38" s="21" t="s">
        <v>147</v>
      </c>
      <c r="E38" s="21"/>
      <c r="F38" s="21"/>
      <c r="G38" s="23"/>
      <c r="H38" s="21"/>
      <c r="I38" s="24"/>
      <c r="J38" s="21"/>
      <c r="K38" s="25"/>
      <c r="L38" s="3"/>
      <c r="M38" s="26"/>
      <c r="N38" s="21"/>
      <c r="O38" s="21"/>
      <c r="P38" s="16"/>
      <c r="Q38" s="16"/>
      <c r="R38" s="16"/>
      <c r="S38" s="17"/>
      <c r="T38" s="18"/>
      <c r="U38" s="16"/>
      <c r="W38" s="20"/>
      <c r="X38" s="21"/>
      <c r="Y38" s="22" t="s">
        <v>149</v>
      </c>
      <c r="Z38" s="21"/>
      <c r="AA38" s="21"/>
      <c r="AB38" s="21"/>
      <c r="AC38" s="23"/>
      <c r="AD38" s="21"/>
      <c r="AE38" s="24">
        <v>46022</v>
      </c>
      <c r="AF38" s="21">
        <v>1</v>
      </c>
      <c r="AG38" s="25"/>
      <c r="AH38" s="22"/>
      <c r="AI38" s="26" t="s">
        <v>78</v>
      </c>
      <c r="AJ38" s="21"/>
      <c r="AK38" s="21"/>
      <c r="AL38" s="16"/>
      <c r="AM38" s="16" t="s">
        <v>217</v>
      </c>
      <c r="AN38" s="16"/>
      <c r="AO38" s="17"/>
      <c r="AP38" s="18"/>
      <c r="AQ38" s="16"/>
    </row>
    <row r="39" spans="1:43">
      <c r="A39" s="20"/>
      <c r="B39" s="21"/>
      <c r="C39" s="22" t="s">
        <v>150</v>
      </c>
      <c r="D39" s="21" t="s">
        <v>80</v>
      </c>
      <c r="E39" s="21"/>
      <c r="F39" s="21"/>
      <c r="G39" s="23"/>
      <c r="H39" s="21"/>
      <c r="I39" s="24"/>
      <c r="J39" s="21"/>
      <c r="K39" s="25"/>
      <c r="L39" s="3"/>
      <c r="M39" s="26"/>
      <c r="N39" s="21"/>
      <c r="O39" s="21"/>
      <c r="P39" s="16"/>
      <c r="Q39" s="16"/>
      <c r="R39" s="16"/>
      <c r="S39" s="17"/>
      <c r="T39" s="18"/>
      <c r="U39" s="16"/>
      <c r="W39" s="20"/>
      <c r="X39" s="21"/>
      <c r="Y39" s="22" t="s">
        <v>150</v>
      </c>
      <c r="Z39" s="21"/>
      <c r="AA39" s="21"/>
      <c r="AB39" s="21"/>
      <c r="AC39" s="23"/>
      <c r="AD39" s="21"/>
      <c r="AE39" s="24">
        <v>46022</v>
      </c>
      <c r="AF39" s="21">
        <v>2</v>
      </c>
      <c r="AG39" s="25"/>
      <c r="AH39" s="22"/>
      <c r="AI39" s="26" t="s">
        <v>78</v>
      </c>
      <c r="AJ39" s="21"/>
      <c r="AK39" s="21"/>
      <c r="AL39" s="16"/>
      <c r="AM39" s="16"/>
      <c r="AN39" s="16"/>
      <c r="AO39" s="17"/>
      <c r="AP39" s="18"/>
      <c r="AQ39" s="16"/>
    </row>
    <row r="40" spans="1:43">
      <c r="A40" s="20"/>
      <c r="B40" s="21"/>
      <c r="C40" s="22" t="s">
        <v>151</v>
      </c>
      <c r="D40" s="21" t="s">
        <v>131</v>
      </c>
      <c r="E40" s="21"/>
      <c r="F40" s="21"/>
      <c r="G40" s="23"/>
      <c r="H40" s="21"/>
      <c r="I40" s="24"/>
      <c r="J40" s="21"/>
      <c r="K40" s="25"/>
      <c r="L40" s="3"/>
      <c r="M40" s="26"/>
      <c r="N40" s="21"/>
      <c r="O40" s="21"/>
      <c r="P40" s="16"/>
      <c r="Q40" s="16"/>
      <c r="R40" s="16"/>
      <c r="S40" s="17"/>
      <c r="T40" s="18"/>
      <c r="U40" s="16"/>
      <c r="W40" s="20"/>
      <c r="X40" s="21"/>
      <c r="Y40" s="22" t="s">
        <v>151</v>
      </c>
      <c r="Z40" s="21"/>
      <c r="AA40" s="21"/>
      <c r="AB40" s="21"/>
      <c r="AC40" s="23"/>
      <c r="AD40" s="21"/>
      <c r="AE40" s="24">
        <v>46022</v>
      </c>
      <c r="AF40" s="21">
        <v>2</v>
      </c>
      <c r="AG40" s="25"/>
      <c r="AH40" s="22"/>
      <c r="AI40" s="26"/>
      <c r="AJ40" s="21"/>
      <c r="AK40" s="21"/>
      <c r="AL40" s="16"/>
      <c r="AM40" s="16"/>
      <c r="AN40" s="16"/>
      <c r="AO40" s="17"/>
      <c r="AP40" s="18"/>
      <c r="AQ40" s="16"/>
    </row>
    <row r="41" spans="1:43">
      <c r="A41" s="20"/>
      <c r="B41" s="21"/>
      <c r="C41" s="22" t="s">
        <v>152</v>
      </c>
      <c r="D41" s="21" t="s">
        <v>131</v>
      </c>
      <c r="E41" s="21"/>
      <c r="F41" s="21"/>
      <c r="G41" s="23"/>
      <c r="H41" s="21"/>
      <c r="I41" s="24"/>
      <c r="J41" s="21"/>
      <c r="K41" s="25"/>
      <c r="L41" s="3"/>
      <c r="M41" s="26"/>
      <c r="N41" s="21"/>
      <c r="O41" s="21"/>
      <c r="P41" s="16"/>
      <c r="Q41" s="16"/>
      <c r="R41" s="16"/>
      <c r="S41" s="17"/>
      <c r="T41" s="18"/>
      <c r="U41" s="16"/>
      <c r="W41" s="20"/>
      <c r="X41" s="21"/>
      <c r="Y41" s="22" t="s">
        <v>152</v>
      </c>
      <c r="Z41" s="21"/>
      <c r="AA41" s="21"/>
      <c r="AB41" s="21"/>
      <c r="AC41" s="23"/>
      <c r="AD41" s="21"/>
      <c r="AE41" s="24">
        <v>46022</v>
      </c>
      <c r="AF41" s="21">
        <v>2</v>
      </c>
      <c r="AG41" s="25"/>
      <c r="AH41" s="22"/>
      <c r="AI41" s="26" t="s">
        <v>78</v>
      </c>
      <c r="AJ41" s="21"/>
      <c r="AK41" s="21"/>
      <c r="AL41" s="16"/>
      <c r="AM41" s="16"/>
      <c r="AN41" s="16"/>
      <c r="AO41" s="17"/>
      <c r="AP41" s="18"/>
      <c r="AQ41" s="16"/>
    </row>
    <row r="42" spans="1:43">
      <c r="A42" s="20"/>
      <c r="B42" s="21"/>
      <c r="C42" s="22" t="s">
        <v>153</v>
      </c>
      <c r="D42" s="21" t="s">
        <v>131</v>
      </c>
      <c r="E42" s="21"/>
      <c r="F42" s="21"/>
      <c r="G42" s="23"/>
      <c r="H42" s="21"/>
      <c r="I42" s="24"/>
      <c r="J42" s="21"/>
      <c r="K42" s="25"/>
      <c r="L42" s="3"/>
      <c r="M42" s="26"/>
      <c r="N42" s="21"/>
      <c r="O42" s="21"/>
      <c r="P42" s="16"/>
      <c r="Q42" s="16"/>
      <c r="R42" s="16"/>
      <c r="S42" s="17"/>
      <c r="T42" s="18"/>
      <c r="U42" s="16"/>
      <c r="W42" s="10"/>
      <c r="X42" s="11"/>
      <c r="Y42" s="22" t="s">
        <v>153</v>
      </c>
      <c r="Z42" s="11"/>
      <c r="AA42" s="11"/>
      <c r="AB42" s="11"/>
      <c r="AC42" s="12"/>
      <c r="AD42" s="11"/>
      <c r="AE42" s="13">
        <v>46022</v>
      </c>
      <c r="AF42" s="11">
        <v>2</v>
      </c>
      <c r="AG42" s="14"/>
      <c r="AH42" s="3"/>
      <c r="AI42" s="19" t="s">
        <v>78</v>
      </c>
      <c r="AJ42" s="11"/>
      <c r="AK42" s="11"/>
      <c r="AL42" s="16"/>
      <c r="AM42" s="16"/>
      <c r="AN42" s="16"/>
      <c r="AO42" s="17"/>
      <c r="AP42" s="18"/>
      <c r="AQ42" s="16"/>
    </row>
    <row r="43" spans="1:43">
      <c r="A43" s="20"/>
      <c r="B43" s="21"/>
      <c r="C43" s="22" t="s">
        <v>154</v>
      </c>
      <c r="D43" s="21" t="s">
        <v>131</v>
      </c>
      <c r="E43" s="21"/>
      <c r="F43" s="21"/>
      <c r="G43" s="23"/>
      <c r="H43" s="21"/>
      <c r="I43" s="24"/>
      <c r="J43" s="21"/>
      <c r="K43" s="25"/>
      <c r="L43" s="3"/>
      <c r="M43" s="26"/>
      <c r="N43" s="21"/>
      <c r="O43" s="21"/>
      <c r="P43" s="16"/>
      <c r="Q43" s="16"/>
      <c r="R43" s="16"/>
      <c r="S43" s="17"/>
      <c r="T43" s="18"/>
      <c r="U43" s="16"/>
      <c r="W43" s="10"/>
      <c r="X43" s="11"/>
      <c r="Y43" s="22" t="s">
        <v>154</v>
      </c>
      <c r="Z43" s="11"/>
      <c r="AA43" s="11"/>
      <c r="AB43" s="11"/>
      <c r="AC43" s="12"/>
      <c r="AD43" s="11"/>
      <c r="AE43" s="13">
        <v>46022</v>
      </c>
      <c r="AF43" s="11">
        <v>2</v>
      </c>
      <c r="AG43" s="14"/>
      <c r="AH43" s="3"/>
      <c r="AI43" s="19" t="s">
        <v>78</v>
      </c>
      <c r="AJ43" s="11"/>
      <c r="AK43" s="11"/>
      <c r="AL43" s="16"/>
      <c r="AM43" s="16"/>
      <c r="AN43" s="16"/>
      <c r="AO43" s="17"/>
      <c r="AP43" s="18"/>
      <c r="AQ43" s="16"/>
    </row>
    <row r="44" spans="1:43">
      <c r="A44" s="20"/>
      <c r="B44" s="21"/>
      <c r="C44" s="22" t="s">
        <v>155</v>
      </c>
      <c r="D44" s="21" t="s">
        <v>139</v>
      </c>
      <c r="E44" s="21"/>
      <c r="F44" s="21"/>
      <c r="G44" s="23"/>
      <c r="H44" s="21"/>
      <c r="I44" s="24"/>
      <c r="J44" s="21"/>
      <c r="K44" s="25"/>
      <c r="L44" s="3"/>
      <c r="M44" s="26"/>
      <c r="N44" s="21"/>
      <c r="O44" s="21"/>
      <c r="P44" s="16"/>
      <c r="Q44" s="16"/>
      <c r="R44" s="16"/>
      <c r="S44" s="17"/>
      <c r="T44" s="18"/>
      <c r="U44" s="16"/>
      <c r="W44" s="10"/>
      <c r="X44" s="11"/>
      <c r="Y44" s="22" t="s">
        <v>155</v>
      </c>
      <c r="Z44" s="11"/>
      <c r="AA44" s="11"/>
      <c r="AB44" s="11"/>
      <c r="AC44" s="12"/>
      <c r="AD44" s="11"/>
      <c r="AE44" s="13">
        <v>46022</v>
      </c>
      <c r="AF44" s="11">
        <v>2</v>
      </c>
      <c r="AG44" s="14"/>
      <c r="AH44" s="3"/>
      <c r="AI44" s="19" t="s">
        <v>78</v>
      </c>
      <c r="AJ44" s="11"/>
      <c r="AK44" s="11"/>
      <c r="AL44" s="16"/>
      <c r="AM44" s="16" t="s">
        <v>224</v>
      </c>
      <c r="AN44" s="16"/>
      <c r="AO44" s="17"/>
      <c r="AP44" s="18"/>
      <c r="AQ44" s="16"/>
    </row>
    <row r="45" spans="1:43">
      <c r="A45" s="20"/>
      <c r="B45" s="21"/>
      <c r="C45" s="22" t="s">
        <v>156</v>
      </c>
      <c r="D45" s="21" t="s">
        <v>139</v>
      </c>
      <c r="E45" s="21"/>
      <c r="F45" s="21"/>
      <c r="G45" s="23"/>
      <c r="H45" s="21"/>
      <c r="I45" s="24"/>
      <c r="J45" s="21"/>
      <c r="K45" s="25"/>
      <c r="L45" s="3"/>
      <c r="M45" s="26"/>
      <c r="N45" s="21"/>
      <c r="O45" s="21"/>
      <c r="P45" s="16"/>
      <c r="Q45" s="16"/>
      <c r="R45" s="16"/>
      <c r="S45" s="17"/>
      <c r="T45" s="18"/>
      <c r="U45" s="16"/>
      <c r="W45" s="10"/>
      <c r="X45" s="11"/>
      <c r="Y45" s="22" t="s">
        <v>156</v>
      </c>
      <c r="Z45" s="11"/>
      <c r="AA45" s="11"/>
      <c r="AB45" s="11"/>
      <c r="AC45" s="12"/>
      <c r="AD45" s="11"/>
      <c r="AE45" s="13">
        <v>46022</v>
      </c>
      <c r="AF45" s="11">
        <v>2</v>
      </c>
      <c r="AG45" s="14"/>
      <c r="AH45" s="3"/>
      <c r="AI45" s="19" t="s">
        <v>78</v>
      </c>
      <c r="AJ45" s="11"/>
      <c r="AK45" s="11"/>
      <c r="AL45" s="16"/>
      <c r="AM45" s="16" t="s">
        <v>226</v>
      </c>
      <c r="AN45" s="16"/>
      <c r="AO45" s="17"/>
      <c r="AP45" s="18"/>
      <c r="AQ45" s="16"/>
    </row>
    <row r="46" spans="1:43">
      <c r="A46" s="20"/>
      <c r="B46" s="21"/>
      <c r="C46" s="22" t="s">
        <v>157</v>
      </c>
      <c r="D46" s="21" t="s">
        <v>133</v>
      </c>
      <c r="E46" s="21"/>
      <c r="F46" s="21"/>
      <c r="G46" s="23"/>
      <c r="H46" s="21"/>
      <c r="I46" s="24"/>
      <c r="J46" s="21"/>
      <c r="K46" s="25"/>
      <c r="L46" s="3"/>
      <c r="M46" s="26"/>
      <c r="N46" s="21"/>
      <c r="O46" s="21"/>
      <c r="P46" s="16"/>
      <c r="Q46" s="16"/>
      <c r="R46" s="16"/>
      <c r="S46" s="17"/>
      <c r="T46" s="18"/>
      <c r="U46" s="16"/>
      <c r="W46" s="10"/>
      <c r="X46" s="11"/>
      <c r="Y46" s="22" t="s">
        <v>157</v>
      </c>
      <c r="Z46" s="11"/>
      <c r="AA46" s="11"/>
      <c r="AB46" s="11"/>
      <c r="AC46" s="12"/>
      <c r="AD46" s="11"/>
      <c r="AE46" s="13">
        <v>46024</v>
      </c>
      <c r="AF46" s="11">
        <v>2</v>
      </c>
      <c r="AG46" s="14"/>
      <c r="AH46" s="3"/>
      <c r="AI46" s="19" t="s">
        <v>78</v>
      </c>
      <c r="AJ46" s="11"/>
      <c r="AK46" s="11"/>
      <c r="AL46" s="16"/>
      <c r="AM46" s="16"/>
      <c r="AN46" s="16"/>
      <c r="AO46" s="17"/>
      <c r="AP46" s="18"/>
      <c r="AQ46" s="16"/>
    </row>
    <row r="47" spans="1:43">
      <c r="A47" s="20"/>
      <c r="B47" s="21"/>
      <c r="C47" s="22" t="s">
        <v>158</v>
      </c>
      <c r="D47" s="21" t="s">
        <v>139</v>
      </c>
      <c r="E47" s="21"/>
      <c r="F47" s="21"/>
      <c r="G47" s="23"/>
      <c r="H47" s="21"/>
      <c r="I47" s="24"/>
      <c r="J47" s="21"/>
      <c r="K47" s="25"/>
      <c r="L47" s="3"/>
      <c r="M47" s="26"/>
      <c r="N47" s="21"/>
      <c r="O47" s="21"/>
      <c r="P47" s="16"/>
      <c r="Q47" s="16"/>
      <c r="R47" s="16"/>
      <c r="S47" s="17"/>
      <c r="T47" s="18"/>
      <c r="U47" s="16"/>
      <c r="W47" s="10"/>
      <c r="X47" s="11"/>
      <c r="Y47" s="22" t="s">
        <v>158</v>
      </c>
      <c r="Z47" s="11"/>
      <c r="AA47" s="11"/>
      <c r="AB47" s="11"/>
      <c r="AC47" s="12"/>
      <c r="AD47" s="11"/>
      <c r="AE47" s="13" t="s">
        <v>78</v>
      </c>
      <c r="AF47" s="11">
        <v>2</v>
      </c>
      <c r="AG47" s="14"/>
      <c r="AH47" s="3"/>
      <c r="AI47" s="19" t="s">
        <v>78</v>
      </c>
      <c r="AJ47" s="11"/>
      <c r="AK47" s="11"/>
      <c r="AL47" s="16"/>
      <c r="AM47" s="16" t="s">
        <v>227</v>
      </c>
      <c r="AN47" s="16"/>
      <c r="AO47" s="17"/>
      <c r="AP47" s="18"/>
      <c r="AQ47" s="16"/>
    </row>
    <row r="48" spans="1:43">
      <c r="A48" s="20"/>
      <c r="B48" s="21"/>
      <c r="C48" s="22" t="s">
        <v>159</v>
      </c>
      <c r="D48" s="21" t="s">
        <v>139</v>
      </c>
      <c r="E48" s="21"/>
      <c r="F48" s="21"/>
      <c r="G48" s="23"/>
      <c r="H48" s="21"/>
      <c r="I48" s="24"/>
      <c r="J48" s="21"/>
      <c r="K48" s="25"/>
      <c r="L48" s="3"/>
      <c r="M48" s="26"/>
      <c r="N48" s="21"/>
      <c r="O48" s="21"/>
      <c r="P48" s="16"/>
      <c r="Q48" s="16"/>
      <c r="R48" s="16"/>
      <c r="S48" s="17"/>
      <c r="T48" s="18"/>
      <c r="U48" s="16"/>
      <c r="W48" s="10"/>
      <c r="X48" s="11"/>
      <c r="Y48" s="22" t="s">
        <v>159</v>
      </c>
      <c r="Z48" s="11"/>
      <c r="AA48" s="11"/>
      <c r="AB48" s="11"/>
      <c r="AC48" s="12"/>
      <c r="AD48" s="11"/>
      <c r="AE48" s="13" t="s">
        <v>78</v>
      </c>
      <c r="AF48" s="11">
        <v>2</v>
      </c>
      <c r="AG48" s="14"/>
      <c r="AH48" s="3"/>
      <c r="AI48" s="19" t="s">
        <v>78</v>
      </c>
      <c r="AJ48" s="11"/>
      <c r="AK48" s="11"/>
      <c r="AL48" s="16"/>
      <c r="AM48" s="16" t="s">
        <v>227</v>
      </c>
      <c r="AN48" s="16"/>
      <c r="AO48" s="17"/>
      <c r="AP48" s="18"/>
      <c r="AQ48" s="16"/>
    </row>
    <row r="49" spans="1:43">
      <c r="A49" s="20"/>
      <c r="B49" s="21"/>
      <c r="C49" s="22" t="s">
        <v>160</v>
      </c>
      <c r="D49" s="21" t="s">
        <v>80</v>
      </c>
      <c r="E49" s="21"/>
      <c r="F49" s="21"/>
      <c r="G49" s="23"/>
      <c r="H49" s="21"/>
      <c r="I49" s="24"/>
      <c r="J49" s="21"/>
      <c r="K49" s="25"/>
      <c r="L49" s="3"/>
      <c r="M49" s="26"/>
      <c r="N49" s="21"/>
      <c r="O49" s="21"/>
      <c r="P49" s="16"/>
      <c r="Q49" s="16"/>
      <c r="R49" s="16"/>
      <c r="S49" s="17"/>
      <c r="T49" s="18"/>
      <c r="U49" s="16"/>
      <c r="W49" s="10"/>
      <c r="X49" s="11"/>
      <c r="Y49" s="22" t="s">
        <v>160</v>
      </c>
      <c r="Z49" s="11"/>
      <c r="AA49" s="11"/>
      <c r="AB49" s="11"/>
      <c r="AC49" s="12"/>
      <c r="AD49" s="11"/>
      <c r="AE49" s="13" t="s">
        <v>229</v>
      </c>
      <c r="AF49" s="11">
        <v>2</v>
      </c>
      <c r="AG49" s="14"/>
      <c r="AH49" s="3"/>
      <c r="AI49" s="19"/>
      <c r="AJ49" s="11"/>
      <c r="AK49" s="11"/>
      <c r="AL49" s="16"/>
      <c r="AM49" s="16"/>
      <c r="AN49" s="16"/>
      <c r="AO49" s="17"/>
      <c r="AP49" s="18"/>
      <c r="AQ49" s="16"/>
    </row>
    <row r="50" spans="1:43">
      <c r="A50" s="20"/>
      <c r="B50" s="21" t="s">
        <v>74</v>
      </c>
      <c r="C50" s="22" t="s">
        <v>285</v>
      </c>
      <c r="D50" s="21" t="s">
        <v>80</v>
      </c>
      <c r="E50" s="21" t="s">
        <v>1111</v>
      </c>
      <c r="F50" s="21"/>
      <c r="G50" s="23">
        <v>1566</v>
      </c>
      <c r="H50" s="21"/>
      <c r="I50" s="24">
        <v>46006</v>
      </c>
      <c r="J50" s="21"/>
      <c r="K50" s="25">
        <v>46007</v>
      </c>
      <c r="L50" s="3" t="s">
        <v>1112</v>
      </c>
      <c r="M50" s="26"/>
      <c r="N50" s="21"/>
      <c r="O50" s="21" t="s">
        <v>602</v>
      </c>
      <c r="P50" s="16" t="s">
        <v>161</v>
      </c>
      <c r="Q50" s="16" t="s">
        <v>164</v>
      </c>
      <c r="R50" s="16" t="s">
        <v>1113</v>
      </c>
      <c r="S50" s="17">
        <v>1566</v>
      </c>
      <c r="T50" s="18">
        <v>24278.6</v>
      </c>
      <c r="U50" s="16" t="s">
        <v>1084</v>
      </c>
      <c r="W50" s="10"/>
      <c r="X50" s="11"/>
      <c r="Y50" s="22" t="s">
        <v>161</v>
      </c>
      <c r="Z50" s="11"/>
      <c r="AA50" s="11"/>
      <c r="AB50" s="11"/>
      <c r="AC50" s="12"/>
      <c r="AD50" s="11"/>
      <c r="AE50" s="13" t="s">
        <v>229</v>
      </c>
      <c r="AF50" s="11">
        <v>2</v>
      </c>
      <c r="AG50" s="14"/>
      <c r="AH50" s="3"/>
      <c r="AI50" s="19" t="s">
        <v>78</v>
      </c>
      <c r="AJ50" s="11"/>
      <c r="AK50" s="11"/>
      <c r="AL50" s="16"/>
      <c r="AM50" s="16"/>
      <c r="AN50" s="16"/>
      <c r="AO50" s="17"/>
      <c r="AP50" s="18"/>
      <c r="AQ50" s="16"/>
    </row>
    <row r="51" spans="1:43">
      <c r="A51" s="20"/>
      <c r="B51" s="21"/>
      <c r="C51" s="3"/>
      <c r="D51" s="21" t="s">
        <v>80</v>
      </c>
      <c r="E51" s="21" t="s">
        <v>284</v>
      </c>
      <c r="F51" s="21"/>
      <c r="G51" s="23">
        <v>1566</v>
      </c>
      <c r="H51" s="21"/>
      <c r="I51" s="24">
        <v>46006</v>
      </c>
      <c r="J51" s="21"/>
      <c r="K51" s="25">
        <v>46007</v>
      </c>
      <c r="L51" s="3" t="s">
        <v>287</v>
      </c>
      <c r="M51" s="26"/>
      <c r="N51" s="21"/>
      <c r="O51" s="21" t="s">
        <v>289</v>
      </c>
      <c r="P51" s="16" t="s">
        <v>285</v>
      </c>
      <c r="Q51" s="16" t="s">
        <v>196</v>
      </c>
      <c r="R51" s="16" t="s">
        <v>286</v>
      </c>
      <c r="S51" s="17">
        <v>1566</v>
      </c>
      <c r="T51" s="18">
        <v>24278.6</v>
      </c>
      <c r="U51" s="16" t="s">
        <v>255</v>
      </c>
      <c r="W51" s="10"/>
      <c r="X51" s="11"/>
      <c r="Y51" s="3"/>
      <c r="Z51" s="11"/>
      <c r="AA51" s="11"/>
      <c r="AB51" s="11"/>
      <c r="AC51" s="12"/>
      <c r="AD51" s="11"/>
      <c r="AE51" s="13"/>
      <c r="AF51" s="11">
        <v>2</v>
      </c>
      <c r="AG51" s="14"/>
      <c r="AH51" s="3"/>
      <c r="AI51" s="19" t="s">
        <v>78</v>
      </c>
      <c r="AJ51" s="11"/>
      <c r="AK51" s="11"/>
      <c r="AL51" s="16"/>
      <c r="AM51" s="16"/>
      <c r="AN51" s="16"/>
      <c r="AO51" s="17"/>
      <c r="AP51" s="18"/>
      <c r="AQ51" s="16"/>
    </row>
    <row r="52" spans="1:43">
      <c r="C52" s="3"/>
      <c r="W52" s="10"/>
      <c r="X52" s="11"/>
      <c r="Y52" s="3"/>
      <c r="Z52" s="11"/>
      <c r="AA52" s="11"/>
      <c r="AB52" s="11"/>
      <c r="AC52" s="12"/>
      <c r="AD52" s="11"/>
      <c r="AE52" s="13"/>
      <c r="AF52" s="11"/>
      <c r="AG52" s="14"/>
      <c r="AH52" s="3"/>
      <c r="AI52" s="19"/>
      <c r="AJ52" s="11"/>
      <c r="AK52" s="11"/>
      <c r="AL52" s="16"/>
      <c r="AM52" s="16"/>
      <c r="AN52" s="16"/>
      <c r="AO52" s="17"/>
      <c r="AP52" s="18"/>
      <c r="AQ52" s="16"/>
    </row>
    <row r="53" spans="1:43">
      <c r="C53" s="3"/>
      <c r="W53" s="10"/>
      <c r="X53" s="11"/>
      <c r="Y53" s="3"/>
      <c r="Z53" s="11"/>
      <c r="AA53" s="11"/>
      <c r="AB53" s="11"/>
      <c r="AC53" s="12"/>
      <c r="AD53" s="11"/>
      <c r="AE53" s="13"/>
      <c r="AF53" s="11"/>
      <c r="AG53" s="14"/>
      <c r="AH53" s="3"/>
      <c r="AI53" s="19"/>
      <c r="AJ53" s="11"/>
      <c r="AK53" s="11"/>
      <c r="AL53" s="16"/>
      <c r="AM53" s="16"/>
      <c r="AN53" s="16"/>
      <c r="AO53" s="17"/>
      <c r="AP53" s="18"/>
      <c r="AQ53" s="16"/>
    </row>
    <row r="54" spans="1:43">
      <c r="C54" s="3"/>
      <c r="W54" s="10"/>
      <c r="X54" s="11"/>
      <c r="Y54" s="3"/>
      <c r="Z54" s="11"/>
      <c r="AA54" s="11"/>
      <c r="AB54" s="11"/>
      <c r="AC54" s="12"/>
      <c r="AD54" s="11"/>
      <c r="AE54" s="13"/>
      <c r="AF54" s="11"/>
      <c r="AG54" s="14"/>
      <c r="AH54" s="3"/>
      <c r="AI54" s="19"/>
      <c r="AJ54" s="11"/>
      <c r="AK54" s="11"/>
      <c r="AL54" s="16"/>
      <c r="AM54" s="16"/>
      <c r="AN54" s="16"/>
      <c r="AO54" s="17"/>
      <c r="AP54" s="18"/>
      <c r="AQ54" s="16"/>
    </row>
    <row r="55" spans="1:43">
      <c r="C55" s="3"/>
      <c r="W55" s="10"/>
      <c r="X55" s="11"/>
      <c r="Y55" s="3"/>
      <c r="Z55" s="11"/>
      <c r="AA55" s="11"/>
      <c r="AB55" s="11"/>
      <c r="AC55" s="12"/>
      <c r="AD55" s="11"/>
      <c r="AE55" s="13"/>
      <c r="AF55" s="11"/>
      <c r="AG55" s="14"/>
      <c r="AH55" s="3"/>
      <c r="AI55" s="19"/>
      <c r="AJ55" s="11"/>
      <c r="AK55" s="11"/>
      <c r="AL55" s="16"/>
      <c r="AM55" s="16"/>
      <c r="AN55" s="16"/>
      <c r="AO55" s="17"/>
      <c r="AP55" s="18"/>
      <c r="AQ55" s="16"/>
    </row>
    <row r="56" spans="1:43">
      <c r="C56" s="3"/>
      <c r="W56" s="10"/>
      <c r="X56" s="11"/>
      <c r="Y56" s="3"/>
      <c r="Z56" s="11"/>
      <c r="AA56" s="11"/>
      <c r="AB56" s="11"/>
      <c r="AC56" s="12"/>
      <c r="AD56" s="11"/>
      <c r="AE56" s="13"/>
      <c r="AF56" s="11"/>
      <c r="AG56" s="14"/>
      <c r="AH56" s="3"/>
      <c r="AI56" s="19"/>
      <c r="AJ56" s="11"/>
      <c r="AK56" s="11"/>
      <c r="AL56" s="16"/>
      <c r="AM56" s="16"/>
      <c r="AN56" s="16"/>
      <c r="AO56" s="17"/>
      <c r="AP56" s="18"/>
      <c r="AQ56" s="16"/>
    </row>
    <row r="57" spans="1:43">
      <c r="C57" s="3"/>
      <c r="W57" s="10"/>
      <c r="X57" s="11"/>
      <c r="Y57" s="3"/>
      <c r="Z57" s="11"/>
      <c r="AA57" s="11"/>
      <c r="AB57" s="11"/>
      <c r="AC57" s="12"/>
      <c r="AD57" s="11"/>
      <c r="AE57" s="13"/>
      <c r="AF57" s="11"/>
      <c r="AG57" s="14"/>
      <c r="AH57" s="3"/>
      <c r="AI57" s="19"/>
      <c r="AJ57" s="11"/>
      <c r="AK57" s="11"/>
      <c r="AL57" s="16"/>
      <c r="AM57" s="16"/>
      <c r="AN57" s="16"/>
      <c r="AO57" s="17"/>
      <c r="AP57" s="18"/>
      <c r="AQ57" s="16"/>
    </row>
    <row r="58" spans="1:43">
      <c r="C58" s="3"/>
      <c r="W58" s="10"/>
      <c r="X58" s="11"/>
      <c r="Y58" s="3"/>
      <c r="Z58" s="11"/>
      <c r="AA58" s="11"/>
      <c r="AB58" s="11"/>
      <c r="AC58" s="12"/>
      <c r="AD58" s="11"/>
      <c r="AE58" s="13"/>
      <c r="AF58" s="11"/>
      <c r="AG58" s="14"/>
      <c r="AH58" s="3"/>
      <c r="AI58" s="19"/>
      <c r="AJ58" s="11"/>
      <c r="AK58" s="11"/>
      <c r="AL58" s="16"/>
      <c r="AM58" s="16"/>
      <c r="AN58" s="16"/>
      <c r="AO58" s="17"/>
      <c r="AP58" s="18"/>
      <c r="AQ58" s="16"/>
    </row>
    <row r="59" spans="1:43">
      <c r="C59" s="3"/>
      <c r="W59" s="10"/>
      <c r="X59" s="11"/>
      <c r="Y59" s="3"/>
      <c r="Z59" s="11"/>
      <c r="AA59" s="11"/>
      <c r="AB59" s="11"/>
      <c r="AC59" s="12"/>
      <c r="AD59" s="11"/>
      <c r="AE59" s="13"/>
      <c r="AF59" s="11"/>
      <c r="AG59" s="14"/>
      <c r="AH59" s="3"/>
      <c r="AI59" s="19"/>
      <c r="AJ59" s="11"/>
      <c r="AK59" s="11"/>
      <c r="AL59" s="16"/>
      <c r="AM59" s="16"/>
      <c r="AN59" s="16"/>
      <c r="AO59" s="17"/>
      <c r="AP59" s="18"/>
      <c r="AQ59" s="16"/>
    </row>
    <row r="60" spans="1:43">
      <c r="C60" s="3"/>
      <c r="W60" s="10"/>
      <c r="X60" s="11"/>
      <c r="Y60" s="3"/>
      <c r="Z60" s="11"/>
      <c r="AA60" s="11"/>
      <c r="AB60" s="11"/>
      <c r="AC60" s="12"/>
      <c r="AD60" s="11"/>
      <c r="AE60" s="13"/>
      <c r="AF60" s="11"/>
      <c r="AG60" s="14"/>
      <c r="AH60" s="3"/>
      <c r="AI60" s="19"/>
      <c r="AJ60" s="11"/>
      <c r="AK60" s="11"/>
      <c r="AL60" s="16"/>
      <c r="AM60" s="16"/>
      <c r="AN60" s="16"/>
      <c r="AO60" s="17"/>
      <c r="AP60" s="18"/>
      <c r="AQ60" s="16"/>
    </row>
    <row r="61" spans="1:43">
      <c r="C61" s="3"/>
      <c r="W61" s="10"/>
      <c r="X61" s="11"/>
      <c r="Y61" s="3"/>
      <c r="Z61" s="11"/>
      <c r="AA61" s="11"/>
      <c r="AB61" s="11"/>
      <c r="AC61" s="12"/>
      <c r="AD61" s="11"/>
      <c r="AE61" s="13"/>
      <c r="AF61" s="11"/>
      <c r="AG61" s="14"/>
      <c r="AH61" s="3"/>
      <c r="AI61" s="19"/>
      <c r="AJ61" s="11"/>
      <c r="AK61" s="11"/>
      <c r="AL61" s="16"/>
      <c r="AM61" s="16"/>
      <c r="AN61" s="16"/>
      <c r="AO61" s="17"/>
      <c r="AP61" s="18"/>
      <c r="AQ61" s="16"/>
    </row>
    <row r="62" spans="1:43">
      <c r="C62" s="3"/>
      <c r="W62" s="10"/>
      <c r="X62" s="11"/>
      <c r="Y62" s="3"/>
      <c r="Z62" s="11"/>
      <c r="AA62" s="11"/>
      <c r="AB62" s="11"/>
      <c r="AC62" s="12"/>
      <c r="AD62" s="11"/>
      <c r="AE62" s="13"/>
      <c r="AF62" s="11"/>
      <c r="AG62" s="14"/>
      <c r="AH62" s="3"/>
      <c r="AI62" s="19"/>
      <c r="AJ62" s="11"/>
      <c r="AK62" s="11"/>
      <c r="AL62" s="16"/>
      <c r="AM62" s="16"/>
      <c r="AN62" s="16"/>
      <c r="AO62" s="17"/>
      <c r="AP62" s="18"/>
      <c r="AQ62" s="16"/>
    </row>
    <row r="63" spans="1:43">
      <c r="C63" s="3"/>
      <c r="W63" s="10"/>
      <c r="X63" s="11"/>
      <c r="Y63" s="3"/>
      <c r="Z63" s="11"/>
      <c r="AA63" s="11"/>
      <c r="AB63" s="11"/>
      <c r="AC63" s="12"/>
      <c r="AD63" s="11"/>
      <c r="AE63" s="13"/>
      <c r="AF63" s="11"/>
      <c r="AG63" s="14"/>
      <c r="AH63" s="3"/>
      <c r="AI63" s="19"/>
      <c r="AJ63" s="11"/>
      <c r="AK63" s="11"/>
      <c r="AL63" s="16"/>
      <c r="AM63" s="16"/>
      <c r="AN63" s="16"/>
      <c r="AO63" s="17"/>
      <c r="AP63" s="18"/>
      <c r="AQ63" s="16"/>
    </row>
    <row r="64" spans="1:43">
      <c r="C64" s="3"/>
      <c r="W64" s="10"/>
      <c r="X64" s="11"/>
      <c r="Y64" s="3"/>
      <c r="Z64" s="11"/>
      <c r="AA64" s="11"/>
      <c r="AB64" s="11"/>
      <c r="AC64" s="12"/>
      <c r="AD64" s="11"/>
      <c r="AE64" s="13"/>
      <c r="AF64" s="11"/>
      <c r="AG64" s="14"/>
      <c r="AH64" s="3"/>
      <c r="AI64" s="19"/>
      <c r="AJ64" s="11"/>
      <c r="AK64" s="11"/>
      <c r="AL64" s="16"/>
      <c r="AM64" s="16"/>
      <c r="AN64" s="16"/>
      <c r="AO64" s="17"/>
      <c r="AP64" s="18"/>
      <c r="AQ64" s="16"/>
    </row>
    <row r="65" spans="3:43">
      <c r="C65" s="3"/>
      <c r="W65" s="10"/>
      <c r="X65" s="11"/>
      <c r="Y65" s="3"/>
      <c r="Z65" s="11"/>
      <c r="AA65" s="11"/>
      <c r="AB65" s="11"/>
      <c r="AC65" s="12"/>
      <c r="AD65" s="11"/>
      <c r="AE65" s="13"/>
      <c r="AF65" s="11"/>
      <c r="AG65" s="14"/>
      <c r="AH65" s="3"/>
      <c r="AI65" s="19"/>
      <c r="AJ65" s="11"/>
      <c r="AK65" s="11"/>
      <c r="AL65" s="16"/>
      <c r="AM65" s="16"/>
      <c r="AN65" s="16"/>
      <c r="AO65" s="17"/>
      <c r="AP65" s="18"/>
      <c r="AQ65" s="16"/>
    </row>
    <row r="66" spans="3:43">
      <c r="C66" s="3"/>
      <c r="W66" s="10"/>
      <c r="X66" s="11"/>
      <c r="Y66" s="3"/>
      <c r="Z66" s="11"/>
      <c r="AA66" s="11"/>
      <c r="AB66" s="11"/>
      <c r="AC66" s="12"/>
      <c r="AD66" s="11"/>
      <c r="AE66" s="13"/>
      <c r="AF66" s="11"/>
      <c r="AG66" s="14"/>
      <c r="AH66" s="3"/>
      <c r="AI66" s="19"/>
      <c r="AJ66" s="11"/>
      <c r="AK66" s="11"/>
      <c r="AL66" s="16"/>
      <c r="AM66" s="16"/>
      <c r="AN66" s="16"/>
      <c r="AO66" s="17"/>
      <c r="AP66" s="18"/>
      <c r="AQ66" s="16"/>
    </row>
    <row r="67" spans="3:43">
      <c r="C67" s="3"/>
      <c r="W67" s="10"/>
      <c r="X67" s="11"/>
      <c r="Y67" s="3"/>
      <c r="Z67" s="11"/>
      <c r="AA67" s="11"/>
      <c r="AB67" s="11"/>
      <c r="AC67" s="12"/>
      <c r="AD67" s="11"/>
      <c r="AE67" s="13"/>
      <c r="AF67" s="11"/>
      <c r="AG67" s="14"/>
      <c r="AH67" s="3"/>
      <c r="AI67" s="19"/>
      <c r="AJ67" s="11"/>
      <c r="AK67" s="11"/>
      <c r="AL67" s="16"/>
      <c r="AM67" s="16"/>
      <c r="AN67" s="16"/>
      <c r="AO67" s="17"/>
      <c r="AP67" s="18"/>
      <c r="AQ67" s="16"/>
    </row>
    <row r="68" spans="3:43">
      <c r="C68" s="3"/>
      <c r="W68" s="10"/>
      <c r="X68" s="11"/>
      <c r="Y68" s="3"/>
      <c r="Z68" s="11"/>
      <c r="AA68" s="11"/>
      <c r="AB68" s="11"/>
      <c r="AC68" s="12"/>
      <c r="AD68" s="11"/>
      <c r="AE68" s="13"/>
      <c r="AF68" s="11"/>
      <c r="AG68" s="14"/>
      <c r="AH68" s="3"/>
      <c r="AI68" s="19"/>
      <c r="AJ68" s="11"/>
      <c r="AK68" s="11"/>
      <c r="AL68" s="16"/>
      <c r="AM68" s="16"/>
      <c r="AN68" s="16"/>
      <c r="AO68" s="17"/>
      <c r="AP68" s="18"/>
      <c r="AQ68" s="16"/>
    </row>
    <row r="69" spans="3:43">
      <c r="C69" s="3"/>
      <c r="W69" s="10"/>
      <c r="X69" s="11"/>
      <c r="Y69" s="3"/>
      <c r="Z69" s="11"/>
      <c r="AA69" s="11"/>
      <c r="AB69" s="11"/>
      <c r="AC69" s="12"/>
      <c r="AD69" s="11"/>
      <c r="AE69" s="13"/>
      <c r="AF69" s="11"/>
      <c r="AG69" s="14"/>
      <c r="AH69" s="3"/>
      <c r="AI69" s="19"/>
      <c r="AJ69" s="11"/>
      <c r="AK69" s="11"/>
      <c r="AL69" s="16"/>
      <c r="AM69" s="16"/>
      <c r="AN69" s="16"/>
      <c r="AO69" s="17"/>
      <c r="AP69" s="18"/>
      <c r="AQ69" s="16"/>
    </row>
    <row r="70" spans="3:43">
      <c r="C70" s="3"/>
      <c r="W70" s="10"/>
      <c r="X70" s="11"/>
      <c r="Y70" s="3"/>
      <c r="Z70" s="11"/>
      <c r="AA70" s="11"/>
      <c r="AB70" s="11"/>
      <c r="AC70" s="12"/>
      <c r="AD70" s="11"/>
      <c r="AE70" s="13"/>
      <c r="AF70" s="11"/>
      <c r="AG70" s="14"/>
      <c r="AH70" s="3"/>
      <c r="AI70" s="19"/>
      <c r="AJ70" s="11"/>
      <c r="AK70" s="11"/>
      <c r="AL70" s="16"/>
      <c r="AM70" s="16"/>
      <c r="AN70" s="16"/>
      <c r="AO70" s="17"/>
      <c r="AP70" s="18"/>
      <c r="AQ70" s="16"/>
    </row>
    <row r="71" spans="3:43">
      <c r="C71" s="3"/>
      <c r="W71" s="10"/>
      <c r="X71" s="11"/>
      <c r="Y71" s="3"/>
      <c r="Z71" s="11"/>
      <c r="AA71" s="11"/>
      <c r="AB71" s="11"/>
      <c r="AC71" s="12"/>
      <c r="AD71" s="11"/>
      <c r="AE71" s="13"/>
      <c r="AF71" s="11"/>
      <c r="AG71" s="14"/>
      <c r="AH71" s="3"/>
      <c r="AI71" s="19"/>
      <c r="AJ71" s="11"/>
      <c r="AK71" s="11"/>
      <c r="AL71" s="16"/>
      <c r="AM71" s="16"/>
      <c r="AN71" s="16"/>
      <c r="AO71" s="17"/>
      <c r="AP71" s="18"/>
      <c r="AQ71" s="16"/>
    </row>
    <row r="72" spans="3:43">
      <c r="C72" s="3"/>
      <c r="W72" s="10"/>
      <c r="X72" s="11"/>
      <c r="Y72" s="3"/>
      <c r="Z72" s="11"/>
      <c r="AA72" s="11"/>
      <c r="AB72" s="11"/>
      <c r="AC72" s="12"/>
      <c r="AD72" s="11"/>
      <c r="AE72" s="13"/>
      <c r="AF72" s="11"/>
      <c r="AG72" s="14"/>
      <c r="AH72" s="3"/>
      <c r="AI72" s="19"/>
      <c r="AJ72" s="11"/>
      <c r="AK72" s="11"/>
      <c r="AL72" s="16"/>
      <c r="AM72" s="16"/>
      <c r="AN72" s="16"/>
      <c r="AO72" s="17"/>
      <c r="AP72" s="18"/>
      <c r="AQ72" s="16"/>
    </row>
    <row r="73" spans="3:43">
      <c r="C73" s="3"/>
      <c r="W73" s="10"/>
      <c r="X73" s="11"/>
      <c r="Y73" s="3"/>
      <c r="Z73" s="11"/>
      <c r="AA73" s="11"/>
      <c r="AB73" s="11"/>
      <c r="AC73" s="12"/>
      <c r="AD73" s="11"/>
      <c r="AE73" s="13"/>
      <c r="AF73" s="11"/>
      <c r="AG73" s="14"/>
      <c r="AH73" s="3"/>
      <c r="AI73" s="19"/>
      <c r="AJ73" s="11"/>
      <c r="AK73" s="11"/>
      <c r="AL73" s="16"/>
      <c r="AM73" s="16"/>
      <c r="AN73" s="16"/>
      <c r="AO73" s="17"/>
      <c r="AP73" s="18"/>
      <c r="AQ73" s="16"/>
    </row>
    <row r="74" spans="3:43">
      <c r="C74" s="3"/>
      <c r="W74" s="10"/>
      <c r="X74" s="11"/>
      <c r="Y74" s="3"/>
      <c r="Z74" s="11"/>
      <c r="AA74" s="11"/>
      <c r="AB74" s="11"/>
      <c r="AC74" s="12"/>
      <c r="AD74" s="11"/>
      <c r="AE74" s="13"/>
      <c r="AF74" s="11"/>
      <c r="AG74" s="14"/>
      <c r="AH74" s="3"/>
      <c r="AI74" s="19"/>
      <c r="AJ74" s="11"/>
      <c r="AK74" s="11"/>
      <c r="AL74" s="16"/>
      <c r="AM74" s="16"/>
      <c r="AN74" s="16"/>
      <c r="AO74" s="17"/>
      <c r="AP74" s="18"/>
      <c r="AQ74" s="16"/>
    </row>
    <row r="75" spans="3:43">
      <c r="C75" s="3"/>
      <c r="W75" s="10"/>
      <c r="X75" s="11"/>
      <c r="Y75" s="3"/>
      <c r="Z75" s="11"/>
      <c r="AA75" s="11"/>
      <c r="AB75" s="11"/>
      <c r="AC75" s="12"/>
      <c r="AD75" s="11"/>
      <c r="AE75" s="13"/>
      <c r="AF75" s="11"/>
      <c r="AG75" s="14"/>
      <c r="AH75" s="3"/>
      <c r="AI75" s="19"/>
      <c r="AJ75" s="11"/>
      <c r="AK75" s="11"/>
      <c r="AL75" s="16"/>
      <c r="AM75" s="16"/>
      <c r="AN75" s="16"/>
      <c r="AO75" s="17"/>
      <c r="AP75" s="18"/>
      <c r="AQ75" s="16"/>
    </row>
    <row r="76" spans="3:43">
      <c r="C76" s="3"/>
      <c r="W76" s="10"/>
      <c r="X76" s="11"/>
      <c r="Y76" s="3"/>
      <c r="Z76" s="11"/>
      <c r="AA76" s="11"/>
      <c r="AB76" s="11"/>
      <c r="AC76" s="12"/>
      <c r="AD76" s="11"/>
      <c r="AE76" s="13"/>
      <c r="AF76" s="11"/>
      <c r="AG76" s="14"/>
      <c r="AH76" s="3"/>
      <c r="AI76" s="19"/>
      <c r="AJ76" s="11"/>
      <c r="AK76" s="11"/>
      <c r="AL76" s="16"/>
      <c r="AM76" s="16"/>
      <c r="AN76" s="16"/>
      <c r="AO76" s="17"/>
      <c r="AP76" s="18"/>
      <c r="AQ76" s="16"/>
    </row>
    <row r="77" spans="3:43">
      <c r="C77" s="3"/>
      <c r="W77" s="10"/>
      <c r="X77" s="11"/>
      <c r="Y77" s="3"/>
      <c r="Z77" s="11"/>
      <c r="AA77" s="11"/>
      <c r="AB77" s="11"/>
      <c r="AC77" s="12"/>
      <c r="AD77" s="11"/>
      <c r="AE77" s="13"/>
      <c r="AF77" s="11"/>
      <c r="AG77" s="14"/>
      <c r="AH77" s="3"/>
      <c r="AI77" s="19"/>
      <c r="AJ77" s="11"/>
      <c r="AK77" s="11"/>
      <c r="AL77" s="16"/>
      <c r="AM77" s="16"/>
      <c r="AN77" s="16"/>
      <c r="AO77" s="17"/>
      <c r="AP77" s="18"/>
      <c r="AQ77" s="16"/>
    </row>
    <row r="78" spans="3:43">
      <c r="C78" s="3"/>
      <c r="W78" s="10"/>
      <c r="X78" s="11"/>
      <c r="Y78" s="3"/>
      <c r="Z78" s="11"/>
      <c r="AA78" s="11"/>
      <c r="AB78" s="11"/>
      <c r="AC78" s="12"/>
      <c r="AD78" s="11"/>
      <c r="AE78" s="13"/>
      <c r="AF78" s="11"/>
      <c r="AG78" s="14"/>
      <c r="AH78" s="3"/>
      <c r="AI78" s="19"/>
      <c r="AJ78" s="11"/>
      <c r="AK78" s="11"/>
      <c r="AL78" s="16"/>
      <c r="AM78" s="16"/>
      <c r="AN78" s="16"/>
      <c r="AO78" s="17"/>
      <c r="AP78" s="18"/>
      <c r="AQ78" s="16"/>
    </row>
    <row r="79" spans="3:43">
      <c r="C79" s="3"/>
      <c r="W79" s="10"/>
      <c r="X79" s="11"/>
      <c r="Y79" s="3"/>
      <c r="Z79" s="11"/>
      <c r="AA79" s="11"/>
      <c r="AB79" s="11"/>
      <c r="AC79" s="12"/>
      <c r="AD79" s="11"/>
      <c r="AE79" s="13"/>
      <c r="AF79" s="11"/>
      <c r="AG79" s="14"/>
      <c r="AH79" s="3"/>
      <c r="AI79" s="19"/>
      <c r="AJ79" s="11"/>
      <c r="AK79" s="11"/>
      <c r="AL79" s="16"/>
      <c r="AM79" s="16"/>
      <c r="AN79" s="16"/>
      <c r="AO79" s="17"/>
      <c r="AP79" s="18"/>
      <c r="AQ79" s="16"/>
    </row>
    <row r="80" spans="3:43">
      <c r="C80" s="3"/>
      <c r="W80" s="10"/>
      <c r="X80" s="11"/>
      <c r="Y80" s="3"/>
      <c r="Z80" s="11"/>
      <c r="AA80" s="11"/>
      <c r="AB80" s="11"/>
      <c r="AC80" s="12"/>
      <c r="AD80" s="11"/>
      <c r="AE80" s="13"/>
      <c r="AF80" s="11"/>
      <c r="AG80" s="14"/>
      <c r="AH80" s="3"/>
      <c r="AI80" s="19"/>
      <c r="AJ80" s="11"/>
      <c r="AK80" s="11"/>
      <c r="AL80" s="16"/>
      <c r="AM80" s="16"/>
      <c r="AN80" s="16"/>
      <c r="AO80" s="17"/>
      <c r="AP80" s="18"/>
      <c r="AQ80" s="16"/>
    </row>
    <row r="81" spans="3:43">
      <c r="C81" s="3"/>
      <c r="W81" s="10"/>
      <c r="X81" s="11"/>
      <c r="Y81" s="3"/>
      <c r="Z81" s="11"/>
      <c r="AA81" s="11"/>
      <c r="AB81" s="11"/>
      <c r="AC81" s="12"/>
      <c r="AD81" s="11"/>
      <c r="AE81" s="13"/>
      <c r="AF81" s="11"/>
      <c r="AG81" s="14"/>
      <c r="AH81" s="3"/>
      <c r="AI81" s="19"/>
      <c r="AJ81" s="11"/>
      <c r="AK81" s="11"/>
      <c r="AL81" s="16"/>
      <c r="AM81" s="16"/>
      <c r="AN81" s="16"/>
      <c r="AO81" s="17"/>
      <c r="AP81" s="18"/>
      <c r="AQ81" s="16"/>
    </row>
    <row r="82" spans="3:43">
      <c r="C82" s="3"/>
      <c r="W82" s="10"/>
      <c r="X82" s="11"/>
      <c r="Y82" s="3"/>
      <c r="Z82" s="11"/>
      <c r="AA82" s="11"/>
      <c r="AB82" s="11"/>
      <c r="AC82" s="12"/>
      <c r="AD82" s="11"/>
      <c r="AE82" s="13"/>
      <c r="AF82" s="11"/>
      <c r="AG82" s="14"/>
      <c r="AH82" s="3"/>
      <c r="AI82" s="19"/>
      <c r="AJ82" s="11"/>
      <c r="AK82" s="11"/>
      <c r="AL82" s="16"/>
      <c r="AM82" s="16"/>
      <c r="AN82" s="16"/>
      <c r="AO82" s="17"/>
      <c r="AP82" s="18"/>
      <c r="AQ82" s="16"/>
    </row>
    <row r="83" spans="3:43">
      <c r="C83" s="3"/>
      <c r="W83" s="10"/>
      <c r="X83" s="11"/>
      <c r="Y83" s="3"/>
      <c r="Z83" s="11"/>
      <c r="AA83" s="11"/>
      <c r="AB83" s="11"/>
      <c r="AC83" s="12"/>
      <c r="AD83" s="11"/>
      <c r="AE83" s="13"/>
      <c r="AF83" s="11"/>
      <c r="AG83" s="14"/>
      <c r="AH83" s="3"/>
      <c r="AI83" s="19"/>
      <c r="AJ83" s="11"/>
      <c r="AK83" s="11"/>
      <c r="AL83" s="16"/>
      <c r="AM83" s="16"/>
      <c r="AN83" s="16"/>
      <c r="AO83" s="17"/>
      <c r="AP83" s="18"/>
      <c r="AQ83" s="16"/>
    </row>
    <row r="84" spans="3:43">
      <c r="C84" s="3"/>
      <c r="W84" s="10"/>
      <c r="X84" s="11"/>
      <c r="Y84" s="3"/>
      <c r="Z84" s="11"/>
      <c r="AA84" s="11"/>
      <c r="AB84" s="11"/>
      <c r="AC84" s="12"/>
      <c r="AD84" s="11"/>
      <c r="AE84" s="13"/>
      <c r="AF84" s="11"/>
      <c r="AG84" s="14"/>
      <c r="AH84" s="3"/>
      <c r="AI84" s="19"/>
      <c r="AJ84" s="11"/>
      <c r="AK84" s="11"/>
      <c r="AL84" s="16"/>
      <c r="AM84" s="16"/>
      <c r="AN84" s="16"/>
      <c r="AO84" s="17"/>
      <c r="AP84" s="18"/>
      <c r="AQ84" s="16"/>
    </row>
    <row r="85" spans="3:43">
      <c r="C85" s="3"/>
      <c r="W85" s="10"/>
      <c r="X85" s="11"/>
      <c r="Y85" s="3"/>
      <c r="Z85" s="11"/>
      <c r="AA85" s="11"/>
      <c r="AB85" s="11"/>
      <c r="AC85" s="12"/>
      <c r="AD85" s="11"/>
      <c r="AE85" s="13"/>
      <c r="AF85" s="11"/>
      <c r="AG85" s="14"/>
      <c r="AH85" s="3"/>
      <c r="AI85" s="19"/>
      <c r="AJ85" s="11"/>
      <c r="AK85" s="11"/>
      <c r="AL85" s="16"/>
      <c r="AM85" s="16"/>
      <c r="AN85" s="16"/>
      <c r="AO85" s="17"/>
      <c r="AP85" s="18"/>
      <c r="AQ85" s="16"/>
    </row>
    <row r="86" spans="3:43">
      <c r="C86" s="3"/>
      <c r="W86" s="10"/>
      <c r="X86" s="11"/>
      <c r="Y86" s="3"/>
      <c r="Z86" s="11"/>
      <c r="AA86" s="11"/>
      <c r="AB86" s="11"/>
      <c r="AC86" s="12"/>
      <c r="AD86" s="11"/>
      <c r="AE86" s="13"/>
      <c r="AF86" s="11"/>
      <c r="AG86" s="14"/>
      <c r="AH86" s="3"/>
      <c r="AI86" s="19"/>
      <c r="AJ86" s="11"/>
      <c r="AK86" s="11"/>
      <c r="AL86" s="16"/>
      <c r="AM86" s="16"/>
      <c r="AN86" s="16"/>
      <c r="AO86" s="17"/>
      <c r="AP86" s="18"/>
      <c r="AQ86" s="1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164"/>
  <sheetViews>
    <sheetView tabSelected="1" topLeftCell="A7" workbookViewId="0">
      <selection activeCell="M14" sqref="M14"/>
    </sheetView>
  </sheetViews>
  <sheetFormatPr defaultRowHeight="13.5" customHeight="1"/>
  <cols>
    <col min="1" max="1" width="3.25" customWidth="1"/>
    <col min="2" max="2" width="5.625" style="135" customWidth="1"/>
    <col min="3" max="3" width="10.5" style="167" customWidth="1"/>
    <col min="4" max="4" width="7.375" style="167" customWidth="1"/>
    <col min="5" max="5" width="11.125" style="161" customWidth="1"/>
    <col min="6" max="6" width="30.375" style="167" customWidth="1"/>
    <col min="7" max="7" width="7.875" style="135" customWidth="1"/>
    <col min="8" max="8" width="6.125" style="168" customWidth="1"/>
    <col min="9" max="9" width="3.25" style="132" customWidth="1"/>
    <col min="10" max="10" width="14" style="135" customWidth="1"/>
    <col min="11" max="11" width="14.625" style="34" customWidth="1"/>
    <col min="12" max="12" width="6.375" style="135" customWidth="1"/>
    <col min="13" max="13" width="14.5" style="132" customWidth="1"/>
    <col min="14" max="14" width="17.875" style="132" customWidth="1"/>
    <col min="15" max="15" width="9" style="132" hidden="1" customWidth="1"/>
    <col min="16" max="16" width="13.375" style="137" customWidth="1"/>
    <col min="17" max="17" width="7.25" style="137" customWidth="1"/>
    <col min="18" max="18" width="9" style="182"/>
    <col min="19" max="19" width="9.25" style="182" customWidth="1"/>
    <col min="20" max="20" width="15.75" style="182" customWidth="1"/>
    <col min="21" max="21" width="12.25" style="182" customWidth="1"/>
    <col min="22" max="22" width="11.875" style="182" customWidth="1"/>
  </cols>
  <sheetData>
    <row r="1" spans="1:16" ht="13.5" customHeight="1">
      <c r="A1" s="185">
        <f ca="1">TODAY()+1</f>
        <v>46021</v>
      </c>
      <c r="B1" s="185"/>
      <c r="C1" s="128" t="s">
        <v>431</v>
      </c>
      <c r="D1" s="128"/>
      <c r="E1" s="129" t="s">
        <v>432</v>
      </c>
      <c r="F1" s="130">
        <f>12-COUNTA(E3:F14)</f>
        <v>7</v>
      </c>
      <c r="G1" s="129" t="s">
        <v>433</v>
      </c>
      <c r="H1" s="131"/>
      <c r="J1" s="133" t="s">
        <v>434</v>
      </c>
      <c r="K1" s="134">
        <f ca="1">TODAY()+1</f>
        <v>46021</v>
      </c>
      <c r="M1" s="136">
        <v>45717</v>
      </c>
      <c r="N1"/>
      <c r="O1"/>
      <c r="P1"/>
    </row>
    <row r="2" spans="1:16" ht="13.5" customHeight="1">
      <c r="A2" s="138" t="s">
        <v>435</v>
      </c>
      <c r="B2" s="139" t="s">
        <v>59</v>
      </c>
      <c r="C2" s="138" t="s">
        <v>296</v>
      </c>
      <c r="D2" s="140" t="s">
        <v>436</v>
      </c>
      <c r="E2" s="140" t="s">
        <v>437</v>
      </c>
      <c r="F2" s="141"/>
      <c r="G2" s="141" t="s">
        <v>438</v>
      </c>
      <c r="H2" s="142" t="s">
        <v>439</v>
      </c>
      <c r="J2" s="143" t="str">
        <f ca="1">TEXT(NOW(),"mm/dd aaa hh:mm")</f>
        <v>12/29 월 14:47</v>
      </c>
      <c r="K2" s="144" t="s">
        <v>440</v>
      </c>
      <c r="L2" s="135" t="s">
        <v>441</v>
      </c>
      <c r="M2" s="132" t="s">
        <v>442</v>
      </c>
      <c r="O2"/>
      <c r="P2"/>
    </row>
    <row r="3" spans="1:16" ht="13.5" customHeight="1">
      <c r="A3" s="145">
        <v>1</v>
      </c>
      <c r="B3" s="142"/>
      <c r="C3" s="140"/>
      <c r="D3" s="140"/>
      <c r="E3" s="146"/>
      <c r="F3" s="141"/>
      <c r="G3" s="142"/>
      <c r="H3" s="142"/>
      <c r="O3"/>
      <c r="P3"/>
    </row>
    <row r="4" spans="1:16" ht="13.5" customHeight="1">
      <c r="A4" s="145">
        <v>2</v>
      </c>
      <c r="B4" s="142"/>
      <c r="C4" s="140"/>
      <c r="D4" s="140"/>
      <c r="E4" s="146"/>
      <c r="F4" s="141"/>
      <c r="G4" s="142"/>
      <c r="H4" s="142"/>
      <c r="O4"/>
      <c r="P4"/>
    </row>
    <row r="5" spans="1:16" ht="13.5" customHeight="1">
      <c r="A5" s="145">
        <v>3</v>
      </c>
      <c r="B5" s="142"/>
      <c r="C5" s="140"/>
      <c r="D5" s="140"/>
      <c r="E5" s="146"/>
      <c r="F5" s="141"/>
      <c r="G5" s="142"/>
      <c r="H5" s="142"/>
      <c r="O5"/>
      <c r="P5"/>
    </row>
    <row r="6" spans="1:16" ht="13.5" customHeight="1">
      <c r="A6" s="145">
        <v>4</v>
      </c>
      <c r="B6" s="142"/>
      <c r="C6" s="140"/>
      <c r="D6" s="140"/>
      <c r="E6" s="146"/>
      <c r="F6" s="141"/>
      <c r="G6" s="142"/>
      <c r="H6" s="142"/>
      <c r="O6"/>
      <c r="P6"/>
    </row>
    <row r="7" spans="1:16" ht="13.5" customHeight="1">
      <c r="A7" s="145">
        <v>5</v>
      </c>
      <c r="B7" s="142"/>
      <c r="C7" s="140"/>
      <c r="D7" s="140"/>
      <c r="E7" s="146"/>
      <c r="F7" s="141"/>
      <c r="G7" s="142"/>
      <c r="H7" s="142"/>
      <c r="O7"/>
      <c r="P7"/>
    </row>
    <row r="8" spans="1:16" ht="13.5" customHeight="1">
      <c r="A8" s="145">
        <v>6</v>
      </c>
      <c r="B8" s="147" t="s">
        <v>117</v>
      </c>
      <c r="C8" s="148" t="s">
        <v>443</v>
      </c>
      <c r="D8" s="148" t="s">
        <v>444</v>
      </c>
      <c r="E8" s="149" t="str">
        <f>M8</f>
        <v>12/23(화)오후 도착 , 12/31(수)회수마감(회수 미정)</v>
      </c>
      <c r="F8" s="150"/>
      <c r="G8" s="147" t="s">
        <v>445</v>
      </c>
      <c r="H8" s="147" t="s">
        <v>446</v>
      </c>
      <c r="J8" s="135" t="s">
        <v>424</v>
      </c>
      <c r="K8" s="34" t="s">
        <v>430</v>
      </c>
      <c r="L8" s="135" t="s">
        <v>167</v>
      </c>
      <c r="M8" s="132" t="s">
        <v>447</v>
      </c>
      <c r="O8"/>
      <c r="P8"/>
    </row>
    <row r="9" spans="1:16" ht="13.5" customHeight="1">
      <c r="A9" s="145">
        <v>7</v>
      </c>
      <c r="B9" s="142"/>
      <c r="C9" s="140"/>
      <c r="D9" s="140"/>
      <c r="E9" s="146"/>
      <c r="F9" s="141"/>
      <c r="G9" s="142"/>
      <c r="H9" s="142"/>
      <c r="O9"/>
      <c r="P9"/>
    </row>
    <row r="10" spans="1:16" ht="13.5" customHeight="1">
      <c r="A10" s="145">
        <v>8</v>
      </c>
      <c r="B10" s="147" t="s">
        <v>448</v>
      </c>
      <c r="C10" s="148" t="s">
        <v>449</v>
      </c>
      <c r="D10" s="148" t="s">
        <v>444</v>
      </c>
      <c r="E10" s="149" t="str">
        <f>M10</f>
        <v>12/23(화)조출 , 12/27(토)회수마감(회수 계획 있음)</v>
      </c>
      <c r="F10" s="150"/>
      <c r="G10" s="147" t="s">
        <v>450</v>
      </c>
      <c r="H10" s="147">
        <v>1800</v>
      </c>
      <c r="J10" s="135" t="s">
        <v>451</v>
      </c>
      <c r="K10" s="34" t="s">
        <v>452</v>
      </c>
      <c r="L10" s="135" t="s">
        <v>182</v>
      </c>
      <c r="M10" s="132" t="s">
        <v>453</v>
      </c>
      <c r="O10"/>
      <c r="P10"/>
    </row>
    <row r="11" spans="1:16" ht="13.5" customHeight="1">
      <c r="A11" s="145">
        <v>9</v>
      </c>
      <c r="B11" s="147" t="s">
        <v>80</v>
      </c>
      <c r="C11" s="148" t="s">
        <v>454</v>
      </c>
      <c r="D11" s="148" t="s">
        <v>444</v>
      </c>
      <c r="E11" s="149" t="str">
        <f>M11</f>
        <v>12/23(화)오후 도착 , 12/31(수)회수마감(회수 미정)</v>
      </c>
      <c r="F11" s="150"/>
      <c r="G11" s="147" t="s">
        <v>445</v>
      </c>
      <c r="H11" s="147" t="s">
        <v>455</v>
      </c>
      <c r="J11" s="135" t="s">
        <v>423</v>
      </c>
      <c r="K11" s="34" t="s">
        <v>429</v>
      </c>
      <c r="L11" s="135" t="s">
        <v>167</v>
      </c>
      <c r="M11" s="132" t="s">
        <v>447</v>
      </c>
      <c r="O11"/>
      <c r="P11"/>
    </row>
    <row r="12" spans="1:16" ht="13.5" customHeight="1">
      <c r="A12" s="145">
        <v>10</v>
      </c>
      <c r="B12" s="147" t="s">
        <v>456</v>
      </c>
      <c r="C12" s="148" t="s">
        <v>457</v>
      </c>
      <c r="D12" s="148" t="s">
        <v>444</v>
      </c>
      <c r="E12" s="149" t="str">
        <f>M12</f>
        <v>12/23(화)오후 도착 , 12/31(수)회수마감(회수 미정)</v>
      </c>
      <c r="F12" s="150"/>
      <c r="G12" s="147" t="s">
        <v>458</v>
      </c>
      <c r="H12" s="147" t="s">
        <v>459</v>
      </c>
      <c r="J12" s="135" t="s">
        <v>460</v>
      </c>
      <c r="K12" s="34" t="s">
        <v>461</v>
      </c>
      <c r="L12" s="135" t="s">
        <v>462</v>
      </c>
      <c r="M12" s="132" t="s">
        <v>447</v>
      </c>
      <c r="O12"/>
      <c r="P12"/>
    </row>
    <row r="13" spans="1:16" ht="13.5" customHeight="1">
      <c r="A13" s="145">
        <v>11</v>
      </c>
      <c r="B13" s="142" t="s">
        <v>80</v>
      </c>
      <c r="C13" s="140" t="s">
        <v>422</v>
      </c>
      <c r="D13" s="140" t="s">
        <v>463</v>
      </c>
      <c r="E13" s="146" t="str">
        <f t="shared" ref="E13" si="0">M13</f>
        <v>12/22(월)오후 도착 , 12/27(토)회수마감(회수 계획 있음)</v>
      </c>
      <c r="F13" s="141"/>
      <c r="G13" s="142" t="s">
        <v>445</v>
      </c>
      <c r="H13" s="142" t="s">
        <v>463</v>
      </c>
      <c r="J13" s="135" t="s">
        <v>464</v>
      </c>
      <c r="K13" s="34" t="s">
        <v>428</v>
      </c>
      <c r="L13" s="135" t="s">
        <v>194</v>
      </c>
      <c r="M13" s="132" t="s">
        <v>465</v>
      </c>
      <c r="O13"/>
      <c r="P13"/>
    </row>
    <row r="14" spans="1:16" ht="13.5" customHeight="1">
      <c r="A14" s="145">
        <v>12</v>
      </c>
      <c r="B14" s="142"/>
      <c r="C14" s="140"/>
      <c r="D14" s="140"/>
      <c r="E14" s="146"/>
      <c r="F14" s="141"/>
      <c r="G14" s="142"/>
      <c r="H14" s="142"/>
      <c r="O14"/>
      <c r="P14"/>
    </row>
    <row r="15" spans="1:16" ht="13.5" customHeight="1">
      <c r="A15" s="145">
        <v>13</v>
      </c>
      <c r="B15" s="142"/>
      <c r="C15" s="140"/>
      <c r="D15" s="140"/>
      <c r="E15" s="146"/>
      <c r="F15" s="141"/>
      <c r="G15" s="142"/>
      <c r="H15" s="142"/>
      <c r="O15"/>
      <c r="P15"/>
    </row>
    <row r="16" spans="1:16" ht="13.5" customHeight="1">
      <c r="A16" s="145">
        <v>14</v>
      </c>
      <c r="B16" s="151" t="s">
        <v>80</v>
      </c>
      <c r="C16" s="152" t="s">
        <v>466</v>
      </c>
      <c r="D16" s="152" t="s">
        <v>444</v>
      </c>
      <c r="E16" s="153" t="str">
        <f>M16</f>
        <v>12/23(화)오후 도착 , 12/31(수)회수마감(회수 미정)</v>
      </c>
      <c r="F16" s="154"/>
      <c r="G16" s="151" t="s">
        <v>467</v>
      </c>
      <c r="H16" s="151" t="s">
        <v>455</v>
      </c>
      <c r="J16" s="135" t="s">
        <v>468</v>
      </c>
      <c r="K16" s="34" t="s">
        <v>469</v>
      </c>
      <c r="L16" s="135" t="s">
        <v>470</v>
      </c>
      <c r="M16" s="132" t="s">
        <v>447</v>
      </c>
      <c r="O16"/>
      <c r="P16"/>
    </row>
    <row r="17" spans="1:23" ht="13.5" customHeight="1">
      <c r="A17" s="145">
        <v>15</v>
      </c>
      <c r="B17" s="151" t="s">
        <v>82</v>
      </c>
      <c r="C17" s="152" t="s">
        <v>471</v>
      </c>
      <c r="D17" s="152" t="s">
        <v>444</v>
      </c>
      <c r="E17" s="153" t="str">
        <f>M17</f>
        <v>12/23(화)오후 도착 , 12/31(수)회수마감(회수 미정)</v>
      </c>
      <c r="F17" s="154"/>
      <c r="G17" s="151" t="s">
        <v>467</v>
      </c>
      <c r="H17" s="151" t="s">
        <v>455</v>
      </c>
      <c r="J17" s="135" t="s">
        <v>468</v>
      </c>
      <c r="K17" s="34" t="s">
        <v>472</v>
      </c>
      <c r="L17" s="135" t="s">
        <v>470</v>
      </c>
      <c r="M17" s="132" t="s">
        <v>447</v>
      </c>
      <c r="O17"/>
      <c r="P17"/>
      <c r="R17" s="182" t="s">
        <v>1173</v>
      </c>
      <c r="S17" s="182" t="s">
        <v>1174</v>
      </c>
      <c r="T17" s="183">
        <v>46014.407256944447</v>
      </c>
      <c r="U17" s="182" t="s">
        <v>1166</v>
      </c>
      <c r="V17" s="182" t="s">
        <v>1172</v>
      </c>
      <c r="W17" t="s">
        <v>1165</v>
      </c>
    </row>
    <row r="18" spans="1:23" ht="13.5" customHeight="1">
      <c r="A18" s="139" t="s">
        <v>473</v>
      </c>
      <c r="B18" s="155"/>
      <c r="C18" s="140"/>
      <c r="D18" s="140"/>
      <c r="E18" s="146"/>
      <c r="F18" s="156"/>
      <c r="G18" s="155"/>
      <c r="H18" s="142"/>
      <c r="I18" s="157"/>
      <c r="J18" s="158"/>
      <c r="K18" s="159"/>
      <c r="L18" s="158"/>
      <c r="M18" s="157"/>
      <c r="N18"/>
      <c r="O18"/>
      <c r="P18"/>
      <c r="Q18" s="160"/>
    </row>
    <row r="19" spans="1:23" ht="13.5" customHeight="1">
      <c r="A19" s="139" t="s">
        <v>474</v>
      </c>
      <c r="B19" s="142"/>
      <c r="C19" s="140"/>
      <c r="D19" s="140"/>
      <c r="E19" s="146"/>
      <c r="F19" s="141"/>
      <c r="G19" s="142"/>
      <c r="H19" s="142"/>
      <c r="O19"/>
      <c r="P19"/>
    </row>
    <row r="20" spans="1:23" ht="13.5" customHeight="1">
      <c r="A20" s="139" t="s">
        <v>475</v>
      </c>
      <c r="B20" s="142"/>
      <c r="C20" s="140"/>
      <c r="D20" s="140"/>
      <c r="E20" s="146"/>
      <c r="F20" s="141"/>
      <c r="G20" s="142"/>
      <c r="H20" s="142"/>
      <c r="O20"/>
      <c r="P20"/>
    </row>
    <row r="21" spans="1:23" ht="13.5" customHeight="1">
      <c r="A21" s="139" t="s">
        <v>476</v>
      </c>
      <c r="B21" s="142"/>
      <c r="C21" s="140"/>
      <c r="D21" s="140"/>
      <c r="E21" s="146"/>
      <c r="F21" s="141"/>
      <c r="G21" s="142"/>
      <c r="H21" s="142"/>
      <c r="O21"/>
      <c r="P21"/>
    </row>
    <row r="22" spans="1:23" ht="13.5" customHeight="1">
      <c r="A22" s="139" t="s">
        <v>477</v>
      </c>
      <c r="B22" s="142"/>
      <c r="C22" s="140"/>
      <c r="D22" s="140"/>
      <c r="E22" s="146"/>
      <c r="F22" s="141"/>
      <c r="G22" s="142"/>
      <c r="H22" s="142"/>
      <c r="N22" s="161"/>
      <c r="O22"/>
      <c r="P22"/>
    </row>
    <row r="23" spans="1:23" ht="13.5" customHeight="1">
      <c r="A23" s="139" t="s">
        <v>478</v>
      </c>
      <c r="B23" s="142"/>
      <c r="C23" s="140"/>
      <c r="D23" s="140"/>
      <c r="E23" s="146"/>
      <c r="F23" s="141"/>
      <c r="G23" s="142"/>
      <c r="H23" s="142"/>
      <c r="J23" s="162"/>
      <c r="N23" s="161"/>
      <c r="O23"/>
      <c r="P23"/>
    </row>
    <row r="24" spans="1:23" ht="13.5" customHeight="1">
      <c r="A24" s="163" t="s">
        <v>479</v>
      </c>
      <c r="B24" s="142"/>
      <c r="C24" s="140"/>
      <c r="D24" s="140"/>
      <c r="E24" s="146"/>
      <c r="F24" s="141"/>
      <c r="G24" s="142"/>
      <c r="H24" s="142"/>
      <c r="J24" s="133" t="s">
        <v>1165</v>
      </c>
      <c r="K24" s="34" t="s">
        <v>78</v>
      </c>
      <c r="N24" s="161"/>
      <c r="O24"/>
      <c r="P24"/>
      <c r="R24" s="182" t="s">
        <v>595</v>
      </c>
    </row>
    <row r="25" spans="1:23" ht="13.5" customHeight="1">
      <c r="A25" s="164" t="s">
        <v>479</v>
      </c>
      <c r="B25" s="139" t="s">
        <v>480</v>
      </c>
      <c r="C25" s="165" t="s">
        <v>481</v>
      </c>
      <c r="D25" s="165" t="s">
        <v>482</v>
      </c>
      <c r="E25" s="186" t="s">
        <v>483</v>
      </c>
      <c r="F25" s="187"/>
      <c r="G25" s="139" t="s">
        <v>438</v>
      </c>
      <c r="H25" s="142" t="s">
        <v>439</v>
      </c>
      <c r="I25" s="132" t="s">
        <v>484</v>
      </c>
      <c r="J25" s="135" t="s">
        <v>485</v>
      </c>
      <c r="K25" s="144" t="s">
        <v>440</v>
      </c>
      <c r="L25" s="135" t="s">
        <v>441</v>
      </c>
      <c r="N25" s="132" t="s">
        <v>293</v>
      </c>
      <c r="O25"/>
      <c r="P25" t="s">
        <v>486</v>
      </c>
      <c r="Q25" s="137" t="s">
        <v>487</v>
      </c>
      <c r="R25" s="182" t="s">
        <v>1167</v>
      </c>
      <c r="S25" s="182" t="s">
        <v>1168</v>
      </c>
      <c r="T25" s="182" t="s">
        <v>1169</v>
      </c>
      <c r="U25" s="182" t="s">
        <v>1170</v>
      </c>
      <c r="V25" s="182" t="s">
        <v>1171</v>
      </c>
    </row>
    <row r="26" spans="1:23" ht="13.5" customHeight="1">
      <c r="A26" s="166">
        <v>1</v>
      </c>
      <c r="B26" s="147" t="s">
        <v>488</v>
      </c>
      <c r="C26" s="181" t="s">
        <v>1053</v>
      </c>
      <c r="D26" s="148" t="s">
        <v>490</v>
      </c>
      <c r="E26" s="149" t="str">
        <f t="shared" ref="E26:E89" si="1">M26</f>
        <v>12/23(화)오후 도착 , 12/31(수)회수마감(회수 미정)</v>
      </c>
      <c r="F26" s="150"/>
      <c r="G26" s="147" t="s">
        <v>491</v>
      </c>
      <c r="H26" s="147" t="s">
        <v>492</v>
      </c>
      <c r="I26" s="132">
        <v>-1</v>
      </c>
      <c r="J26" s="135" t="s">
        <v>170</v>
      </c>
      <c r="K26" s="34" t="s">
        <v>493</v>
      </c>
      <c r="L26" s="135" t="s">
        <v>167</v>
      </c>
      <c r="M26" s="132" t="s">
        <v>447</v>
      </c>
      <c r="O26"/>
      <c r="P26"/>
      <c r="R26" s="182" t="s">
        <v>1101</v>
      </c>
      <c r="S26" s="183" t="s">
        <v>1158</v>
      </c>
      <c r="T26" s="183">
        <v>46015.415625000001</v>
      </c>
      <c r="U26" s="182" t="s">
        <v>170</v>
      </c>
      <c r="V26" s="184" t="s">
        <v>79</v>
      </c>
    </row>
    <row r="27" spans="1:23" ht="13.5" customHeight="1">
      <c r="A27" s="166">
        <v>2</v>
      </c>
      <c r="B27" s="147" t="s">
        <v>494</v>
      </c>
      <c r="C27" s="181" t="s">
        <v>1159</v>
      </c>
      <c r="D27" s="148" t="s">
        <v>490</v>
      </c>
      <c r="E27" s="149" t="str">
        <f t="shared" si="1"/>
        <v>12/23(화)오전 도착 , 12/31(수)회수마감(회수 미정)</v>
      </c>
      <c r="F27" s="150"/>
      <c r="G27" s="147" t="s">
        <v>495</v>
      </c>
      <c r="H27" s="147">
        <v>874</v>
      </c>
      <c r="I27" s="132">
        <v>-1</v>
      </c>
      <c r="J27" s="135" t="s">
        <v>170</v>
      </c>
      <c r="K27" s="34" t="s">
        <v>496</v>
      </c>
      <c r="L27" s="135" t="s">
        <v>167</v>
      </c>
      <c r="M27" s="132" t="s">
        <v>497</v>
      </c>
      <c r="O27"/>
      <c r="P27"/>
      <c r="R27" s="182" t="s">
        <v>1160</v>
      </c>
      <c r="S27" s="183" t="s">
        <v>1158</v>
      </c>
      <c r="T27" s="183">
        <v>46014.548958333333</v>
      </c>
      <c r="U27" s="182" t="s">
        <v>170</v>
      </c>
      <c r="V27" s="184" t="s">
        <v>79</v>
      </c>
    </row>
    <row r="28" spans="1:23" ht="13.5" customHeight="1">
      <c r="A28" s="166">
        <v>3</v>
      </c>
      <c r="B28" s="151" t="s">
        <v>498</v>
      </c>
      <c r="C28" s="181" t="s">
        <v>499</v>
      </c>
      <c r="D28" s="152" t="s">
        <v>444</v>
      </c>
      <c r="E28" s="153" t="str">
        <f t="shared" si="1"/>
        <v>12/22(월)13시접안,23일04시출항.</v>
      </c>
      <c r="F28" s="154"/>
      <c r="G28" s="151" t="s">
        <v>491</v>
      </c>
      <c r="H28" s="151" t="s">
        <v>455</v>
      </c>
      <c r="I28" s="132">
        <v>0</v>
      </c>
      <c r="J28" s="135" t="s">
        <v>500</v>
      </c>
      <c r="K28" s="34" t="s">
        <v>101</v>
      </c>
      <c r="L28" s="135" t="s">
        <v>194</v>
      </c>
      <c r="M28" s="132" t="s">
        <v>501</v>
      </c>
      <c r="O28"/>
      <c r="P28"/>
      <c r="R28" s="182" t="s">
        <v>1101</v>
      </c>
      <c r="S28" s="183" t="s">
        <v>1161</v>
      </c>
      <c r="T28" s="183">
        <v>46016.414074074077</v>
      </c>
      <c r="U28" s="182" t="s">
        <v>105</v>
      </c>
      <c r="V28" s="184" t="s">
        <v>94</v>
      </c>
    </row>
    <row r="29" spans="1:23" ht="13.5" customHeight="1">
      <c r="A29" s="166">
        <v>4</v>
      </c>
      <c r="B29" s="151" t="s">
        <v>352</v>
      </c>
      <c r="C29" s="181" t="s">
        <v>502</v>
      </c>
      <c r="D29" s="152" t="s">
        <v>444</v>
      </c>
      <c r="E29" s="153" t="str">
        <f t="shared" si="1"/>
        <v>12/23(화)오후 도착 , 12/31(수)회수마감(회수 미정)</v>
      </c>
      <c r="F29" s="154"/>
      <c r="G29" s="151" t="s">
        <v>503</v>
      </c>
      <c r="H29" s="151" t="s">
        <v>446</v>
      </c>
      <c r="I29" s="132">
        <v>0</v>
      </c>
      <c r="J29" s="135" t="s">
        <v>504</v>
      </c>
      <c r="K29" s="34" t="s">
        <v>83</v>
      </c>
      <c r="L29" s="135" t="s">
        <v>505</v>
      </c>
      <c r="M29" s="132" t="s">
        <v>447</v>
      </c>
      <c r="O29"/>
      <c r="P29"/>
      <c r="R29" s="182" t="s">
        <v>1079</v>
      </c>
      <c r="S29" s="183" t="s">
        <v>1162</v>
      </c>
      <c r="T29" s="183">
        <v>46014.568749999999</v>
      </c>
      <c r="U29" s="182" t="s">
        <v>86</v>
      </c>
      <c r="V29" s="184" t="s">
        <v>77</v>
      </c>
    </row>
    <row r="30" spans="1:23" ht="13.5" customHeight="1">
      <c r="A30" s="166">
        <v>5</v>
      </c>
      <c r="B30" s="151" t="s">
        <v>488</v>
      </c>
      <c r="C30" s="181" t="s">
        <v>506</v>
      </c>
      <c r="D30" s="152" t="s">
        <v>444</v>
      </c>
      <c r="E30" s="153" t="str">
        <f t="shared" si="1"/>
        <v>12/23(화)오후 도착 , 12/31(수)회수마감(회수 미정)</v>
      </c>
      <c r="F30" s="154"/>
      <c r="G30" s="151" t="s">
        <v>507</v>
      </c>
      <c r="H30" s="151">
        <v>869</v>
      </c>
      <c r="I30" s="132">
        <v>0</v>
      </c>
      <c r="J30" s="135" t="s">
        <v>508</v>
      </c>
      <c r="K30" s="34" t="s">
        <v>509</v>
      </c>
      <c r="L30" s="135" t="s">
        <v>75</v>
      </c>
      <c r="M30" s="132" t="s">
        <v>447</v>
      </c>
      <c r="O30"/>
      <c r="P30"/>
      <c r="R30" s="182" t="s">
        <v>1101</v>
      </c>
      <c r="S30" s="183" t="s">
        <v>1164</v>
      </c>
      <c r="T30" s="183">
        <v>46014.630150462966</v>
      </c>
      <c r="U30" s="182" t="s">
        <v>508</v>
      </c>
      <c r="V30" s="184" t="s">
        <v>1163</v>
      </c>
    </row>
    <row r="31" spans="1:23" ht="13.5" customHeight="1">
      <c r="A31" s="166">
        <v>6</v>
      </c>
      <c r="B31" s="151" t="s">
        <v>510</v>
      </c>
      <c r="C31" s="181" t="s">
        <v>511</v>
      </c>
      <c r="D31" s="152" t="s">
        <v>444</v>
      </c>
      <c r="E31" s="153" t="str">
        <f t="shared" si="1"/>
        <v>12/24(수)오후 도착 , 12/29(월)회수마감(회수 미정)</v>
      </c>
      <c r="F31" s="154"/>
      <c r="G31" s="151" t="s">
        <v>512</v>
      </c>
      <c r="H31" s="151">
        <v>1800</v>
      </c>
      <c r="I31" s="132">
        <v>0</v>
      </c>
      <c r="J31" s="135" t="s">
        <v>513</v>
      </c>
      <c r="K31" s="34" t="s">
        <v>514</v>
      </c>
      <c r="L31" s="135" t="s">
        <v>194</v>
      </c>
      <c r="M31" s="132" t="s">
        <v>515</v>
      </c>
      <c r="O31"/>
      <c r="P31"/>
      <c r="R31" s="182" t="s">
        <v>601</v>
      </c>
      <c r="S31" s="183" t="s">
        <v>598</v>
      </c>
      <c r="T31" s="183">
        <v>46015.495138888888</v>
      </c>
      <c r="U31" s="182" t="s">
        <v>600</v>
      </c>
      <c r="V31" s="184" t="s">
        <v>799</v>
      </c>
    </row>
    <row r="32" spans="1:23" ht="13.5" customHeight="1">
      <c r="A32" s="166">
        <v>7</v>
      </c>
      <c r="B32" s="151" t="s">
        <v>89</v>
      </c>
      <c r="C32" s="181" t="s">
        <v>516</v>
      </c>
      <c r="D32" s="152" t="s">
        <v>444</v>
      </c>
      <c r="E32" s="153" t="str">
        <f t="shared" si="1"/>
        <v>12/24(수)오후 도착 , 12/29(월)회수마감(회수 미정)</v>
      </c>
      <c r="F32" s="154"/>
      <c r="G32" s="151" t="s">
        <v>445</v>
      </c>
      <c r="H32" s="151" t="s">
        <v>455</v>
      </c>
      <c r="I32" s="132">
        <v>0</v>
      </c>
      <c r="J32" s="135" t="s">
        <v>92</v>
      </c>
      <c r="K32" s="34" t="s">
        <v>109</v>
      </c>
      <c r="L32" s="135" t="s">
        <v>517</v>
      </c>
      <c r="M32" s="132" t="s">
        <v>515</v>
      </c>
      <c r="O32"/>
      <c r="P32"/>
      <c r="R32" s="182" t="s">
        <v>602</v>
      </c>
      <c r="S32" s="183" t="s">
        <v>603</v>
      </c>
      <c r="T32" s="183">
        <v>46015.643854166665</v>
      </c>
      <c r="U32" s="182" t="s">
        <v>114</v>
      </c>
      <c r="V32" s="184" t="s">
        <v>800</v>
      </c>
    </row>
    <row r="33" spans="1:22" ht="13.5" customHeight="1">
      <c r="A33" s="166">
        <v>8</v>
      </c>
      <c r="B33" s="151" t="s">
        <v>89</v>
      </c>
      <c r="C33" s="181" t="s">
        <v>518</v>
      </c>
      <c r="D33" s="152" t="s">
        <v>444</v>
      </c>
      <c r="E33" s="153" t="str">
        <f t="shared" si="1"/>
        <v>12/24(수)오후 도착 , 12/29(월)회수마감(회수 미정)</v>
      </c>
      <c r="F33" s="154"/>
      <c r="G33" s="151" t="s">
        <v>445</v>
      </c>
      <c r="H33" s="151" t="s">
        <v>455</v>
      </c>
      <c r="I33" s="132">
        <v>0</v>
      </c>
      <c r="J33" s="135" t="s">
        <v>92</v>
      </c>
      <c r="K33" s="34" t="s">
        <v>88</v>
      </c>
      <c r="L33" s="135" t="s">
        <v>517</v>
      </c>
      <c r="M33" s="132" t="s">
        <v>515</v>
      </c>
      <c r="O33"/>
      <c r="P33"/>
      <c r="R33" s="182" t="s">
        <v>602</v>
      </c>
      <c r="S33" s="183" t="s">
        <v>603</v>
      </c>
      <c r="T33" s="183">
        <v>46015.186863425923</v>
      </c>
      <c r="U33" s="182" t="s">
        <v>114</v>
      </c>
      <c r="V33" s="184" t="s">
        <v>800</v>
      </c>
    </row>
    <row r="34" spans="1:22" ht="13.5" customHeight="1">
      <c r="A34" s="166">
        <v>9</v>
      </c>
      <c r="B34" s="151" t="s">
        <v>510</v>
      </c>
      <c r="C34" s="181" t="s">
        <v>519</v>
      </c>
      <c r="D34" s="152" t="s">
        <v>444</v>
      </c>
      <c r="E34" s="153" t="str">
        <f t="shared" si="1"/>
        <v>12/24(수)오후 도착 , 12/29(월)회수마감(회수 미정)</v>
      </c>
      <c r="F34" s="154"/>
      <c r="G34" s="151" t="s">
        <v>512</v>
      </c>
      <c r="H34" s="151">
        <v>1800</v>
      </c>
      <c r="I34" s="132">
        <v>0</v>
      </c>
      <c r="J34" s="135" t="s">
        <v>513</v>
      </c>
      <c r="K34" s="34" t="s">
        <v>520</v>
      </c>
      <c r="L34" s="135" t="s">
        <v>194</v>
      </c>
      <c r="M34" s="132" t="s">
        <v>515</v>
      </c>
      <c r="O34"/>
      <c r="P34"/>
      <c r="R34" s="182" t="s">
        <v>601</v>
      </c>
      <c r="S34" s="182" t="s">
        <v>598</v>
      </c>
      <c r="T34" s="183">
        <v>46015.38958333333</v>
      </c>
      <c r="U34" s="182" t="s">
        <v>600</v>
      </c>
      <c r="V34" s="184" t="s">
        <v>799</v>
      </c>
    </row>
    <row r="35" spans="1:22" ht="13.5" customHeight="1">
      <c r="A35" s="166">
        <v>10</v>
      </c>
      <c r="B35" s="151" t="s">
        <v>89</v>
      </c>
      <c r="C35" s="181" t="s">
        <v>521</v>
      </c>
      <c r="D35" s="152" t="s">
        <v>444</v>
      </c>
      <c r="E35" s="153" t="str">
        <f t="shared" si="1"/>
        <v>12/24(수)조출 , 12/29(월)회수마감(회수 계획 있음)</v>
      </c>
      <c r="F35" s="154"/>
      <c r="G35" s="151" t="s">
        <v>445</v>
      </c>
      <c r="H35" s="151" t="s">
        <v>455</v>
      </c>
      <c r="I35" s="132">
        <v>0</v>
      </c>
      <c r="J35" s="135" t="s">
        <v>92</v>
      </c>
      <c r="K35" s="34" t="s">
        <v>95</v>
      </c>
      <c r="L35" s="135" t="s">
        <v>517</v>
      </c>
      <c r="M35" s="132" t="s">
        <v>522</v>
      </c>
      <c r="O35"/>
      <c r="P35"/>
      <c r="R35" s="182" t="s">
        <v>602</v>
      </c>
      <c r="S35" s="182" t="s">
        <v>603</v>
      </c>
      <c r="T35" s="183">
        <v>46015.741354166668</v>
      </c>
      <c r="U35" s="182" t="s">
        <v>114</v>
      </c>
      <c r="V35" s="184" t="s">
        <v>800</v>
      </c>
    </row>
    <row r="36" spans="1:22" ht="13.5" customHeight="1">
      <c r="A36" s="166">
        <v>11</v>
      </c>
      <c r="B36" s="151" t="s">
        <v>89</v>
      </c>
      <c r="C36" s="181" t="s">
        <v>523</v>
      </c>
      <c r="D36" s="152" t="s">
        <v>444</v>
      </c>
      <c r="E36" s="153" t="str">
        <f t="shared" si="1"/>
        <v>12/24(수)조출 , 12/29(월)회수마감(회수 계획 있음)</v>
      </c>
      <c r="F36" s="154"/>
      <c r="G36" s="151" t="s">
        <v>445</v>
      </c>
      <c r="H36" s="151" t="s">
        <v>455</v>
      </c>
      <c r="I36" s="132">
        <v>0</v>
      </c>
      <c r="J36" s="135" t="s">
        <v>92</v>
      </c>
      <c r="K36" s="34" t="s">
        <v>98</v>
      </c>
      <c r="L36" s="135" t="s">
        <v>517</v>
      </c>
      <c r="M36" s="132" t="s">
        <v>522</v>
      </c>
      <c r="O36"/>
      <c r="P36"/>
      <c r="R36" s="182" t="s">
        <v>602</v>
      </c>
      <c r="S36" s="182" t="s">
        <v>603</v>
      </c>
      <c r="T36" s="183">
        <v>46015.185624999998</v>
      </c>
      <c r="U36" s="182" t="s">
        <v>114</v>
      </c>
      <c r="V36" s="184" t="s">
        <v>800</v>
      </c>
    </row>
    <row r="37" spans="1:22" ht="13.5" customHeight="1">
      <c r="A37" s="166">
        <v>12</v>
      </c>
      <c r="B37" s="151" t="s">
        <v>510</v>
      </c>
      <c r="C37" s="181" t="s">
        <v>524</v>
      </c>
      <c r="D37" s="152" t="s">
        <v>444</v>
      </c>
      <c r="E37" s="153" t="str">
        <f t="shared" si="1"/>
        <v>12/24(수)조출 , 12/29(월)회수마감(회수 계획 있음)</v>
      </c>
      <c r="F37" s="154"/>
      <c r="G37" s="151" t="s">
        <v>512</v>
      </c>
      <c r="H37" s="151">
        <v>2100</v>
      </c>
      <c r="I37" s="132">
        <v>0</v>
      </c>
      <c r="J37" s="135" t="s">
        <v>525</v>
      </c>
      <c r="K37" s="34" t="s">
        <v>526</v>
      </c>
      <c r="L37" s="135" t="s">
        <v>207</v>
      </c>
      <c r="M37" s="132" t="s">
        <v>522</v>
      </c>
      <c r="O37"/>
      <c r="P37"/>
      <c r="R37" s="182" t="s">
        <v>601</v>
      </c>
      <c r="S37" s="182" t="s">
        <v>599</v>
      </c>
      <c r="T37" s="183">
        <v>46015.309236111112</v>
      </c>
      <c r="U37" s="182" t="s">
        <v>604</v>
      </c>
      <c r="V37" s="184" t="s">
        <v>799</v>
      </c>
    </row>
    <row r="38" spans="1:22" ht="13.5" customHeight="1">
      <c r="A38" s="166">
        <v>13</v>
      </c>
      <c r="B38" s="142" t="s">
        <v>80</v>
      </c>
      <c r="C38" s="181" t="s">
        <v>527</v>
      </c>
      <c r="D38" s="140" t="s">
        <v>444</v>
      </c>
      <c r="E38" s="146" t="str">
        <f t="shared" si="1"/>
        <v>12/11(목)! 18시 CY반입됨.</v>
      </c>
      <c r="F38" s="141"/>
      <c r="G38" s="142" t="s">
        <v>528</v>
      </c>
      <c r="H38" s="142" t="s">
        <v>455</v>
      </c>
      <c r="J38" s="135" t="s">
        <v>195</v>
      </c>
      <c r="K38" s="34" t="s">
        <v>246</v>
      </c>
      <c r="L38" s="135" t="s">
        <v>194</v>
      </c>
      <c r="M38" s="132" t="s">
        <v>529</v>
      </c>
      <c r="O38"/>
      <c r="P38"/>
      <c r="R38" s="182" t="s">
        <v>1082</v>
      </c>
      <c r="S38" s="182" t="s">
        <v>597</v>
      </c>
      <c r="T38" s="183">
        <v>46017.719594907408</v>
      </c>
      <c r="U38" s="182" t="s">
        <v>163</v>
      </c>
      <c r="V38" s="184" t="s">
        <v>1081</v>
      </c>
    </row>
    <row r="39" spans="1:22" ht="13.5" customHeight="1">
      <c r="A39" s="166">
        <v>14</v>
      </c>
      <c r="B39" s="142" t="s">
        <v>80</v>
      </c>
      <c r="C39" s="181" t="s">
        <v>530</v>
      </c>
      <c r="D39" s="140" t="s">
        <v>444</v>
      </c>
      <c r="E39" s="146" t="str">
        <f t="shared" si="1"/>
        <v>12/12(금)! 05시 CY반입됨.</v>
      </c>
      <c r="F39" s="141"/>
      <c r="G39" s="142" t="s">
        <v>528</v>
      </c>
      <c r="H39" s="142" t="s">
        <v>455</v>
      </c>
      <c r="J39" s="135" t="s">
        <v>195</v>
      </c>
      <c r="K39" s="34" t="s">
        <v>250</v>
      </c>
      <c r="L39" s="135" t="s">
        <v>194</v>
      </c>
      <c r="M39" s="132" t="s">
        <v>531</v>
      </c>
      <c r="O39"/>
      <c r="P39"/>
      <c r="R39" s="182" t="s">
        <v>1082</v>
      </c>
      <c r="S39" s="182" t="s">
        <v>597</v>
      </c>
      <c r="T39" s="183">
        <v>46017.858020833337</v>
      </c>
      <c r="U39" s="182" t="s">
        <v>163</v>
      </c>
      <c r="V39" s="184" t="s">
        <v>1081</v>
      </c>
    </row>
    <row r="40" spans="1:22" ht="13.5" customHeight="1">
      <c r="A40" s="166">
        <v>15</v>
      </c>
      <c r="B40" s="142" t="s">
        <v>80</v>
      </c>
      <c r="C40" s="181" t="s">
        <v>532</v>
      </c>
      <c r="D40" s="140" t="s">
        <v>444</v>
      </c>
      <c r="E40" s="146" t="str">
        <f t="shared" si="1"/>
        <v>12/16(화)! 03시 CY반입됨.</v>
      </c>
      <c r="F40" s="141"/>
      <c r="G40" s="142" t="s">
        <v>528</v>
      </c>
      <c r="H40" s="142" t="s">
        <v>455</v>
      </c>
      <c r="J40" s="135" t="s">
        <v>196</v>
      </c>
      <c r="K40" s="34" t="s">
        <v>257</v>
      </c>
      <c r="L40" s="135" t="s">
        <v>167</v>
      </c>
      <c r="M40" s="132" t="s">
        <v>533</v>
      </c>
      <c r="O40"/>
      <c r="P40"/>
      <c r="R40" s="182" t="s">
        <v>602</v>
      </c>
      <c r="S40" s="182" t="s">
        <v>596</v>
      </c>
      <c r="T40" s="183">
        <v>46017.742245370369</v>
      </c>
      <c r="U40" s="182" t="s">
        <v>164</v>
      </c>
      <c r="V40" s="184" t="s">
        <v>1084</v>
      </c>
    </row>
    <row r="41" spans="1:22" ht="13.5" customHeight="1">
      <c r="A41" s="166">
        <v>16</v>
      </c>
      <c r="B41" s="142" t="s">
        <v>80</v>
      </c>
      <c r="C41" s="181" t="s">
        <v>534</v>
      </c>
      <c r="D41" s="140" t="s">
        <v>444</v>
      </c>
      <c r="E41" s="146" t="str">
        <f t="shared" si="1"/>
        <v>12/16(화)! 03시 CY반입됨.</v>
      </c>
      <c r="F41" s="141"/>
      <c r="G41" s="142" t="s">
        <v>528</v>
      </c>
      <c r="H41" s="142" t="s">
        <v>455</v>
      </c>
      <c r="J41" s="135" t="s">
        <v>196</v>
      </c>
      <c r="K41" s="34" t="s">
        <v>253</v>
      </c>
      <c r="L41" s="135" t="s">
        <v>167</v>
      </c>
      <c r="M41" s="132" t="s">
        <v>533</v>
      </c>
      <c r="O41"/>
      <c r="P41"/>
      <c r="S41" s="182" t="s">
        <v>596</v>
      </c>
      <c r="U41" s="182" t="s">
        <v>164</v>
      </c>
      <c r="V41" s="184" t="s">
        <v>1084</v>
      </c>
    </row>
    <row r="42" spans="1:22" ht="13.5" customHeight="1">
      <c r="A42" s="166">
        <v>17</v>
      </c>
      <c r="B42" s="142" t="s">
        <v>117</v>
      </c>
      <c r="C42" s="181" t="s">
        <v>535</v>
      </c>
      <c r="D42" s="140" t="s">
        <v>444</v>
      </c>
      <c r="E42" s="146" t="str">
        <f t="shared" si="1"/>
        <v>12/17(수)! 07시 CY반입됨.</v>
      </c>
      <c r="F42" s="141"/>
      <c r="G42" s="142" t="s">
        <v>528</v>
      </c>
      <c r="H42" s="142" t="s">
        <v>446</v>
      </c>
      <c r="J42" s="135" t="s">
        <v>165</v>
      </c>
      <c r="K42" s="34" t="s">
        <v>122</v>
      </c>
      <c r="L42" s="135" t="s">
        <v>75</v>
      </c>
      <c r="M42" s="132" t="s">
        <v>536</v>
      </c>
      <c r="O42"/>
      <c r="P42"/>
      <c r="R42" s="182" t="s">
        <v>602</v>
      </c>
      <c r="S42" s="182" t="s">
        <v>599</v>
      </c>
      <c r="U42" s="182" t="s">
        <v>165</v>
      </c>
      <c r="V42" s="184" t="s">
        <v>1075</v>
      </c>
    </row>
    <row r="43" spans="1:22" ht="13.5" customHeight="1">
      <c r="A43" s="166">
        <v>18</v>
      </c>
      <c r="B43" s="142" t="s">
        <v>80</v>
      </c>
      <c r="C43" s="140" t="s">
        <v>537</v>
      </c>
      <c r="D43" s="140" t="s">
        <v>444</v>
      </c>
      <c r="E43" s="146" t="str">
        <f t="shared" si="1"/>
        <v>12/17(수)! 12시 CY반입됨.</v>
      </c>
      <c r="F43" s="141"/>
      <c r="G43" s="142" t="s">
        <v>528</v>
      </c>
      <c r="H43" s="142" t="s">
        <v>455</v>
      </c>
      <c r="J43" s="135" t="s">
        <v>198</v>
      </c>
      <c r="K43" s="34" t="s">
        <v>261</v>
      </c>
      <c r="L43" s="135" t="s">
        <v>194</v>
      </c>
      <c r="M43" s="132" t="s">
        <v>538</v>
      </c>
      <c r="O43"/>
      <c r="P43"/>
      <c r="V43" s="184"/>
    </row>
    <row r="44" spans="1:22" ht="13.5" customHeight="1">
      <c r="A44" s="166">
        <v>19</v>
      </c>
      <c r="B44" s="142" t="s">
        <v>117</v>
      </c>
      <c r="C44" s="140" t="s">
        <v>539</v>
      </c>
      <c r="D44" s="140" t="s">
        <v>444</v>
      </c>
      <c r="E44" s="146" t="str">
        <f t="shared" si="1"/>
        <v>12/17(수)! 16시 CY반입됨.</v>
      </c>
      <c r="F44" s="141"/>
      <c r="G44" s="142" t="s">
        <v>528</v>
      </c>
      <c r="H44" s="142" t="s">
        <v>446</v>
      </c>
      <c r="J44" s="135" t="s">
        <v>184</v>
      </c>
      <c r="K44" s="34" t="s">
        <v>183</v>
      </c>
      <c r="L44" s="135" t="s">
        <v>182</v>
      </c>
      <c r="M44" s="132" t="s">
        <v>540</v>
      </c>
      <c r="O44"/>
      <c r="P44"/>
      <c r="V44" s="184"/>
    </row>
    <row r="45" spans="1:22" ht="13.5" customHeight="1">
      <c r="A45" s="166">
        <v>20</v>
      </c>
      <c r="B45" s="142" t="s">
        <v>488</v>
      </c>
      <c r="C45" s="140" t="s">
        <v>541</v>
      </c>
      <c r="D45" s="140" t="s">
        <v>444</v>
      </c>
      <c r="E45" s="146" t="str">
        <f t="shared" si="1"/>
        <v>12/21(일)! 02시 CY반입됨.</v>
      </c>
      <c r="F45" s="141"/>
      <c r="G45" s="142" t="s">
        <v>528</v>
      </c>
      <c r="H45" s="142">
        <v>952</v>
      </c>
      <c r="J45" s="135" t="s">
        <v>170</v>
      </c>
      <c r="K45" s="34" t="s">
        <v>175</v>
      </c>
      <c r="L45" s="135" t="s">
        <v>167</v>
      </c>
      <c r="M45" s="132" t="s">
        <v>542</v>
      </c>
      <c r="O45"/>
      <c r="P45"/>
      <c r="T45" s="183"/>
      <c r="V45" s="184"/>
    </row>
    <row r="46" spans="1:22" ht="13.5" customHeight="1">
      <c r="A46" s="166">
        <v>21</v>
      </c>
      <c r="B46" s="142" t="s">
        <v>488</v>
      </c>
      <c r="C46" s="140" t="s">
        <v>231</v>
      </c>
      <c r="D46" s="140" t="s">
        <v>444</v>
      </c>
      <c r="E46" s="146" t="str">
        <f t="shared" si="1"/>
        <v>12/21(일)! 04시 CY반입됨.</v>
      </c>
      <c r="F46" s="141"/>
      <c r="G46" s="142" t="s">
        <v>528</v>
      </c>
      <c r="H46" s="142">
        <v>834</v>
      </c>
      <c r="J46" s="135" t="s">
        <v>170</v>
      </c>
      <c r="K46" s="34" t="s">
        <v>169</v>
      </c>
      <c r="L46" s="135" t="s">
        <v>167</v>
      </c>
      <c r="M46" s="132" t="s">
        <v>543</v>
      </c>
      <c r="O46"/>
      <c r="P46"/>
      <c r="T46" s="183"/>
      <c r="V46" s="184"/>
    </row>
    <row r="47" spans="1:22" ht="13.5" customHeight="1">
      <c r="A47" s="166">
        <v>22</v>
      </c>
      <c r="B47" s="142" t="s">
        <v>488</v>
      </c>
      <c r="C47" s="140" t="s">
        <v>544</v>
      </c>
      <c r="D47" s="140" t="s">
        <v>444</v>
      </c>
      <c r="E47" s="146" t="str">
        <f t="shared" si="1"/>
        <v>12/21(일)! 05시 CY반입됨.</v>
      </c>
      <c r="F47" s="141"/>
      <c r="G47" s="142" t="s">
        <v>528</v>
      </c>
      <c r="H47" s="142">
        <v>750</v>
      </c>
      <c r="J47" s="135" t="s">
        <v>170</v>
      </c>
      <c r="K47" s="34" t="s">
        <v>172</v>
      </c>
      <c r="L47" s="135" t="s">
        <v>545</v>
      </c>
      <c r="M47" s="132" t="s">
        <v>546</v>
      </c>
      <c r="O47"/>
      <c r="P47"/>
      <c r="T47" s="183"/>
      <c r="V47" s="184"/>
    </row>
    <row r="48" spans="1:22" ht="13.5" customHeight="1">
      <c r="A48" s="166">
        <v>23</v>
      </c>
      <c r="B48" s="142" t="s">
        <v>117</v>
      </c>
      <c r="C48" s="140" t="s">
        <v>547</v>
      </c>
      <c r="D48" s="140" t="s">
        <v>444</v>
      </c>
      <c r="E48" s="146" t="str">
        <f t="shared" si="1"/>
        <v>12/21(일)! 20시 CY반입됨.</v>
      </c>
      <c r="F48" s="141"/>
      <c r="G48" s="142" t="s">
        <v>528</v>
      </c>
      <c r="H48" s="142" t="s">
        <v>446</v>
      </c>
      <c r="J48" s="135" t="s">
        <v>162</v>
      </c>
      <c r="K48" s="34" t="s">
        <v>548</v>
      </c>
      <c r="L48" s="135" t="s">
        <v>549</v>
      </c>
      <c r="M48" s="132" t="s">
        <v>550</v>
      </c>
      <c r="O48"/>
      <c r="P48"/>
      <c r="V48" s="184"/>
    </row>
    <row r="49" spans="1:22" ht="13.5" customHeight="1">
      <c r="A49" s="166">
        <v>24</v>
      </c>
      <c r="B49" s="142" t="s">
        <v>117</v>
      </c>
      <c r="C49" s="140" t="s">
        <v>551</v>
      </c>
      <c r="D49" s="140" t="s">
        <v>444</v>
      </c>
      <c r="E49" s="146" t="str">
        <f t="shared" si="1"/>
        <v>12/21(일)! 20시 CY반입됨.</v>
      </c>
      <c r="F49" s="141"/>
      <c r="G49" s="142" t="s">
        <v>528</v>
      </c>
      <c r="H49" s="142" t="s">
        <v>446</v>
      </c>
      <c r="J49" s="135" t="s">
        <v>191</v>
      </c>
      <c r="K49" s="34" t="s">
        <v>190</v>
      </c>
      <c r="L49" s="135" t="s">
        <v>182</v>
      </c>
      <c r="M49" s="132" t="s">
        <v>550</v>
      </c>
      <c r="O49"/>
      <c r="P49"/>
      <c r="V49" s="184"/>
    </row>
    <row r="50" spans="1:22" ht="13.5" customHeight="1">
      <c r="A50" s="166">
        <v>25</v>
      </c>
      <c r="B50" s="142" t="s">
        <v>552</v>
      </c>
      <c r="C50" s="140" t="s">
        <v>553</v>
      </c>
      <c r="D50" s="140" t="s">
        <v>444</v>
      </c>
      <c r="E50" s="146" t="str">
        <f t="shared" si="1"/>
        <v>12/23(화)! 00시 CY반입됨.</v>
      </c>
      <c r="F50" s="141"/>
      <c r="G50" s="142" t="s">
        <v>528</v>
      </c>
      <c r="H50" s="142">
        <v>2079</v>
      </c>
      <c r="J50" s="135" t="s">
        <v>554</v>
      </c>
      <c r="K50" s="34" t="s">
        <v>555</v>
      </c>
      <c r="L50" s="135" t="s">
        <v>75</v>
      </c>
      <c r="M50" s="132" t="s">
        <v>556</v>
      </c>
      <c r="O50"/>
      <c r="P50"/>
      <c r="T50" s="183"/>
      <c r="V50" s="184"/>
    </row>
    <row r="51" spans="1:22" ht="13.5" customHeight="1">
      <c r="A51" s="166">
        <v>26</v>
      </c>
      <c r="B51" s="142" t="s">
        <v>80</v>
      </c>
      <c r="C51" s="140" t="s">
        <v>557</v>
      </c>
      <c r="D51" s="140" t="s">
        <v>444</v>
      </c>
      <c r="E51" s="146" t="str">
        <f t="shared" si="1"/>
        <v>12/24(수)14시접안,25일12시출항.</v>
      </c>
      <c r="F51" s="141"/>
      <c r="G51" s="142" t="s">
        <v>528</v>
      </c>
      <c r="H51" s="142" t="s">
        <v>455</v>
      </c>
      <c r="J51" s="135" t="s">
        <v>202</v>
      </c>
      <c r="K51" s="34" t="s">
        <v>272</v>
      </c>
      <c r="L51" s="135" t="s">
        <v>167</v>
      </c>
      <c r="M51" s="132" t="s">
        <v>558</v>
      </c>
      <c r="O51"/>
      <c r="P51"/>
      <c r="V51" s="184"/>
    </row>
    <row r="52" spans="1:22" ht="13.5" customHeight="1">
      <c r="A52" s="166">
        <v>27</v>
      </c>
      <c r="B52" s="142" t="s">
        <v>498</v>
      </c>
      <c r="C52" s="140" t="s">
        <v>559</v>
      </c>
      <c r="D52" s="140" t="s">
        <v>444</v>
      </c>
      <c r="E52" s="146" t="str">
        <f t="shared" si="1"/>
        <v>12/24(수)21시접안,25일21시출항.</v>
      </c>
      <c r="F52" s="141"/>
      <c r="G52" s="142" t="s">
        <v>528</v>
      </c>
      <c r="H52" s="142" t="s">
        <v>455</v>
      </c>
      <c r="J52" s="135" t="s">
        <v>201</v>
      </c>
      <c r="K52" s="34" t="s">
        <v>268</v>
      </c>
      <c r="L52" s="135" t="s">
        <v>194</v>
      </c>
      <c r="M52" s="132" t="s">
        <v>560</v>
      </c>
      <c r="O52"/>
      <c r="P52"/>
      <c r="V52" s="184"/>
    </row>
    <row r="53" spans="1:22" ht="13.5" customHeight="1">
      <c r="A53" s="166">
        <v>28</v>
      </c>
      <c r="B53" s="142" t="s">
        <v>510</v>
      </c>
      <c r="C53" s="140" t="s">
        <v>561</v>
      </c>
      <c r="D53" s="140" t="s">
        <v>444</v>
      </c>
      <c r="E53" s="146" t="str">
        <f t="shared" si="1"/>
        <v>12/25(목)07시접안,26일01시출항.</v>
      </c>
      <c r="F53" s="141"/>
      <c r="G53" s="142" t="s">
        <v>562</v>
      </c>
      <c r="H53" s="142">
        <v>1800</v>
      </c>
      <c r="J53" s="135" t="s">
        <v>563</v>
      </c>
      <c r="K53" s="34" t="s">
        <v>564</v>
      </c>
      <c r="L53" s="135" t="s">
        <v>194</v>
      </c>
      <c r="M53" s="132" t="s">
        <v>565</v>
      </c>
      <c r="O53"/>
      <c r="P53"/>
      <c r="T53" s="183"/>
      <c r="V53" s="184"/>
    </row>
    <row r="54" spans="1:22" ht="13.5" customHeight="1">
      <c r="A54" s="166">
        <v>29</v>
      </c>
      <c r="B54" s="142" t="s">
        <v>352</v>
      </c>
      <c r="C54" s="140" t="s">
        <v>566</v>
      </c>
      <c r="D54" s="140" t="s">
        <v>444</v>
      </c>
      <c r="E54" s="146" t="str">
        <f t="shared" si="1"/>
        <v>12/25(목)12시접안,27일06시출항.</v>
      </c>
      <c r="F54" s="141"/>
      <c r="G54" s="142" t="s">
        <v>528</v>
      </c>
      <c r="H54" s="142" t="s">
        <v>455</v>
      </c>
      <c r="J54" s="135" t="s">
        <v>188</v>
      </c>
      <c r="K54" s="34" t="s">
        <v>244</v>
      </c>
      <c r="L54" s="135" t="s">
        <v>193</v>
      </c>
      <c r="M54" s="132" t="s">
        <v>567</v>
      </c>
      <c r="O54"/>
      <c r="P54"/>
      <c r="V54" s="184"/>
    </row>
    <row r="55" spans="1:22" ht="13.5" customHeight="1">
      <c r="A55" s="166">
        <v>30</v>
      </c>
      <c r="B55" s="142" t="s">
        <v>131</v>
      </c>
      <c r="C55" s="140" t="s">
        <v>203</v>
      </c>
      <c r="D55" s="140" t="s">
        <v>444</v>
      </c>
      <c r="E55" s="146" t="str">
        <f t="shared" si="1"/>
        <v>12/25(목)입항예정</v>
      </c>
      <c r="F55" s="141"/>
      <c r="G55" s="142" t="s">
        <v>528</v>
      </c>
      <c r="H55" s="142" t="s">
        <v>455</v>
      </c>
      <c r="J55" s="135" t="s">
        <v>549</v>
      </c>
      <c r="K55" s="34" t="s">
        <v>130</v>
      </c>
      <c r="L55" s="135" t="s">
        <v>549</v>
      </c>
      <c r="M55" s="132" t="s">
        <v>568</v>
      </c>
      <c r="O55"/>
      <c r="P55"/>
    </row>
    <row r="56" spans="1:22" ht="13.5" customHeight="1">
      <c r="A56" s="166">
        <v>31</v>
      </c>
      <c r="B56" s="142" t="s">
        <v>133</v>
      </c>
      <c r="C56" s="140" t="s">
        <v>569</v>
      </c>
      <c r="D56" s="140" t="s">
        <v>444</v>
      </c>
      <c r="E56" s="146" t="str">
        <f t="shared" si="1"/>
        <v>12/25(목)입항예정</v>
      </c>
      <c r="F56" s="141"/>
      <c r="G56" s="142" t="s">
        <v>528</v>
      </c>
      <c r="H56" s="142" t="s">
        <v>455</v>
      </c>
      <c r="J56" s="135" t="s">
        <v>549</v>
      </c>
      <c r="K56" s="34" t="s">
        <v>132</v>
      </c>
      <c r="L56" s="135" t="s">
        <v>549</v>
      </c>
      <c r="M56" s="132" t="s">
        <v>568</v>
      </c>
      <c r="O56"/>
      <c r="P56"/>
      <c r="V56" s="184"/>
    </row>
    <row r="57" spans="1:22" ht="13.5" customHeight="1">
      <c r="A57" s="166">
        <v>32</v>
      </c>
      <c r="B57" s="142" t="s">
        <v>117</v>
      </c>
      <c r="C57" s="140" t="s">
        <v>570</v>
      </c>
      <c r="D57" s="140" t="s">
        <v>444</v>
      </c>
      <c r="E57" s="146" t="str">
        <f t="shared" si="1"/>
        <v>12/26(금)03시접안,27일02시출항.</v>
      </c>
      <c r="F57" s="141"/>
      <c r="G57" s="142" t="s">
        <v>528</v>
      </c>
      <c r="H57" s="142" t="s">
        <v>446</v>
      </c>
      <c r="J57" s="135" t="s">
        <v>205</v>
      </c>
      <c r="K57" s="34" t="s">
        <v>134</v>
      </c>
      <c r="L57" s="135" t="s">
        <v>75</v>
      </c>
      <c r="M57" s="132" t="s">
        <v>571</v>
      </c>
      <c r="O57"/>
      <c r="P57"/>
      <c r="V57" s="184"/>
    </row>
    <row r="58" spans="1:22" ht="13.5" customHeight="1">
      <c r="A58" s="166">
        <v>33</v>
      </c>
      <c r="B58" s="142" t="s">
        <v>352</v>
      </c>
      <c r="C58" s="140" t="s">
        <v>281</v>
      </c>
      <c r="D58" s="140" t="s">
        <v>444</v>
      </c>
      <c r="E58" s="146" t="str">
        <f t="shared" si="1"/>
        <v>12/26(금)03시접안,27일02시출항.</v>
      </c>
      <c r="F58" s="141"/>
      <c r="G58" s="142" t="s">
        <v>528</v>
      </c>
      <c r="H58" s="142" t="s">
        <v>446</v>
      </c>
      <c r="J58" s="135" t="s">
        <v>205</v>
      </c>
      <c r="K58" s="34" t="s">
        <v>138</v>
      </c>
      <c r="L58" s="135" t="s">
        <v>75</v>
      </c>
      <c r="M58" s="132" t="s">
        <v>571</v>
      </c>
      <c r="O58"/>
      <c r="P58"/>
      <c r="V58" s="184"/>
    </row>
    <row r="59" spans="1:22" ht="13.5" customHeight="1">
      <c r="A59" s="166">
        <v>34</v>
      </c>
      <c r="B59" s="142" t="s">
        <v>117</v>
      </c>
      <c r="C59" s="140" t="s">
        <v>572</v>
      </c>
      <c r="D59" s="140" t="s">
        <v>444</v>
      </c>
      <c r="E59" s="146" t="str">
        <f t="shared" si="1"/>
        <v>12/26(금)03시접안,27일02시출항.</v>
      </c>
      <c r="F59" s="141"/>
      <c r="G59" s="142" t="s">
        <v>528</v>
      </c>
      <c r="H59" s="142" t="s">
        <v>446</v>
      </c>
      <c r="J59" s="135" t="s">
        <v>205</v>
      </c>
      <c r="K59" s="34" t="s">
        <v>135</v>
      </c>
      <c r="L59" s="135" t="s">
        <v>75</v>
      </c>
      <c r="M59" s="132" t="s">
        <v>571</v>
      </c>
      <c r="O59"/>
      <c r="P59"/>
      <c r="V59" s="184"/>
    </row>
    <row r="60" spans="1:22" ht="13.5" customHeight="1">
      <c r="A60" s="166">
        <v>35</v>
      </c>
      <c r="B60" s="142" t="s">
        <v>573</v>
      </c>
      <c r="C60" s="140" t="s">
        <v>574</v>
      </c>
      <c r="D60" s="140" t="s">
        <v>444</v>
      </c>
      <c r="E60" s="146" t="str">
        <f t="shared" si="1"/>
        <v>12/26(금)10시접안,26일22시출항.</v>
      </c>
      <c r="F60" s="141"/>
      <c r="G60" s="142" t="s">
        <v>528</v>
      </c>
      <c r="H60" s="142">
        <v>2750</v>
      </c>
      <c r="J60" s="135" t="s">
        <v>206</v>
      </c>
      <c r="K60" s="34" t="s">
        <v>575</v>
      </c>
      <c r="L60" s="135" t="s">
        <v>505</v>
      </c>
      <c r="M60" s="132" t="s">
        <v>576</v>
      </c>
      <c r="O60"/>
      <c r="P60"/>
    </row>
    <row r="61" spans="1:22" ht="13.5" customHeight="1">
      <c r="A61" s="166">
        <v>36</v>
      </c>
      <c r="B61" s="142" t="s">
        <v>488</v>
      </c>
      <c r="C61" s="140" t="s">
        <v>577</v>
      </c>
      <c r="D61" s="140" t="s">
        <v>444</v>
      </c>
      <c r="E61" s="146" t="str">
        <f t="shared" si="1"/>
        <v>12/28(일)07시접안,28일21시출항.</v>
      </c>
      <c r="F61" s="141"/>
      <c r="G61" s="142" t="s">
        <v>528</v>
      </c>
      <c r="H61" s="142">
        <v>564</v>
      </c>
      <c r="J61" s="135" t="s">
        <v>208</v>
      </c>
      <c r="K61" s="34" t="s">
        <v>578</v>
      </c>
      <c r="L61" s="135" t="s">
        <v>545</v>
      </c>
      <c r="M61" s="132" t="s">
        <v>579</v>
      </c>
      <c r="O61"/>
      <c r="P61"/>
    </row>
    <row r="62" spans="1:22" ht="13.5" customHeight="1">
      <c r="A62" s="166">
        <v>37</v>
      </c>
      <c r="B62" s="142" t="s">
        <v>80</v>
      </c>
      <c r="C62" s="140" t="s">
        <v>211</v>
      </c>
      <c r="D62" s="140" t="s">
        <v>444</v>
      </c>
      <c r="E62" s="146" t="str">
        <f t="shared" si="1"/>
        <v>12/29(월)18시접안,30일15시출항.</v>
      </c>
      <c r="F62" s="141"/>
      <c r="G62" s="142" t="s">
        <v>528</v>
      </c>
      <c r="H62" s="142" t="s">
        <v>455</v>
      </c>
      <c r="J62" s="135" t="s">
        <v>212</v>
      </c>
      <c r="K62" s="34" t="s">
        <v>143</v>
      </c>
      <c r="L62" s="135" t="s">
        <v>75</v>
      </c>
      <c r="M62" s="132" t="s">
        <v>580</v>
      </c>
      <c r="O62"/>
      <c r="P62"/>
    </row>
    <row r="63" spans="1:22" ht="13.5" customHeight="1">
      <c r="A63" s="166">
        <v>38</v>
      </c>
      <c r="B63" s="142" t="s">
        <v>498</v>
      </c>
      <c r="C63" s="140" t="s">
        <v>209</v>
      </c>
      <c r="D63" s="140" t="s">
        <v>444</v>
      </c>
      <c r="E63" s="146" t="str">
        <f t="shared" si="1"/>
        <v>12/29(월)입항예정</v>
      </c>
      <c r="F63" s="141"/>
      <c r="G63" s="142" t="s">
        <v>528</v>
      </c>
      <c r="H63" s="142" t="s">
        <v>455</v>
      </c>
      <c r="J63" s="135" t="s">
        <v>581</v>
      </c>
      <c r="K63" s="34" t="s">
        <v>142</v>
      </c>
      <c r="L63" s="135" t="s">
        <v>549</v>
      </c>
      <c r="M63" s="132" t="s">
        <v>582</v>
      </c>
      <c r="O63"/>
      <c r="P63"/>
    </row>
    <row r="64" spans="1:22" ht="13.5" customHeight="1">
      <c r="A64" s="166">
        <v>39</v>
      </c>
      <c r="B64" s="142" t="s">
        <v>133</v>
      </c>
      <c r="C64" s="140" t="s">
        <v>213</v>
      </c>
      <c r="D64" s="140" t="s">
        <v>444</v>
      </c>
      <c r="E64" s="146" t="str">
        <f t="shared" si="1"/>
        <v>12/29(월)입항예정</v>
      </c>
      <c r="F64" s="141"/>
      <c r="G64" s="142" t="s">
        <v>528</v>
      </c>
      <c r="H64" s="142" t="s">
        <v>455</v>
      </c>
      <c r="J64" s="135" t="s">
        <v>549</v>
      </c>
      <c r="K64" s="34" t="s">
        <v>144</v>
      </c>
      <c r="L64" s="135" t="s">
        <v>549</v>
      </c>
      <c r="M64" s="132" t="s">
        <v>582</v>
      </c>
      <c r="O64"/>
      <c r="P64"/>
    </row>
    <row r="65" spans="1:16" ht="13.5" customHeight="1">
      <c r="A65" s="166">
        <v>40</v>
      </c>
      <c r="B65" s="142" t="s">
        <v>498</v>
      </c>
      <c r="C65" s="140" t="s">
        <v>214</v>
      </c>
      <c r="D65" s="140" t="s">
        <v>444</v>
      </c>
      <c r="E65" s="146" t="str">
        <f t="shared" si="1"/>
        <v>12/31(수)입항예정</v>
      </c>
      <c r="F65" s="141"/>
      <c r="G65" s="142" t="s">
        <v>528</v>
      </c>
      <c r="H65" s="142" t="s">
        <v>455</v>
      </c>
      <c r="J65" s="135" t="s">
        <v>583</v>
      </c>
      <c r="K65" s="34" t="s">
        <v>145</v>
      </c>
      <c r="L65" s="135" t="s">
        <v>549</v>
      </c>
      <c r="M65" s="132" t="s">
        <v>584</v>
      </c>
      <c r="O65"/>
      <c r="P65"/>
    </row>
    <row r="66" spans="1:16" ht="13.5" customHeight="1">
      <c r="A66" s="166">
        <v>41</v>
      </c>
      <c r="B66" s="142" t="s">
        <v>352</v>
      </c>
      <c r="C66" s="140" t="s">
        <v>223</v>
      </c>
      <c r="D66" s="140" t="s">
        <v>444</v>
      </c>
      <c r="E66" s="146" t="str">
        <f t="shared" si="1"/>
        <v>12/31(수)입항예정</v>
      </c>
      <c r="F66" s="141"/>
      <c r="G66" s="142" t="s">
        <v>528</v>
      </c>
      <c r="H66" s="142" t="s">
        <v>455</v>
      </c>
      <c r="J66" s="135" t="s">
        <v>585</v>
      </c>
      <c r="K66" s="34" t="s">
        <v>586</v>
      </c>
      <c r="L66" s="135" t="s">
        <v>549</v>
      </c>
      <c r="M66" s="132" t="s">
        <v>584</v>
      </c>
      <c r="O66"/>
      <c r="P66"/>
    </row>
    <row r="67" spans="1:16" ht="13.5" customHeight="1">
      <c r="A67" s="166">
        <v>42</v>
      </c>
      <c r="B67" s="142" t="s">
        <v>587</v>
      </c>
      <c r="C67" s="140" t="s">
        <v>588</v>
      </c>
      <c r="D67" s="140" t="s">
        <v>444</v>
      </c>
      <c r="E67" s="146" t="str">
        <f t="shared" si="1"/>
        <v>12/31(수)입항예정</v>
      </c>
      <c r="F67" s="141"/>
      <c r="G67" s="142" t="s">
        <v>528</v>
      </c>
      <c r="H67" s="142">
        <v>1100</v>
      </c>
      <c r="J67" s="135" t="s">
        <v>216</v>
      </c>
      <c r="K67" s="34" t="s">
        <v>589</v>
      </c>
      <c r="L67" s="135" t="s">
        <v>549</v>
      </c>
      <c r="M67" s="132" t="s">
        <v>584</v>
      </c>
      <c r="O67"/>
      <c r="P67"/>
    </row>
    <row r="68" spans="1:16" ht="13.5" customHeight="1">
      <c r="A68" s="166">
        <v>43</v>
      </c>
      <c r="B68" s="142" t="s">
        <v>352</v>
      </c>
      <c r="C68" s="140" t="s">
        <v>225</v>
      </c>
      <c r="D68" s="140" t="s">
        <v>444</v>
      </c>
      <c r="E68" s="146" t="str">
        <f t="shared" si="1"/>
        <v>12/31(수)입항예정</v>
      </c>
      <c r="F68" s="141"/>
      <c r="G68" s="142" t="s">
        <v>528</v>
      </c>
      <c r="H68" s="142" t="s">
        <v>455</v>
      </c>
      <c r="J68" s="135" t="s">
        <v>226</v>
      </c>
      <c r="K68" s="34" t="s">
        <v>155</v>
      </c>
      <c r="L68" s="135" t="s">
        <v>549</v>
      </c>
      <c r="M68" s="132" t="s">
        <v>584</v>
      </c>
      <c r="O68"/>
      <c r="P68"/>
    </row>
    <row r="69" spans="1:16" ht="13.5" customHeight="1">
      <c r="A69" s="166">
        <v>44</v>
      </c>
      <c r="B69" s="142" t="s">
        <v>131</v>
      </c>
      <c r="C69" s="140" t="s">
        <v>222</v>
      </c>
      <c r="D69" s="140" t="s">
        <v>444</v>
      </c>
      <c r="E69" s="146" t="str">
        <f t="shared" si="1"/>
        <v>12/31(수)입항예정</v>
      </c>
      <c r="F69" s="141"/>
      <c r="G69" s="142" t="s">
        <v>528</v>
      </c>
      <c r="H69" s="142" t="s">
        <v>455</v>
      </c>
      <c r="J69" s="135" t="s">
        <v>549</v>
      </c>
      <c r="K69" s="34" t="s">
        <v>153</v>
      </c>
      <c r="L69" s="135" t="s">
        <v>549</v>
      </c>
      <c r="M69" s="132" t="s">
        <v>584</v>
      </c>
      <c r="O69"/>
      <c r="P69"/>
    </row>
    <row r="70" spans="1:16" ht="13.5" customHeight="1">
      <c r="A70" s="166">
        <v>45</v>
      </c>
      <c r="B70" s="142" t="s">
        <v>131</v>
      </c>
      <c r="C70" s="140" t="s">
        <v>219</v>
      </c>
      <c r="D70" s="140" t="s">
        <v>444</v>
      </c>
      <c r="E70" s="146" t="str">
        <f t="shared" si="1"/>
        <v>12/31(수)입항예정</v>
      </c>
      <c r="F70" s="141"/>
      <c r="G70" s="142" t="s">
        <v>528</v>
      </c>
      <c r="H70" s="142" t="s">
        <v>455</v>
      </c>
      <c r="J70" s="135" t="s">
        <v>549</v>
      </c>
      <c r="K70" s="34" t="s">
        <v>150</v>
      </c>
      <c r="L70" s="135" t="s">
        <v>549</v>
      </c>
      <c r="M70" s="132" t="s">
        <v>584</v>
      </c>
      <c r="O70"/>
      <c r="P70"/>
    </row>
    <row r="71" spans="1:16" ht="13.5" customHeight="1">
      <c r="A71" s="166">
        <v>46</v>
      </c>
      <c r="B71" s="142" t="s">
        <v>131</v>
      </c>
      <c r="C71" s="140" t="s">
        <v>220</v>
      </c>
      <c r="D71" s="140" t="s">
        <v>444</v>
      </c>
      <c r="E71" s="146" t="str">
        <f t="shared" si="1"/>
        <v>12/31(수)입항예정</v>
      </c>
      <c r="F71" s="141"/>
      <c r="G71" s="142" t="s">
        <v>528</v>
      </c>
      <c r="H71" s="142" t="s">
        <v>455</v>
      </c>
      <c r="J71" s="135" t="s">
        <v>549</v>
      </c>
      <c r="K71" s="34" t="s">
        <v>151</v>
      </c>
      <c r="L71" s="135" t="s">
        <v>549</v>
      </c>
      <c r="M71" s="132" t="s">
        <v>584</v>
      </c>
      <c r="O71"/>
      <c r="P71"/>
    </row>
    <row r="72" spans="1:16" ht="13.5" customHeight="1">
      <c r="A72" s="166">
        <v>47</v>
      </c>
      <c r="B72" s="142" t="s">
        <v>131</v>
      </c>
      <c r="C72" s="140" t="s">
        <v>221</v>
      </c>
      <c r="D72" s="140" t="s">
        <v>444</v>
      </c>
      <c r="E72" s="146" t="str">
        <f t="shared" si="1"/>
        <v>12/31(수)입항예정</v>
      </c>
      <c r="F72" s="141"/>
      <c r="G72" s="142" t="s">
        <v>528</v>
      </c>
      <c r="H72" s="142" t="s">
        <v>455</v>
      </c>
      <c r="J72" s="135" t="s">
        <v>549</v>
      </c>
      <c r="K72" s="34" t="s">
        <v>152</v>
      </c>
      <c r="L72" s="135" t="s">
        <v>549</v>
      </c>
      <c r="M72" s="132" t="s">
        <v>584</v>
      </c>
      <c r="O72"/>
      <c r="P72"/>
    </row>
    <row r="73" spans="1:16" ht="13.5" customHeight="1">
      <c r="A73" s="166">
        <v>48</v>
      </c>
      <c r="B73" s="142" t="s">
        <v>80</v>
      </c>
      <c r="C73" s="140" t="s">
        <v>218</v>
      </c>
      <c r="D73" s="140" t="s">
        <v>444</v>
      </c>
      <c r="E73" s="146" t="str">
        <f t="shared" si="1"/>
        <v>12/31(수)입항예정</v>
      </c>
      <c r="F73" s="141"/>
      <c r="G73" s="142" t="s">
        <v>528</v>
      </c>
      <c r="H73" s="142" t="s">
        <v>455</v>
      </c>
      <c r="J73" s="135" t="s">
        <v>549</v>
      </c>
      <c r="K73" s="34" t="s">
        <v>149</v>
      </c>
      <c r="L73" s="135" t="s">
        <v>549</v>
      </c>
      <c r="M73" s="132" t="s">
        <v>584</v>
      </c>
      <c r="O73"/>
      <c r="P73"/>
    </row>
    <row r="74" spans="1:16" ht="13.5" customHeight="1">
      <c r="A74" s="166">
        <v>49</v>
      </c>
      <c r="B74" s="142" t="s">
        <v>587</v>
      </c>
      <c r="C74" s="140" t="s">
        <v>590</v>
      </c>
      <c r="D74" s="140" t="s">
        <v>444</v>
      </c>
      <c r="E74" s="146" t="str">
        <f t="shared" si="1"/>
        <v>12/31(수)입항예정</v>
      </c>
      <c r="F74" s="141"/>
      <c r="G74" s="142" t="s">
        <v>528</v>
      </c>
      <c r="H74" s="142">
        <v>1150</v>
      </c>
      <c r="J74" s="135" t="s">
        <v>217</v>
      </c>
      <c r="K74" s="34" t="s">
        <v>591</v>
      </c>
      <c r="L74" s="135" t="s">
        <v>549</v>
      </c>
      <c r="M74" s="132" t="s">
        <v>584</v>
      </c>
      <c r="O74"/>
      <c r="P74"/>
    </row>
    <row r="75" spans="1:16" ht="13.5" customHeight="1">
      <c r="A75" s="166">
        <v>50</v>
      </c>
      <c r="B75" s="142" t="s">
        <v>352</v>
      </c>
      <c r="C75" s="140" t="s">
        <v>592</v>
      </c>
      <c r="D75" s="140" t="s">
        <v>444</v>
      </c>
      <c r="E75" s="146" t="str">
        <f t="shared" si="1"/>
        <v>미정</v>
      </c>
      <c r="F75" s="141"/>
      <c r="G75" s="142" t="s">
        <v>528</v>
      </c>
      <c r="H75" s="142" t="s">
        <v>446</v>
      </c>
      <c r="J75" s="135" t="s">
        <v>593</v>
      </c>
      <c r="K75" s="34" t="s">
        <v>158</v>
      </c>
      <c r="L75" s="135" t="s">
        <v>549</v>
      </c>
      <c r="M75" s="132" t="s">
        <v>229</v>
      </c>
      <c r="O75"/>
      <c r="P75"/>
    </row>
    <row r="76" spans="1:16" ht="13.5" customHeight="1">
      <c r="A76" s="166">
        <v>51</v>
      </c>
      <c r="B76" s="142" t="s">
        <v>352</v>
      </c>
      <c r="C76" s="140" t="s">
        <v>594</v>
      </c>
      <c r="D76" s="140" t="s">
        <v>444</v>
      </c>
      <c r="E76" s="146" t="str">
        <f t="shared" si="1"/>
        <v>미정</v>
      </c>
      <c r="F76" s="141"/>
      <c r="G76" s="142" t="s">
        <v>528</v>
      </c>
      <c r="H76" s="142" t="s">
        <v>446</v>
      </c>
      <c r="J76" s="135" t="s">
        <v>593</v>
      </c>
      <c r="K76" s="34" t="s">
        <v>157</v>
      </c>
      <c r="L76" s="135" t="s">
        <v>549</v>
      </c>
      <c r="M76" s="132" t="s">
        <v>229</v>
      </c>
      <c r="O76"/>
      <c r="P76"/>
    </row>
    <row r="77" spans="1:16" ht="13.5" customHeight="1">
      <c r="A77" s="166">
        <v>52</v>
      </c>
      <c r="B77" s="142" t="s">
        <v>80</v>
      </c>
      <c r="C77" s="140" t="s">
        <v>228</v>
      </c>
      <c r="D77" s="140" t="s">
        <v>444</v>
      </c>
      <c r="E77" s="146" t="str">
        <f t="shared" si="1"/>
        <v>미정</v>
      </c>
      <c r="F77" s="141"/>
      <c r="G77" s="142" t="s">
        <v>528</v>
      </c>
      <c r="H77" s="142" t="s">
        <v>455</v>
      </c>
      <c r="J77" s="135" t="s">
        <v>549</v>
      </c>
      <c r="K77" s="34" t="s">
        <v>159</v>
      </c>
      <c r="L77" s="135" t="s">
        <v>549</v>
      </c>
      <c r="M77" s="132" t="s">
        <v>229</v>
      </c>
      <c r="O77"/>
      <c r="P77"/>
    </row>
    <row r="78" spans="1:16" ht="13.5" customHeight="1">
      <c r="A78" s="166">
        <v>53</v>
      </c>
      <c r="B78" s="142" t="s">
        <v>498</v>
      </c>
      <c r="C78" s="140" t="s">
        <v>389</v>
      </c>
      <c r="D78" s="140" t="s">
        <v>444</v>
      </c>
      <c r="E78" s="146" t="str">
        <f t="shared" si="1"/>
        <v>미정</v>
      </c>
      <c r="F78" s="141"/>
      <c r="G78" s="142" t="s">
        <v>528</v>
      </c>
      <c r="H78" s="142" t="s">
        <v>455</v>
      </c>
      <c r="J78" s="135" t="s">
        <v>549</v>
      </c>
      <c r="K78" s="34" t="s">
        <v>388</v>
      </c>
      <c r="L78" s="135" t="s">
        <v>549</v>
      </c>
      <c r="M78" s="132" t="s">
        <v>229</v>
      </c>
      <c r="O78"/>
      <c r="P78"/>
    </row>
    <row r="79" spans="1:16" ht="13.5" customHeight="1">
      <c r="A79" s="166">
        <v>54</v>
      </c>
      <c r="B79" s="142" t="s">
        <v>80</v>
      </c>
      <c r="C79" s="140" t="s">
        <v>230</v>
      </c>
      <c r="D79" s="140" t="s">
        <v>444</v>
      </c>
      <c r="E79" s="146" t="str">
        <f t="shared" si="1"/>
        <v>미정</v>
      </c>
      <c r="F79" s="141"/>
      <c r="G79" s="142" t="s">
        <v>528</v>
      </c>
      <c r="H79" s="142" t="s">
        <v>455</v>
      </c>
      <c r="J79" s="135" t="s">
        <v>549</v>
      </c>
      <c r="K79" s="34" t="s">
        <v>396</v>
      </c>
      <c r="L79" s="135" t="s">
        <v>549</v>
      </c>
      <c r="M79" s="132" t="s">
        <v>229</v>
      </c>
      <c r="O79"/>
      <c r="P79"/>
    </row>
    <row r="80" spans="1:16" ht="13.5" customHeight="1">
      <c r="A80" s="166">
        <v>55</v>
      </c>
      <c r="B80" s="142"/>
      <c r="C80" s="138"/>
      <c r="D80" s="140"/>
      <c r="E80" s="146">
        <f t="shared" si="1"/>
        <v>0</v>
      </c>
      <c r="F80" s="141"/>
      <c r="G80" s="142"/>
      <c r="H80" s="142"/>
      <c r="O80"/>
      <c r="P80"/>
    </row>
    <row r="81" spans="1:16" ht="13.5" customHeight="1">
      <c r="A81" s="166">
        <v>56</v>
      </c>
      <c r="B81" s="142"/>
      <c r="C81" s="138"/>
      <c r="D81" s="140"/>
      <c r="E81" s="146">
        <f t="shared" si="1"/>
        <v>0</v>
      </c>
      <c r="F81" s="141"/>
      <c r="G81" s="142"/>
      <c r="H81" s="142"/>
      <c r="O81"/>
      <c r="P81"/>
    </row>
    <row r="82" spans="1:16" ht="13.5" customHeight="1">
      <c r="A82" s="166">
        <v>57</v>
      </c>
      <c r="B82" s="142"/>
      <c r="C82" s="138"/>
      <c r="D82" s="140"/>
      <c r="E82" s="146">
        <f t="shared" si="1"/>
        <v>0</v>
      </c>
      <c r="F82" s="141"/>
      <c r="G82" s="142"/>
      <c r="H82" s="142"/>
      <c r="O82"/>
      <c r="P82"/>
    </row>
    <row r="83" spans="1:16" ht="13.5" customHeight="1">
      <c r="A83" s="166">
        <v>58</v>
      </c>
      <c r="B83" s="142"/>
      <c r="C83" s="138"/>
      <c r="D83" s="140"/>
      <c r="E83" s="146">
        <f t="shared" si="1"/>
        <v>0</v>
      </c>
      <c r="F83" s="141"/>
      <c r="G83" s="142"/>
      <c r="H83" s="142"/>
      <c r="O83"/>
      <c r="P83"/>
    </row>
    <row r="84" spans="1:16" ht="13.5" customHeight="1">
      <c r="A84" s="166">
        <v>59</v>
      </c>
      <c r="B84" s="142"/>
      <c r="C84" s="138"/>
      <c r="D84" s="140"/>
      <c r="E84" s="146">
        <f t="shared" si="1"/>
        <v>0</v>
      </c>
      <c r="F84" s="141"/>
      <c r="G84" s="142"/>
      <c r="H84" s="142"/>
      <c r="O84"/>
      <c r="P84"/>
    </row>
    <row r="85" spans="1:16" ht="13.5" customHeight="1">
      <c r="A85" s="166">
        <v>60</v>
      </c>
      <c r="B85" s="142"/>
      <c r="C85" s="138"/>
      <c r="D85" s="140"/>
      <c r="E85" s="146">
        <f t="shared" si="1"/>
        <v>0</v>
      </c>
      <c r="F85" s="141"/>
      <c r="G85" s="142"/>
      <c r="H85" s="142"/>
      <c r="O85"/>
      <c r="P85"/>
    </row>
    <row r="86" spans="1:16" ht="13.5" customHeight="1">
      <c r="A86" s="166">
        <v>61</v>
      </c>
      <c r="B86" s="142"/>
      <c r="C86" s="138"/>
      <c r="D86" s="140"/>
      <c r="E86" s="146">
        <f t="shared" si="1"/>
        <v>0</v>
      </c>
      <c r="F86" s="141"/>
      <c r="G86" s="142"/>
      <c r="H86" s="142"/>
      <c r="O86"/>
      <c r="P86"/>
    </row>
    <row r="87" spans="1:16" ht="13.5" customHeight="1">
      <c r="A87" s="166">
        <v>62</v>
      </c>
      <c r="B87" s="142"/>
      <c r="C87" s="138"/>
      <c r="D87" s="140"/>
      <c r="E87" s="146">
        <f t="shared" si="1"/>
        <v>0</v>
      </c>
      <c r="F87" s="141"/>
      <c r="G87" s="142"/>
      <c r="H87" s="142"/>
      <c r="O87"/>
      <c r="P87"/>
    </row>
    <row r="88" spans="1:16" ht="13.5" customHeight="1">
      <c r="A88" s="166">
        <v>63</v>
      </c>
      <c r="B88" s="142"/>
      <c r="C88" s="138"/>
      <c r="D88" s="140"/>
      <c r="E88" s="146">
        <f t="shared" si="1"/>
        <v>0</v>
      </c>
      <c r="F88" s="141"/>
      <c r="G88" s="142"/>
      <c r="H88" s="142"/>
      <c r="O88"/>
      <c r="P88"/>
    </row>
    <row r="89" spans="1:16" ht="13.5" customHeight="1">
      <c r="A89" s="166">
        <v>64</v>
      </c>
      <c r="B89" s="142"/>
      <c r="C89" s="138"/>
      <c r="D89" s="140"/>
      <c r="E89" s="146">
        <f t="shared" si="1"/>
        <v>0</v>
      </c>
      <c r="F89" s="141"/>
      <c r="G89" s="142"/>
      <c r="H89" s="142"/>
      <c r="O89"/>
      <c r="P89"/>
    </row>
    <row r="90" spans="1:16" ht="13.5" customHeight="1">
      <c r="A90" s="166">
        <v>65</v>
      </c>
      <c r="B90" s="142"/>
      <c r="C90" s="138"/>
      <c r="D90" s="140"/>
      <c r="E90" s="146">
        <f t="shared" ref="E90:E153" si="2">M90</f>
        <v>0</v>
      </c>
      <c r="F90" s="141"/>
      <c r="G90" s="142"/>
      <c r="H90" s="142"/>
      <c r="O90"/>
      <c r="P90"/>
    </row>
    <row r="91" spans="1:16" ht="13.5" customHeight="1">
      <c r="A91" s="166">
        <v>66</v>
      </c>
      <c r="B91" s="142"/>
      <c r="C91" s="138"/>
      <c r="D91" s="140"/>
      <c r="E91" s="146">
        <f t="shared" si="2"/>
        <v>0</v>
      </c>
      <c r="F91" s="141"/>
      <c r="G91" s="142"/>
      <c r="H91" s="142"/>
      <c r="O91"/>
      <c r="P91"/>
    </row>
    <row r="92" spans="1:16" ht="13.5" customHeight="1">
      <c r="A92" s="166">
        <v>67</v>
      </c>
      <c r="B92" s="142"/>
      <c r="C92" s="138"/>
      <c r="D92" s="140"/>
      <c r="E92" s="146">
        <f t="shared" si="2"/>
        <v>0</v>
      </c>
      <c r="F92" s="141"/>
      <c r="G92" s="142"/>
      <c r="H92" s="142"/>
      <c r="O92"/>
      <c r="P92"/>
    </row>
    <row r="93" spans="1:16" ht="13.5" customHeight="1">
      <c r="A93" s="166">
        <v>68</v>
      </c>
      <c r="B93" s="142"/>
      <c r="C93" s="138"/>
      <c r="D93" s="140"/>
      <c r="E93" s="146">
        <f t="shared" si="2"/>
        <v>0</v>
      </c>
      <c r="F93" s="141"/>
      <c r="G93" s="142"/>
      <c r="H93" s="142"/>
      <c r="O93"/>
      <c r="P93"/>
    </row>
    <row r="94" spans="1:16" ht="13.5" customHeight="1">
      <c r="A94" s="166">
        <v>69</v>
      </c>
      <c r="B94" s="142"/>
      <c r="C94" s="138"/>
      <c r="D94" s="140"/>
      <c r="E94" s="146">
        <f t="shared" si="2"/>
        <v>0</v>
      </c>
      <c r="F94" s="141"/>
      <c r="G94" s="142"/>
      <c r="H94" s="142"/>
      <c r="O94"/>
      <c r="P94"/>
    </row>
    <row r="95" spans="1:16" ht="13.5" customHeight="1">
      <c r="A95" s="166">
        <v>70</v>
      </c>
      <c r="B95" s="142"/>
      <c r="C95" s="138"/>
      <c r="D95" s="140"/>
      <c r="E95" s="146">
        <f t="shared" si="2"/>
        <v>0</v>
      </c>
      <c r="F95" s="141"/>
      <c r="G95" s="142"/>
      <c r="H95" s="142"/>
      <c r="O95"/>
      <c r="P95"/>
    </row>
    <row r="96" spans="1:16" ht="13.5" customHeight="1">
      <c r="A96" s="166">
        <v>71</v>
      </c>
      <c r="B96" s="142"/>
      <c r="C96" s="138"/>
      <c r="D96" s="140"/>
      <c r="E96" s="146">
        <f t="shared" si="2"/>
        <v>0</v>
      </c>
      <c r="F96" s="141"/>
      <c r="G96" s="142"/>
      <c r="H96" s="142"/>
      <c r="O96"/>
      <c r="P96"/>
    </row>
    <row r="97" spans="1:16" ht="13.5" customHeight="1">
      <c r="A97" s="166">
        <v>72</v>
      </c>
      <c r="B97" s="142"/>
      <c r="C97" s="138"/>
      <c r="D97" s="140"/>
      <c r="E97" s="146">
        <f t="shared" si="2"/>
        <v>0</v>
      </c>
      <c r="F97" s="141"/>
      <c r="G97" s="142"/>
      <c r="H97" s="142"/>
      <c r="O97"/>
      <c r="P97"/>
    </row>
    <row r="98" spans="1:16" ht="13.5" customHeight="1">
      <c r="A98" s="166">
        <v>73</v>
      </c>
      <c r="B98" s="142"/>
      <c r="C98" s="138"/>
      <c r="D98" s="140"/>
      <c r="E98" s="146">
        <f t="shared" si="2"/>
        <v>0</v>
      </c>
      <c r="F98" s="141"/>
      <c r="G98" s="142"/>
      <c r="H98" s="142"/>
      <c r="O98"/>
      <c r="P98"/>
    </row>
    <row r="99" spans="1:16" ht="13.5" customHeight="1">
      <c r="A99" s="166">
        <v>74</v>
      </c>
      <c r="B99" s="142"/>
      <c r="C99" s="138"/>
      <c r="D99" s="140"/>
      <c r="E99" s="146">
        <f t="shared" si="2"/>
        <v>0</v>
      </c>
      <c r="F99" s="141"/>
      <c r="G99" s="142"/>
      <c r="H99" s="142"/>
      <c r="O99"/>
      <c r="P99"/>
    </row>
    <row r="100" spans="1:16" ht="13.5" customHeight="1">
      <c r="A100" s="166">
        <v>75</v>
      </c>
      <c r="B100" s="142"/>
      <c r="C100" s="138"/>
      <c r="D100" s="140"/>
      <c r="E100" s="146">
        <f t="shared" si="2"/>
        <v>0</v>
      </c>
      <c r="F100" s="141"/>
      <c r="G100" s="142"/>
      <c r="H100" s="142"/>
      <c r="O100"/>
      <c r="P100"/>
    </row>
    <row r="101" spans="1:16" ht="13.5" customHeight="1">
      <c r="A101" s="166">
        <v>76</v>
      </c>
      <c r="B101" s="142"/>
      <c r="C101" s="138"/>
      <c r="D101" s="140"/>
      <c r="E101" s="146">
        <f t="shared" si="2"/>
        <v>0</v>
      </c>
      <c r="F101" s="141"/>
      <c r="G101" s="142"/>
      <c r="H101" s="142"/>
      <c r="O101"/>
      <c r="P101"/>
    </row>
    <row r="102" spans="1:16" ht="13.5" customHeight="1">
      <c r="A102" s="166">
        <v>77</v>
      </c>
      <c r="B102" s="142"/>
      <c r="C102" s="138"/>
      <c r="D102" s="140"/>
      <c r="E102" s="146">
        <f t="shared" si="2"/>
        <v>0</v>
      </c>
      <c r="F102" s="141"/>
      <c r="G102" s="142"/>
      <c r="H102" s="142"/>
      <c r="O102"/>
      <c r="P102"/>
    </row>
    <row r="103" spans="1:16" ht="13.5" customHeight="1">
      <c r="A103" s="166">
        <v>78</v>
      </c>
      <c r="B103" s="142"/>
      <c r="C103" s="138"/>
      <c r="D103" s="140"/>
      <c r="E103" s="146">
        <f t="shared" si="2"/>
        <v>0</v>
      </c>
      <c r="F103" s="141"/>
      <c r="G103" s="142"/>
      <c r="H103" s="142"/>
      <c r="O103"/>
      <c r="P103"/>
    </row>
    <row r="104" spans="1:16" ht="13.5" customHeight="1">
      <c r="A104" s="166">
        <v>79</v>
      </c>
      <c r="B104" s="142"/>
      <c r="C104" s="138"/>
      <c r="D104" s="140"/>
      <c r="E104" s="146">
        <f t="shared" si="2"/>
        <v>0</v>
      </c>
      <c r="F104" s="141"/>
      <c r="G104" s="142"/>
      <c r="H104" s="142"/>
      <c r="O104"/>
      <c r="P104"/>
    </row>
    <row r="105" spans="1:16" ht="13.5" customHeight="1">
      <c r="A105" s="166">
        <v>80</v>
      </c>
      <c r="B105" s="142"/>
      <c r="C105" s="138"/>
      <c r="D105" s="140"/>
      <c r="E105" s="146">
        <f t="shared" si="2"/>
        <v>0</v>
      </c>
      <c r="F105" s="141"/>
      <c r="G105" s="142"/>
      <c r="H105" s="142"/>
      <c r="O105"/>
      <c r="P105"/>
    </row>
    <row r="106" spans="1:16" ht="13.5" customHeight="1">
      <c r="A106" s="166">
        <v>81</v>
      </c>
      <c r="B106" s="142"/>
      <c r="C106" s="138"/>
      <c r="D106" s="140"/>
      <c r="E106" s="146">
        <f t="shared" si="2"/>
        <v>0</v>
      </c>
      <c r="F106" s="141"/>
      <c r="G106" s="142"/>
      <c r="H106" s="142"/>
      <c r="O106"/>
      <c r="P106"/>
    </row>
    <row r="107" spans="1:16" ht="13.5" customHeight="1">
      <c r="A107" s="166">
        <v>82</v>
      </c>
      <c r="B107" s="142"/>
      <c r="C107" s="138"/>
      <c r="D107" s="140"/>
      <c r="E107" s="146">
        <f t="shared" si="2"/>
        <v>0</v>
      </c>
      <c r="F107" s="141"/>
      <c r="G107" s="142"/>
      <c r="H107" s="142"/>
      <c r="O107"/>
      <c r="P107"/>
    </row>
    <row r="108" spans="1:16" ht="13.5" customHeight="1">
      <c r="A108" s="166">
        <v>83</v>
      </c>
      <c r="B108" s="142"/>
      <c r="C108" s="138"/>
      <c r="D108" s="140"/>
      <c r="E108" s="146">
        <f t="shared" si="2"/>
        <v>0</v>
      </c>
      <c r="F108" s="141"/>
      <c r="G108" s="142"/>
      <c r="H108" s="142"/>
      <c r="O108"/>
      <c r="P108"/>
    </row>
    <row r="109" spans="1:16" ht="13.5" customHeight="1">
      <c r="A109" s="166">
        <v>84</v>
      </c>
      <c r="B109" s="142"/>
      <c r="C109" s="138"/>
      <c r="D109" s="140"/>
      <c r="E109" s="146">
        <f t="shared" si="2"/>
        <v>0</v>
      </c>
      <c r="F109" s="141"/>
      <c r="G109" s="142"/>
      <c r="H109" s="142"/>
      <c r="O109"/>
      <c r="P109"/>
    </row>
    <row r="110" spans="1:16" ht="13.5" customHeight="1">
      <c r="A110" s="166">
        <v>85</v>
      </c>
      <c r="B110" s="142"/>
      <c r="C110" s="138"/>
      <c r="D110" s="140"/>
      <c r="E110" s="146">
        <f t="shared" si="2"/>
        <v>0</v>
      </c>
      <c r="F110" s="141"/>
      <c r="G110" s="142"/>
      <c r="H110" s="142"/>
      <c r="O110"/>
      <c r="P110"/>
    </row>
    <row r="111" spans="1:16" ht="13.5" customHeight="1">
      <c r="A111" s="166">
        <v>86</v>
      </c>
      <c r="B111" s="142"/>
      <c r="C111" s="138"/>
      <c r="D111" s="140"/>
      <c r="E111" s="146">
        <f t="shared" si="2"/>
        <v>0</v>
      </c>
      <c r="F111" s="141"/>
      <c r="G111" s="142"/>
      <c r="H111" s="142"/>
      <c r="O111"/>
      <c r="P111"/>
    </row>
    <row r="112" spans="1:16" ht="13.5" customHeight="1">
      <c r="A112" s="166">
        <v>87</v>
      </c>
      <c r="B112" s="142"/>
      <c r="C112" s="138"/>
      <c r="D112" s="140"/>
      <c r="E112" s="146">
        <f t="shared" si="2"/>
        <v>0</v>
      </c>
      <c r="F112" s="141"/>
      <c r="G112" s="142"/>
      <c r="H112" s="142"/>
      <c r="O112"/>
      <c r="P112"/>
    </row>
    <row r="113" spans="1:16" ht="13.5" customHeight="1">
      <c r="A113" s="166">
        <v>88</v>
      </c>
      <c r="B113" s="142"/>
      <c r="C113" s="138"/>
      <c r="D113" s="140"/>
      <c r="E113" s="146">
        <f t="shared" si="2"/>
        <v>0</v>
      </c>
      <c r="F113" s="141"/>
      <c r="G113" s="142"/>
      <c r="H113" s="142"/>
      <c r="O113"/>
      <c r="P113"/>
    </row>
    <row r="114" spans="1:16" ht="13.5" customHeight="1">
      <c r="A114" s="166">
        <v>89</v>
      </c>
      <c r="B114" s="142"/>
      <c r="C114" s="138"/>
      <c r="D114" s="140"/>
      <c r="E114" s="146">
        <f t="shared" si="2"/>
        <v>0</v>
      </c>
      <c r="F114" s="141"/>
      <c r="G114" s="142"/>
      <c r="H114" s="142"/>
      <c r="O114"/>
      <c r="P114"/>
    </row>
    <row r="115" spans="1:16" ht="13.5" customHeight="1">
      <c r="A115" s="166">
        <v>90</v>
      </c>
      <c r="B115" s="142"/>
      <c r="C115" s="138"/>
      <c r="D115" s="140"/>
      <c r="E115" s="146">
        <f t="shared" si="2"/>
        <v>0</v>
      </c>
      <c r="F115" s="141"/>
      <c r="G115" s="142"/>
      <c r="H115" s="142"/>
      <c r="O115"/>
      <c r="P115"/>
    </row>
    <row r="116" spans="1:16" ht="13.5" customHeight="1">
      <c r="A116" s="166">
        <v>91</v>
      </c>
      <c r="B116" s="142"/>
      <c r="C116" s="138"/>
      <c r="D116" s="140"/>
      <c r="E116" s="146">
        <f t="shared" si="2"/>
        <v>0</v>
      </c>
      <c r="F116" s="141"/>
      <c r="G116" s="142"/>
      <c r="H116" s="142"/>
      <c r="O116"/>
      <c r="P116"/>
    </row>
    <row r="117" spans="1:16" ht="13.5" customHeight="1">
      <c r="A117" s="166">
        <v>92</v>
      </c>
      <c r="B117" s="142"/>
      <c r="C117" s="138"/>
      <c r="D117" s="140"/>
      <c r="E117" s="146">
        <f t="shared" si="2"/>
        <v>0</v>
      </c>
      <c r="F117" s="141"/>
      <c r="G117" s="142"/>
      <c r="H117" s="142"/>
      <c r="O117"/>
      <c r="P117"/>
    </row>
    <row r="118" spans="1:16" ht="13.5" customHeight="1">
      <c r="A118" s="166">
        <v>93</v>
      </c>
      <c r="B118" s="142"/>
      <c r="C118" s="138"/>
      <c r="D118" s="140"/>
      <c r="E118" s="146">
        <f t="shared" si="2"/>
        <v>0</v>
      </c>
      <c r="F118" s="141"/>
      <c r="G118" s="142"/>
      <c r="H118" s="142"/>
      <c r="O118"/>
      <c r="P118"/>
    </row>
    <row r="119" spans="1:16" ht="13.5" customHeight="1">
      <c r="A119" s="166">
        <v>94</v>
      </c>
      <c r="B119" s="142"/>
      <c r="C119" s="138"/>
      <c r="D119" s="140"/>
      <c r="E119" s="146">
        <f t="shared" si="2"/>
        <v>0</v>
      </c>
      <c r="F119" s="141"/>
      <c r="G119" s="142"/>
      <c r="H119" s="142"/>
      <c r="O119"/>
      <c r="P119"/>
    </row>
    <row r="120" spans="1:16" ht="13.5" customHeight="1">
      <c r="A120" s="166">
        <v>95</v>
      </c>
      <c r="B120" s="142"/>
      <c r="C120" s="138"/>
      <c r="D120" s="140"/>
      <c r="E120" s="146">
        <f t="shared" si="2"/>
        <v>0</v>
      </c>
      <c r="F120" s="141"/>
      <c r="G120" s="142"/>
      <c r="H120" s="142"/>
      <c r="O120"/>
      <c r="P120"/>
    </row>
    <row r="121" spans="1:16" ht="13.5" customHeight="1">
      <c r="A121" s="166">
        <v>96</v>
      </c>
      <c r="B121" s="142"/>
      <c r="C121" s="138"/>
      <c r="D121" s="140"/>
      <c r="E121" s="146">
        <f t="shared" si="2"/>
        <v>0</v>
      </c>
      <c r="F121" s="141"/>
      <c r="G121" s="142"/>
      <c r="H121" s="142"/>
      <c r="O121"/>
      <c r="P121"/>
    </row>
    <row r="122" spans="1:16" ht="13.5" customHeight="1">
      <c r="A122" s="166">
        <v>97</v>
      </c>
      <c r="B122" s="142"/>
      <c r="C122" s="138"/>
      <c r="D122" s="140"/>
      <c r="E122" s="146">
        <f t="shared" si="2"/>
        <v>0</v>
      </c>
      <c r="F122" s="141"/>
      <c r="G122" s="142"/>
      <c r="H122" s="142"/>
      <c r="O122"/>
      <c r="P122"/>
    </row>
    <row r="123" spans="1:16" ht="13.5" customHeight="1">
      <c r="A123" s="166">
        <v>98</v>
      </c>
      <c r="B123" s="142"/>
      <c r="C123" s="138"/>
      <c r="D123" s="140"/>
      <c r="E123" s="146">
        <f t="shared" si="2"/>
        <v>0</v>
      </c>
      <c r="F123" s="141"/>
      <c r="G123" s="142"/>
      <c r="H123" s="142"/>
      <c r="O123"/>
      <c r="P123"/>
    </row>
    <row r="124" spans="1:16" ht="13.5" customHeight="1">
      <c r="A124" s="166">
        <v>99</v>
      </c>
      <c r="B124" s="142"/>
      <c r="C124" s="138"/>
      <c r="D124" s="140"/>
      <c r="E124" s="146">
        <f t="shared" si="2"/>
        <v>0</v>
      </c>
      <c r="F124" s="141"/>
      <c r="G124" s="142"/>
      <c r="H124" s="142"/>
      <c r="O124"/>
      <c r="P124"/>
    </row>
    <row r="125" spans="1:16" ht="13.5" customHeight="1">
      <c r="A125" s="166">
        <v>100</v>
      </c>
      <c r="B125" s="142"/>
      <c r="C125" s="138"/>
      <c r="D125" s="140"/>
      <c r="E125" s="146">
        <f t="shared" si="2"/>
        <v>0</v>
      </c>
      <c r="F125" s="141"/>
      <c r="G125" s="142"/>
      <c r="H125" s="142"/>
      <c r="O125"/>
      <c r="P125"/>
    </row>
    <row r="126" spans="1:16" ht="13.5" customHeight="1">
      <c r="A126" s="166">
        <v>101</v>
      </c>
      <c r="B126" s="142"/>
      <c r="C126" s="138"/>
      <c r="D126" s="140"/>
      <c r="E126" s="146">
        <f t="shared" si="2"/>
        <v>0</v>
      </c>
      <c r="F126" s="141"/>
      <c r="G126" s="142"/>
      <c r="H126" s="142"/>
      <c r="O126"/>
      <c r="P126"/>
    </row>
    <row r="127" spans="1:16" ht="13.5" customHeight="1">
      <c r="A127" s="166">
        <v>102</v>
      </c>
      <c r="B127" s="142"/>
      <c r="C127" s="138"/>
      <c r="D127" s="140"/>
      <c r="E127" s="146">
        <f t="shared" si="2"/>
        <v>0</v>
      </c>
      <c r="F127" s="141"/>
      <c r="G127" s="142"/>
      <c r="H127" s="142"/>
      <c r="O127"/>
      <c r="P127"/>
    </row>
    <row r="128" spans="1:16" ht="13.5" customHeight="1">
      <c r="A128" s="166">
        <v>103</v>
      </c>
      <c r="B128" s="142"/>
      <c r="C128" s="138"/>
      <c r="D128" s="140"/>
      <c r="E128" s="146">
        <f t="shared" si="2"/>
        <v>0</v>
      </c>
      <c r="F128" s="141"/>
      <c r="G128" s="142"/>
      <c r="H128" s="142"/>
      <c r="O128"/>
      <c r="P128"/>
    </row>
    <row r="129" spans="1:16" ht="13.5" customHeight="1">
      <c r="A129" s="166">
        <v>104</v>
      </c>
      <c r="B129" s="142"/>
      <c r="C129" s="138"/>
      <c r="D129" s="140"/>
      <c r="E129" s="146">
        <f t="shared" si="2"/>
        <v>0</v>
      </c>
      <c r="F129" s="141"/>
      <c r="G129" s="142"/>
      <c r="H129" s="142"/>
      <c r="O129"/>
      <c r="P129"/>
    </row>
    <row r="130" spans="1:16" ht="13.5" customHeight="1">
      <c r="A130" s="166">
        <v>105</v>
      </c>
      <c r="B130" s="142"/>
      <c r="C130" s="138"/>
      <c r="D130" s="140"/>
      <c r="E130" s="146">
        <f t="shared" si="2"/>
        <v>0</v>
      </c>
      <c r="F130" s="141"/>
      <c r="G130" s="142"/>
      <c r="H130" s="142"/>
      <c r="O130"/>
      <c r="P130"/>
    </row>
    <row r="131" spans="1:16" ht="13.5" customHeight="1">
      <c r="A131" s="166">
        <v>106</v>
      </c>
      <c r="B131" s="142"/>
      <c r="C131" s="138"/>
      <c r="D131" s="140"/>
      <c r="E131" s="146">
        <f t="shared" si="2"/>
        <v>0</v>
      </c>
      <c r="F131" s="141"/>
      <c r="G131" s="142"/>
      <c r="H131" s="142"/>
      <c r="O131"/>
      <c r="P131"/>
    </row>
    <row r="132" spans="1:16" ht="13.5" customHeight="1">
      <c r="A132" s="166">
        <v>107</v>
      </c>
      <c r="B132" s="142"/>
      <c r="C132" s="138"/>
      <c r="D132" s="140"/>
      <c r="E132" s="146">
        <f t="shared" si="2"/>
        <v>0</v>
      </c>
      <c r="F132" s="141"/>
      <c r="G132" s="142"/>
      <c r="H132" s="142"/>
      <c r="O132"/>
      <c r="P132"/>
    </row>
    <row r="133" spans="1:16" ht="13.5" customHeight="1">
      <c r="A133" s="166">
        <v>108</v>
      </c>
      <c r="B133" s="142"/>
      <c r="C133" s="138"/>
      <c r="D133" s="140"/>
      <c r="E133" s="146">
        <f t="shared" si="2"/>
        <v>0</v>
      </c>
      <c r="F133" s="141"/>
      <c r="G133" s="142"/>
      <c r="H133" s="142"/>
      <c r="O133"/>
      <c r="P133"/>
    </row>
    <row r="134" spans="1:16" ht="13.5" customHeight="1">
      <c r="A134" s="166">
        <v>109</v>
      </c>
      <c r="B134" s="142"/>
      <c r="C134" s="138"/>
      <c r="D134" s="140"/>
      <c r="E134" s="146">
        <f t="shared" si="2"/>
        <v>0</v>
      </c>
      <c r="F134" s="141"/>
      <c r="G134" s="142"/>
      <c r="H134" s="142"/>
      <c r="O134"/>
      <c r="P134"/>
    </row>
    <row r="135" spans="1:16" ht="13.5" customHeight="1">
      <c r="A135" s="166">
        <v>110</v>
      </c>
      <c r="B135" s="142"/>
      <c r="C135" s="138"/>
      <c r="D135" s="140"/>
      <c r="E135" s="146">
        <f t="shared" si="2"/>
        <v>0</v>
      </c>
      <c r="F135" s="141"/>
      <c r="G135" s="142"/>
      <c r="H135" s="142"/>
      <c r="O135"/>
      <c r="P135"/>
    </row>
    <row r="136" spans="1:16" ht="13.5" customHeight="1">
      <c r="A136" s="166">
        <v>111</v>
      </c>
      <c r="B136" s="142"/>
      <c r="C136" s="138"/>
      <c r="D136" s="140"/>
      <c r="E136" s="146">
        <f t="shared" si="2"/>
        <v>0</v>
      </c>
      <c r="F136" s="141"/>
      <c r="G136" s="142"/>
      <c r="H136" s="142"/>
      <c r="O136"/>
      <c r="P136"/>
    </row>
    <row r="137" spans="1:16" ht="13.5" customHeight="1">
      <c r="A137" s="166">
        <v>112</v>
      </c>
      <c r="B137" s="142"/>
      <c r="C137" s="138"/>
      <c r="D137" s="140"/>
      <c r="E137" s="146">
        <f t="shared" si="2"/>
        <v>0</v>
      </c>
      <c r="F137" s="141"/>
      <c r="G137" s="142"/>
      <c r="H137" s="142"/>
      <c r="O137"/>
      <c r="P137"/>
    </row>
    <row r="138" spans="1:16" ht="13.5" customHeight="1">
      <c r="A138" s="166">
        <v>113</v>
      </c>
      <c r="B138" s="142"/>
      <c r="C138" s="138"/>
      <c r="D138" s="140"/>
      <c r="E138" s="146">
        <f t="shared" si="2"/>
        <v>0</v>
      </c>
      <c r="F138" s="141"/>
      <c r="G138" s="142"/>
      <c r="H138" s="142"/>
      <c r="O138"/>
      <c r="P138"/>
    </row>
    <row r="139" spans="1:16" ht="13.5" customHeight="1">
      <c r="A139" s="166">
        <v>114</v>
      </c>
      <c r="B139" s="142"/>
      <c r="C139" s="138"/>
      <c r="D139" s="140"/>
      <c r="E139" s="146">
        <f t="shared" si="2"/>
        <v>0</v>
      </c>
      <c r="F139" s="141"/>
      <c r="G139" s="142"/>
      <c r="H139" s="142"/>
      <c r="O139"/>
      <c r="P139"/>
    </row>
    <row r="140" spans="1:16" ht="13.5" customHeight="1">
      <c r="A140" s="166">
        <v>115</v>
      </c>
      <c r="B140" s="142"/>
      <c r="C140" s="138"/>
      <c r="D140" s="140"/>
      <c r="E140" s="146">
        <f t="shared" si="2"/>
        <v>0</v>
      </c>
      <c r="F140" s="141"/>
      <c r="G140" s="142"/>
      <c r="H140" s="142"/>
      <c r="O140"/>
      <c r="P140"/>
    </row>
    <row r="141" spans="1:16" ht="13.5" customHeight="1">
      <c r="A141" s="166">
        <v>116</v>
      </c>
      <c r="B141" s="142"/>
      <c r="C141" s="138"/>
      <c r="D141" s="140"/>
      <c r="E141" s="146">
        <f t="shared" si="2"/>
        <v>0</v>
      </c>
      <c r="F141" s="141"/>
      <c r="G141" s="142"/>
      <c r="H141" s="142"/>
      <c r="O141"/>
      <c r="P141"/>
    </row>
    <row r="142" spans="1:16" ht="13.5" customHeight="1">
      <c r="A142" s="166">
        <v>117</v>
      </c>
      <c r="B142" s="142"/>
      <c r="C142" s="138"/>
      <c r="D142" s="140"/>
      <c r="E142" s="146">
        <f t="shared" si="2"/>
        <v>0</v>
      </c>
      <c r="F142" s="141"/>
      <c r="G142" s="142"/>
      <c r="H142" s="142"/>
      <c r="O142"/>
      <c r="P142"/>
    </row>
    <row r="143" spans="1:16" ht="13.5" customHeight="1">
      <c r="A143" s="166">
        <v>118</v>
      </c>
      <c r="B143" s="142"/>
      <c r="C143" s="138"/>
      <c r="D143" s="140"/>
      <c r="E143" s="146">
        <f t="shared" si="2"/>
        <v>0</v>
      </c>
      <c r="F143" s="141"/>
      <c r="G143" s="142"/>
      <c r="H143" s="142"/>
      <c r="O143"/>
      <c r="P143"/>
    </row>
    <row r="144" spans="1:16" ht="13.5" customHeight="1">
      <c r="A144" s="166">
        <v>119</v>
      </c>
      <c r="B144" s="142"/>
      <c r="C144" s="138"/>
      <c r="D144" s="140"/>
      <c r="E144" s="146">
        <f t="shared" si="2"/>
        <v>0</v>
      </c>
      <c r="F144" s="141"/>
      <c r="G144" s="142"/>
      <c r="H144" s="142"/>
      <c r="O144"/>
      <c r="P144"/>
    </row>
    <row r="145" spans="1:16" ht="13.5" customHeight="1">
      <c r="A145" s="166">
        <v>120</v>
      </c>
      <c r="B145" s="142"/>
      <c r="C145" s="138"/>
      <c r="D145" s="140"/>
      <c r="E145" s="146">
        <f t="shared" si="2"/>
        <v>0</v>
      </c>
      <c r="F145" s="141"/>
      <c r="G145" s="142"/>
      <c r="H145" s="142"/>
      <c r="O145"/>
      <c r="P145"/>
    </row>
    <row r="146" spans="1:16" ht="13.5" customHeight="1">
      <c r="A146" s="166">
        <v>121</v>
      </c>
      <c r="B146" s="142"/>
      <c r="C146" s="138"/>
      <c r="D146" s="140"/>
      <c r="E146" s="146">
        <f t="shared" si="2"/>
        <v>0</v>
      </c>
      <c r="F146" s="141"/>
      <c r="G146" s="142"/>
      <c r="H146" s="142"/>
      <c r="O146"/>
      <c r="P146"/>
    </row>
    <row r="147" spans="1:16" ht="13.5" customHeight="1">
      <c r="A147" s="166">
        <v>122</v>
      </c>
      <c r="B147" s="142"/>
      <c r="C147" s="138"/>
      <c r="D147" s="140"/>
      <c r="E147" s="146">
        <f t="shared" si="2"/>
        <v>0</v>
      </c>
      <c r="F147" s="141"/>
      <c r="G147" s="142"/>
      <c r="H147" s="142"/>
      <c r="O147"/>
      <c r="P147"/>
    </row>
    <row r="148" spans="1:16" ht="13.5" customHeight="1">
      <c r="A148" s="166">
        <v>123</v>
      </c>
      <c r="B148" s="142"/>
      <c r="C148" s="138"/>
      <c r="D148" s="140"/>
      <c r="E148" s="146">
        <f t="shared" si="2"/>
        <v>0</v>
      </c>
      <c r="F148" s="141"/>
      <c r="G148" s="142"/>
      <c r="H148" s="142"/>
      <c r="O148"/>
      <c r="P148"/>
    </row>
    <row r="149" spans="1:16" ht="13.5" customHeight="1">
      <c r="A149" s="166">
        <v>124</v>
      </c>
      <c r="B149" s="142"/>
      <c r="C149" s="138"/>
      <c r="D149" s="140"/>
      <c r="E149" s="146">
        <f t="shared" si="2"/>
        <v>0</v>
      </c>
      <c r="F149" s="141"/>
      <c r="G149" s="142"/>
      <c r="H149" s="142"/>
      <c r="O149"/>
      <c r="P149"/>
    </row>
    <row r="150" spans="1:16" ht="13.5" customHeight="1">
      <c r="A150" s="166">
        <v>125</v>
      </c>
      <c r="B150" s="142"/>
      <c r="C150" s="138"/>
      <c r="D150" s="140"/>
      <c r="E150" s="146">
        <f t="shared" si="2"/>
        <v>0</v>
      </c>
      <c r="F150" s="141"/>
      <c r="G150" s="142"/>
      <c r="H150" s="142"/>
      <c r="O150"/>
      <c r="P150"/>
    </row>
    <row r="151" spans="1:16" ht="13.5" customHeight="1">
      <c r="A151" s="166">
        <v>126</v>
      </c>
      <c r="B151" s="142"/>
      <c r="C151" s="138"/>
      <c r="D151" s="140"/>
      <c r="E151" s="146">
        <f t="shared" si="2"/>
        <v>0</v>
      </c>
      <c r="F151" s="141"/>
      <c r="G151" s="142"/>
      <c r="H151" s="142"/>
      <c r="O151"/>
      <c r="P151"/>
    </row>
    <row r="152" spans="1:16" ht="13.5" customHeight="1">
      <c r="A152" s="166">
        <v>127</v>
      </c>
      <c r="B152" s="142"/>
      <c r="C152" s="138"/>
      <c r="D152" s="140"/>
      <c r="E152" s="146">
        <f t="shared" si="2"/>
        <v>0</v>
      </c>
      <c r="F152" s="141"/>
      <c r="G152" s="142"/>
      <c r="H152" s="142"/>
      <c r="O152"/>
      <c r="P152"/>
    </row>
    <row r="153" spans="1:16" ht="13.5" customHeight="1">
      <c r="A153" s="166">
        <v>128</v>
      </c>
      <c r="B153" s="142"/>
      <c r="C153" s="138"/>
      <c r="D153" s="140"/>
      <c r="E153" s="146">
        <f t="shared" si="2"/>
        <v>0</v>
      </c>
      <c r="F153" s="141"/>
      <c r="G153" s="142"/>
      <c r="H153" s="142"/>
      <c r="O153"/>
      <c r="P153"/>
    </row>
    <row r="154" spans="1:16" ht="13.5" customHeight="1">
      <c r="A154" s="166">
        <v>129</v>
      </c>
      <c r="B154" s="142"/>
      <c r="C154" s="138"/>
      <c r="D154" s="140"/>
      <c r="E154" s="146">
        <f t="shared" ref="E154:E157" si="3">M154</f>
        <v>0</v>
      </c>
      <c r="F154" s="141"/>
      <c r="G154" s="142"/>
      <c r="H154" s="142"/>
      <c r="O154"/>
      <c r="P154"/>
    </row>
    <row r="155" spans="1:16" ht="13.5" customHeight="1">
      <c r="A155" s="166">
        <v>130</v>
      </c>
      <c r="B155" s="142"/>
      <c r="C155" s="138"/>
      <c r="D155" s="140"/>
      <c r="E155" s="146">
        <f t="shared" si="3"/>
        <v>0</v>
      </c>
      <c r="F155" s="141"/>
      <c r="G155" s="142"/>
      <c r="H155" s="142"/>
      <c r="O155"/>
      <c r="P155"/>
    </row>
    <row r="156" spans="1:16" ht="13.5" customHeight="1">
      <c r="A156" s="166">
        <v>131</v>
      </c>
      <c r="B156" s="142"/>
      <c r="C156" s="140"/>
      <c r="D156" s="140"/>
      <c r="E156" s="146">
        <f t="shared" si="3"/>
        <v>0</v>
      </c>
      <c r="F156" s="141"/>
      <c r="G156" s="142"/>
      <c r="H156" s="142"/>
      <c r="O156"/>
      <c r="P156"/>
    </row>
    <row r="157" spans="1:16" ht="13.5" customHeight="1">
      <c r="A157" s="166">
        <v>132</v>
      </c>
      <c r="B157" s="142"/>
      <c r="C157" s="138"/>
      <c r="D157" s="140"/>
      <c r="E157" s="146">
        <f t="shared" si="3"/>
        <v>0</v>
      </c>
      <c r="F157" s="141"/>
      <c r="G157" s="142"/>
      <c r="H157" s="142"/>
      <c r="O157"/>
      <c r="P157"/>
    </row>
    <row r="158" spans="1:16" ht="13.5" customHeight="1">
      <c r="A158" s="166">
        <v>133</v>
      </c>
      <c r="E158" s="161">
        <f>M161</f>
        <v>0</v>
      </c>
    </row>
    <row r="159" spans="1:16" ht="13.5" customHeight="1">
      <c r="A159" s="166">
        <v>134</v>
      </c>
      <c r="E159" s="161">
        <f>M162</f>
        <v>0</v>
      </c>
    </row>
    <row r="160" spans="1:16" ht="13.5" customHeight="1">
      <c r="A160" s="166">
        <v>135</v>
      </c>
      <c r="E160" s="161">
        <f>M163</f>
        <v>0</v>
      </c>
    </row>
    <row r="161" spans="1:5" ht="13.5" customHeight="1">
      <c r="A161" s="166">
        <v>136</v>
      </c>
      <c r="E161" s="161">
        <f>M161</f>
        <v>0</v>
      </c>
    </row>
    <row r="162" spans="1:5" ht="13.5" customHeight="1">
      <c r="A162" s="166">
        <v>137</v>
      </c>
      <c r="E162" s="161">
        <f>M162</f>
        <v>0</v>
      </c>
    </row>
    <row r="163" spans="1:5" ht="13.5" customHeight="1">
      <c r="A163" s="166">
        <v>138</v>
      </c>
      <c r="E163" s="161">
        <f>M163</f>
        <v>0</v>
      </c>
    </row>
    <row r="164" spans="1:5" ht="13.5" customHeight="1">
      <c r="A164" s="166">
        <v>139</v>
      </c>
      <c r="E164" s="161">
        <f>M164</f>
        <v>0</v>
      </c>
    </row>
  </sheetData>
  <mergeCells count="2">
    <mergeCell ref="A1:B1"/>
    <mergeCell ref="E25:F2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61"/>
  <sheetViews>
    <sheetView topLeftCell="A4" workbookViewId="0">
      <selection activeCell="F14" sqref="F14"/>
    </sheetView>
  </sheetViews>
  <sheetFormatPr defaultRowHeight="16.5"/>
  <cols>
    <col min="1" max="1" width="2.375" customWidth="1"/>
    <col min="2" max="2" width="3.375" customWidth="1"/>
  </cols>
  <sheetData>
    <row r="1" spans="1:13">
      <c r="A1" t="s">
        <v>54</v>
      </c>
    </row>
    <row r="7" spans="1:13">
      <c r="A7" t="s">
        <v>52</v>
      </c>
    </row>
    <row r="8" spans="1:13">
      <c r="A8" t="s">
        <v>1</v>
      </c>
    </row>
    <row r="9" spans="1:13">
      <c r="A9" t="s">
        <v>53</v>
      </c>
    </row>
    <row r="10" spans="1:13">
      <c r="A10" t="s">
        <v>3</v>
      </c>
      <c r="M10" s="1"/>
    </row>
    <row r="11" spans="1:13">
      <c r="A11" t="s">
        <v>2</v>
      </c>
      <c r="M11" s="1"/>
    </row>
    <row r="12" spans="1:13">
      <c r="B12" t="s">
        <v>39</v>
      </c>
    </row>
    <row r="13" spans="1:13">
      <c r="B13" s="4" t="s">
        <v>40</v>
      </c>
    </row>
    <row r="14" spans="1:13">
      <c r="C14" t="s">
        <v>41</v>
      </c>
    </row>
    <row r="15" spans="1:13">
      <c r="C15" t="s">
        <v>4</v>
      </c>
    </row>
    <row r="16" spans="1:13">
      <c r="C16" t="s">
        <v>5</v>
      </c>
    </row>
    <row r="17" spans="1:3">
      <c r="C17" t="s">
        <v>6</v>
      </c>
    </row>
    <row r="18" spans="1:3">
      <c r="C18" t="s">
        <v>55</v>
      </c>
    </row>
    <row r="19" spans="1:3">
      <c r="C19" s="2" t="s">
        <v>44</v>
      </c>
    </row>
    <row r="20" spans="1:3">
      <c r="C20" t="s">
        <v>7</v>
      </c>
    </row>
    <row r="21" spans="1:3">
      <c r="B21" s="4" t="s">
        <v>8</v>
      </c>
    </row>
    <row r="22" spans="1:3">
      <c r="B22" t="s">
        <v>9</v>
      </c>
    </row>
    <row r="23" spans="1:3">
      <c r="A23" s="4"/>
      <c r="B23" s="4" t="s">
        <v>10</v>
      </c>
    </row>
    <row r="24" spans="1:3">
      <c r="C24" t="s">
        <v>11</v>
      </c>
    </row>
    <row r="25" spans="1:3">
      <c r="C25" t="s">
        <v>12</v>
      </c>
    </row>
    <row r="26" spans="1:3">
      <c r="C26" t="s">
        <v>22</v>
      </c>
    </row>
    <row r="27" spans="1:3">
      <c r="A27" s="5"/>
      <c r="B27" s="5" t="s">
        <v>23</v>
      </c>
    </row>
    <row r="28" spans="1:3">
      <c r="A28" s="5"/>
      <c r="B28" s="5" t="s">
        <v>10</v>
      </c>
    </row>
    <row r="29" spans="1:3">
      <c r="C29" t="s">
        <v>24</v>
      </c>
    </row>
    <row r="30" spans="1:3">
      <c r="C30" t="s">
        <v>13</v>
      </c>
    </row>
    <row r="31" spans="1:3">
      <c r="C31" t="s">
        <v>25</v>
      </c>
    </row>
    <row r="32" spans="1:3">
      <c r="A32" s="5"/>
      <c r="B32" s="5" t="s">
        <v>26</v>
      </c>
    </row>
    <row r="33" spans="1:3">
      <c r="A33" s="5"/>
      <c r="B33" s="5" t="s">
        <v>27</v>
      </c>
    </row>
    <row r="34" spans="1:3">
      <c r="C34" t="s">
        <v>14</v>
      </c>
    </row>
    <row r="35" spans="1:3">
      <c r="C35" t="s">
        <v>15</v>
      </c>
    </row>
    <row r="36" spans="1:3">
      <c r="C36" t="s">
        <v>16</v>
      </c>
    </row>
    <row r="37" spans="1:3">
      <c r="C37" t="s">
        <v>42</v>
      </c>
    </row>
    <row r="38" spans="1:3">
      <c r="C38" s="7" t="s">
        <v>43</v>
      </c>
    </row>
    <row r="39" spans="1:3">
      <c r="C39" t="s">
        <v>17</v>
      </c>
    </row>
    <row r="40" spans="1:3">
      <c r="C40" t="s">
        <v>28</v>
      </c>
    </row>
    <row r="41" spans="1:3">
      <c r="A41" s="5"/>
      <c r="B41" s="5" t="s">
        <v>29</v>
      </c>
    </row>
    <row r="42" spans="1:3">
      <c r="A42" s="5"/>
      <c r="B42" s="5" t="s">
        <v>30</v>
      </c>
    </row>
    <row r="43" spans="1:3">
      <c r="C43" t="s">
        <v>31</v>
      </c>
    </row>
    <row r="44" spans="1:3">
      <c r="C44" t="s">
        <v>18</v>
      </c>
    </row>
    <row r="45" spans="1:3">
      <c r="C45" t="s">
        <v>28</v>
      </c>
    </row>
    <row r="46" spans="1:3">
      <c r="A46" s="4"/>
      <c r="B46" s="4" t="s">
        <v>26</v>
      </c>
    </row>
    <row r="47" spans="1:3">
      <c r="A47" s="5"/>
      <c r="B47" s="5" t="s">
        <v>27</v>
      </c>
    </row>
    <row r="48" spans="1:3">
      <c r="C48" t="s">
        <v>32</v>
      </c>
    </row>
    <row r="49" spans="1:3">
      <c r="C49" t="s">
        <v>19</v>
      </c>
    </row>
    <row r="50" spans="1:3">
      <c r="C50" t="s">
        <v>33</v>
      </c>
    </row>
    <row r="51" spans="1:3">
      <c r="A51" s="4"/>
      <c r="B51" s="4" t="s">
        <v>34</v>
      </c>
    </row>
    <row r="52" spans="1:3">
      <c r="A52" s="5"/>
      <c r="B52" s="5" t="s">
        <v>30</v>
      </c>
    </row>
    <row r="53" spans="1:3">
      <c r="C53" t="s">
        <v>35</v>
      </c>
    </row>
    <row r="54" spans="1:3">
      <c r="C54" t="s">
        <v>20</v>
      </c>
    </row>
    <row r="55" spans="1:3">
      <c r="C55" t="s">
        <v>33</v>
      </c>
    </row>
    <row r="56" spans="1:3">
      <c r="A56" s="4"/>
      <c r="B56" s="4" t="s">
        <v>34</v>
      </c>
      <c r="C56" s="5"/>
    </row>
    <row r="57" spans="1:3">
      <c r="A57" s="5"/>
      <c r="B57" s="5" t="s">
        <v>30</v>
      </c>
      <c r="C57" s="5"/>
    </row>
    <row r="58" spans="1:3">
      <c r="C58" t="s">
        <v>36</v>
      </c>
    </row>
    <row r="59" spans="1:3">
      <c r="C59" t="s">
        <v>37</v>
      </c>
    </row>
    <row r="60" spans="1:3">
      <c r="A60" s="4"/>
      <c r="B60" s="4" t="s">
        <v>38</v>
      </c>
    </row>
    <row r="61" spans="1:3">
      <c r="A61" s="6" t="s">
        <v>21</v>
      </c>
      <c r="B61" s="4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G1:AD1"/>
  <sheetViews>
    <sheetView topLeftCell="E1" workbookViewId="0">
      <selection activeCell="AC15" sqref="AC15"/>
    </sheetView>
  </sheetViews>
  <sheetFormatPr defaultRowHeight="16.5"/>
  <cols>
    <col min="7" max="30" width="9" style="8"/>
  </cols>
  <sheetData/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65"/>
  <sheetViews>
    <sheetView workbookViewId="0">
      <selection activeCell="C18" sqref="C18"/>
    </sheetView>
  </sheetViews>
  <sheetFormatPr defaultRowHeight="16.5"/>
  <sheetData>
    <row r="1" spans="1:20">
      <c r="A1" t="s">
        <v>46</v>
      </c>
      <c r="T1" t="s">
        <v>45</v>
      </c>
    </row>
    <row r="2" spans="1:20">
      <c r="A2" t="s">
        <v>637</v>
      </c>
    </row>
    <row r="3" spans="1:20">
      <c r="A3" t="s">
        <v>636</v>
      </c>
    </row>
    <row r="5" spans="1:20">
      <c r="A5" t="s">
        <v>638</v>
      </c>
    </row>
    <row r="6" spans="1:20">
      <c r="A6" t="s">
        <v>639</v>
      </c>
    </row>
    <row r="7" spans="1:20">
      <c r="A7" t="s">
        <v>640</v>
      </c>
    </row>
    <row r="8" spans="1:20">
      <c r="A8" t="s">
        <v>641</v>
      </c>
    </row>
    <row r="10" spans="1:20">
      <c r="A10" t="s">
        <v>646</v>
      </c>
    </row>
    <row r="11" spans="1:20">
      <c r="A11" t="s">
        <v>645</v>
      </c>
    </row>
    <row r="12" spans="1:20">
      <c r="A12" t="s">
        <v>647</v>
      </c>
    </row>
    <row r="13" spans="1:20">
      <c r="A13" t="s">
        <v>648</v>
      </c>
    </row>
    <row r="14" spans="1:20">
      <c r="A14" t="s">
        <v>649</v>
      </c>
    </row>
    <row r="15" spans="1:20">
      <c r="A15" t="s">
        <v>650</v>
      </c>
    </row>
    <row r="16" spans="1:20">
      <c r="A16" t="s">
        <v>651</v>
      </c>
    </row>
    <row r="17" spans="1:1">
      <c r="A17" t="s">
        <v>652</v>
      </c>
    </row>
    <row r="18" spans="1:1">
      <c r="A18" t="s">
        <v>653</v>
      </c>
    </row>
    <row r="19" spans="1:1">
      <c r="A19" t="s">
        <v>654</v>
      </c>
    </row>
    <row r="20" spans="1:1">
      <c r="A20" t="s">
        <v>655</v>
      </c>
    </row>
    <row r="22" spans="1:1">
      <c r="A22" t="s">
        <v>656</v>
      </c>
    </row>
    <row r="23" spans="1:1">
      <c r="A23" t="s">
        <v>657</v>
      </c>
    </row>
    <row r="24" spans="1:1">
      <c r="A24" t="s">
        <v>658</v>
      </c>
    </row>
    <row r="30" spans="1:1">
      <c r="A30" t="s">
        <v>642</v>
      </c>
    </row>
    <row r="31" spans="1:1">
      <c r="A31" t="s">
        <v>643</v>
      </c>
    </row>
    <row r="32" spans="1:1">
      <c r="A32" t="s">
        <v>644</v>
      </c>
    </row>
    <row r="46" spans="1:2">
      <c r="A46" t="s">
        <v>48</v>
      </c>
    </row>
    <row r="47" spans="1:2">
      <c r="A47" t="s">
        <v>50</v>
      </c>
    </row>
    <row r="48" spans="1:2">
      <c r="B48" t="s">
        <v>46</v>
      </c>
    </row>
    <row r="49" spans="1:2">
      <c r="B49" t="s">
        <v>47</v>
      </c>
    </row>
    <row r="50" spans="1:2">
      <c r="A50" t="s">
        <v>49</v>
      </c>
    </row>
    <row r="65" spans="1:1">
      <c r="A65" t="s">
        <v>51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N33"/>
  <sheetViews>
    <sheetView workbookViewId="0">
      <selection sqref="A1:A7"/>
    </sheetView>
  </sheetViews>
  <sheetFormatPr defaultRowHeight="16.5"/>
  <cols>
    <col min="1" max="1" width="36.75" customWidth="1"/>
    <col min="2" max="2" width="23.875" customWidth="1"/>
    <col min="3" max="3" width="19.5" customWidth="1"/>
    <col min="10" max="10" width="17.5" customWidth="1"/>
    <col min="12" max="12" width="46.5" customWidth="1"/>
    <col min="30" max="30" width="31.5" customWidth="1"/>
  </cols>
  <sheetData>
    <row r="1" spans="1:22">
      <c r="A1" t="s">
        <v>613</v>
      </c>
      <c r="B1" t="s">
        <v>612</v>
      </c>
      <c r="J1" t="s">
        <v>662</v>
      </c>
      <c r="K1" t="s">
        <v>790</v>
      </c>
      <c r="L1" t="s">
        <v>789</v>
      </c>
    </row>
    <row r="2" spans="1:22">
      <c r="A2" t="s">
        <v>614</v>
      </c>
      <c r="B2" t="s">
        <v>615</v>
      </c>
      <c r="J2" t="s">
        <v>663</v>
      </c>
      <c r="K2" t="s">
        <v>630</v>
      </c>
    </row>
    <row r="3" spans="1:22">
      <c r="A3" t="s">
        <v>616</v>
      </c>
      <c r="B3" t="s">
        <v>611</v>
      </c>
    </row>
    <row r="4" spans="1:22">
      <c r="A4" t="s">
        <v>617</v>
      </c>
      <c r="B4" t="s">
        <v>618</v>
      </c>
      <c r="J4" t="s">
        <v>779</v>
      </c>
      <c r="K4" t="s">
        <v>630</v>
      </c>
      <c r="M4" t="s">
        <v>778</v>
      </c>
      <c r="V4" t="s">
        <v>778</v>
      </c>
    </row>
    <row r="5" spans="1:22">
      <c r="A5" s="171" t="s">
        <v>620</v>
      </c>
      <c r="B5" t="s">
        <v>619</v>
      </c>
    </row>
    <row r="6" spans="1:22">
      <c r="A6" t="s">
        <v>622</v>
      </c>
      <c r="B6" t="s">
        <v>621</v>
      </c>
    </row>
    <row r="7" spans="1:22">
      <c r="A7" t="s">
        <v>624</v>
      </c>
      <c r="B7" t="s">
        <v>623</v>
      </c>
    </row>
    <row r="9" spans="1:22">
      <c r="A9" s="172" t="s">
        <v>628</v>
      </c>
      <c r="B9" s="172" t="s">
        <v>626</v>
      </c>
      <c r="C9" s="172" t="s">
        <v>627</v>
      </c>
      <c r="D9" s="172" t="s">
        <v>625</v>
      </c>
    </row>
    <row r="10" spans="1:22">
      <c r="A10" s="172" t="s">
        <v>633</v>
      </c>
      <c r="B10" s="172"/>
      <c r="C10" s="172"/>
      <c r="D10" s="172"/>
      <c r="E10" t="str">
        <f>V17</f>
        <v>hblNo:NSGS82512016</v>
      </c>
    </row>
    <row r="11" spans="1:22">
      <c r="A11" t="s">
        <v>629</v>
      </c>
      <c r="B11" t="s">
        <v>634</v>
      </c>
      <c r="C11" s="2"/>
    </row>
    <row r="12" spans="1:22">
      <c r="B12" t="s">
        <v>663</v>
      </c>
    </row>
    <row r="13" spans="1:22">
      <c r="A13" t="s">
        <v>661</v>
      </c>
      <c r="B13" t="s">
        <v>776</v>
      </c>
    </row>
    <row r="14" spans="1:22">
      <c r="B14" t="s">
        <v>775</v>
      </c>
    </row>
    <row r="15" spans="1:22">
      <c r="A15" t="s">
        <v>777</v>
      </c>
      <c r="B15">
        <v>18</v>
      </c>
    </row>
    <row r="16" spans="1:22">
      <c r="B16" t="s">
        <v>630</v>
      </c>
    </row>
    <row r="17" spans="2:40">
      <c r="B17" t="s">
        <v>631</v>
      </c>
      <c r="C17" t="s">
        <v>664</v>
      </c>
      <c r="D17" t="s">
        <v>665</v>
      </c>
      <c r="E17" t="s">
        <v>666</v>
      </c>
      <c r="F17" t="s">
        <v>667</v>
      </c>
      <c r="G17" t="s">
        <v>668</v>
      </c>
      <c r="H17" t="s">
        <v>669</v>
      </c>
      <c r="I17" t="s">
        <v>670</v>
      </c>
      <c r="J17" t="s">
        <v>671</v>
      </c>
      <c r="K17" t="s">
        <v>672</v>
      </c>
      <c r="L17" t="s">
        <v>673</v>
      </c>
      <c r="M17" t="s">
        <v>674</v>
      </c>
      <c r="N17" t="s">
        <v>675</v>
      </c>
      <c r="O17" t="s">
        <v>676</v>
      </c>
      <c r="P17" t="s">
        <v>677</v>
      </c>
      <c r="Q17" t="s">
        <v>678</v>
      </c>
      <c r="R17" t="s">
        <v>679</v>
      </c>
      <c r="S17" t="s">
        <v>680</v>
      </c>
      <c r="T17" t="s">
        <v>681</v>
      </c>
      <c r="U17" t="s">
        <v>682</v>
      </c>
      <c r="V17" t="s">
        <v>683</v>
      </c>
      <c r="W17" t="s">
        <v>684</v>
      </c>
      <c r="X17" t="s">
        <v>685</v>
      </c>
      <c r="Y17" t="s">
        <v>659</v>
      </c>
      <c r="Z17" t="s">
        <v>686</v>
      </c>
      <c r="AA17" t="s">
        <v>687</v>
      </c>
      <c r="AB17" t="s">
        <v>688</v>
      </c>
      <c r="AC17" t="s">
        <v>689</v>
      </c>
      <c r="AD17" t="s">
        <v>690</v>
      </c>
      <c r="AE17" t="s">
        <v>691</v>
      </c>
      <c r="AF17" t="s">
        <v>692</v>
      </c>
      <c r="AG17" t="s">
        <v>693</v>
      </c>
      <c r="AH17" t="s">
        <v>694</v>
      </c>
      <c r="AI17" t="s">
        <v>695</v>
      </c>
      <c r="AJ17" t="s">
        <v>696</v>
      </c>
      <c r="AK17" t="s">
        <v>697</v>
      </c>
      <c r="AL17" t="s">
        <v>698</v>
      </c>
      <c r="AM17" t="s">
        <v>699</v>
      </c>
      <c r="AN17" t="s">
        <v>700</v>
      </c>
    </row>
    <row r="18" spans="2:40">
      <c r="B18" t="s">
        <v>632</v>
      </c>
      <c r="C18" t="s">
        <v>701</v>
      </c>
    </row>
    <row r="19" spans="2:40">
      <c r="B19" t="s">
        <v>635</v>
      </c>
      <c r="C19" t="s">
        <v>702</v>
      </c>
      <c r="D19" t="s">
        <v>684</v>
      </c>
      <c r="E19" t="s">
        <v>703</v>
      </c>
      <c r="F19" t="s">
        <v>704</v>
      </c>
      <c r="G19" t="s">
        <v>705</v>
      </c>
      <c r="H19" t="s">
        <v>706</v>
      </c>
      <c r="I19" t="s">
        <v>707</v>
      </c>
      <c r="J19" t="s">
        <v>675</v>
      </c>
      <c r="K19" t="s">
        <v>680</v>
      </c>
      <c r="L19" t="s">
        <v>708</v>
      </c>
      <c r="M19" t="s">
        <v>697</v>
      </c>
      <c r="N19" t="s">
        <v>709</v>
      </c>
      <c r="O19" t="s">
        <v>710</v>
      </c>
    </row>
    <row r="20" spans="2:40">
      <c r="B20" t="s">
        <v>635</v>
      </c>
      <c r="C20" t="s">
        <v>702</v>
      </c>
      <c r="D20" t="s">
        <v>711</v>
      </c>
      <c r="E20" t="s">
        <v>712</v>
      </c>
      <c r="F20" t="s">
        <v>713</v>
      </c>
      <c r="G20" t="s">
        <v>705</v>
      </c>
      <c r="H20" t="s">
        <v>714</v>
      </c>
      <c r="I20" t="s">
        <v>707</v>
      </c>
      <c r="J20" t="s">
        <v>675</v>
      </c>
      <c r="K20" t="s">
        <v>680</v>
      </c>
      <c r="L20" t="s">
        <v>715</v>
      </c>
      <c r="M20" t="s">
        <v>697</v>
      </c>
      <c r="N20" t="s">
        <v>716</v>
      </c>
      <c r="O20" t="s">
        <v>710</v>
      </c>
    </row>
    <row r="21" spans="2:40">
      <c r="B21" t="s">
        <v>635</v>
      </c>
      <c r="C21" t="s">
        <v>702</v>
      </c>
      <c r="D21" t="s">
        <v>717</v>
      </c>
      <c r="E21" t="s">
        <v>712</v>
      </c>
      <c r="F21" t="s">
        <v>713</v>
      </c>
      <c r="G21" t="s">
        <v>705</v>
      </c>
      <c r="H21" t="s">
        <v>714</v>
      </c>
      <c r="I21" t="s">
        <v>707</v>
      </c>
      <c r="J21" t="s">
        <v>675</v>
      </c>
      <c r="K21" t="s">
        <v>680</v>
      </c>
      <c r="L21" t="s">
        <v>718</v>
      </c>
      <c r="M21" t="s">
        <v>697</v>
      </c>
      <c r="N21" t="s">
        <v>716</v>
      </c>
      <c r="O21" t="s">
        <v>710</v>
      </c>
    </row>
    <row r="22" spans="2:40">
      <c r="B22" t="s">
        <v>635</v>
      </c>
      <c r="C22" t="s">
        <v>702</v>
      </c>
      <c r="D22" t="s">
        <v>719</v>
      </c>
      <c r="E22" t="s">
        <v>712</v>
      </c>
      <c r="F22" t="s">
        <v>713</v>
      </c>
      <c r="G22" t="s">
        <v>705</v>
      </c>
      <c r="H22" t="s">
        <v>720</v>
      </c>
      <c r="I22" t="s">
        <v>707</v>
      </c>
      <c r="J22" t="s">
        <v>675</v>
      </c>
      <c r="K22" t="s">
        <v>680</v>
      </c>
      <c r="L22" t="s">
        <v>721</v>
      </c>
      <c r="M22" t="s">
        <v>697</v>
      </c>
      <c r="N22" t="s">
        <v>716</v>
      </c>
      <c r="O22" t="s">
        <v>710</v>
      </c>
    </row>
    <row r="23" spans="2:40">
      <c r="B23" t="s">
        <v>635</v>
      </c>
      <c r="C23" t="s">
        <v>702</v>
      </c>
      <c r="D23" t="s">
        <v>722</v>
      </c>
      <c r="E23" t="s">
        <v>723</v>
      </c>
      <c r="F23" t="s">
        <v>724</v>
      </c>
      <c r="G23" t="s">
        <v>725</v>
      </c>
      <c r="H23" t="s">
        <v>726</v>
      </c>
      <c r="I23" t="s">
        <v>727</v>
      </c>
      <c r="J23" t="s">
        <v>675</v>
      </c>
      <c r="K23" t="s">
        <v>728</v>
      </c>
      <c r="L23" t="s">
        <v>729</v>
      </c>
      <c r="M23" t="s">
        <v>660</v>
      </c>
      <c r="N23" t="s">
        <v>716</v>
      </c>
      <c r="O23" t="s">
        <v>710</v>
      </c>
    </row>
    <row r="24" spans="2:40">
      <c r="B24" t="s">
        <v>635</v>
      </c>
      <c r="C24" t="s">
        <v>702</v>
      </c>
      <c r="D24" t="s">
        <v>730</v>
      </c>
      <c r="E24" t="s">
        <v>731</v>
      </c>
      <c r="F24" t="s">
        <v>732</v>
      </c>
      <c r="G24" t="s">
        <v>705</v>
      </c>
      <c r="H24" t="s">
        <v>733</v>
      </c>
      <c r="I24" t="s">
        <v>734</v>
      </c>
      <c r="J24" t="s">
        <v>675</v>
      </c>
      <c r="K24" t="s">
        <v>680</v>
      </c>
      <c r="L24" t="s">
        <v>735</v>
      </c>
      <c r="M24" t="s">
        <v>697</v>
      </c>
      <c r="N24" t="s">
        <v>736</v>
      </c>
      <c r="O24" t="s">
        <v>737</v>
      </c>
    </row>
    <row r="25" spans="2:40">
      <c r="B25" t="s">
        <v>635</v>
      </c>
      <c r="C25" t="s">
        <v>738</v>
      </c>
      <c r="D25" t="s">
        <v>739</v>
      </c>
      <c r="E25" t="s">
        <v>740</v>
      </c>
      <c r="F25" t="s">
        <v>741</v>
      </c>
      <c r="G25" t="s">
        <v>705</v>
      </c>
      <c r="H25" t="s">
        <v>733</v>
      </c>
      <c r="I25" t="s">
        <v>707</v>
      </c>
      <c r="J25" t="s">
        <v>675</v>
      </c>
      <c r="K25" t="s">
        <v>680</v>
      </c>
      <c r="L25" t="s">
        <v>708</v>
      </c>
      <c r="M25" t="s">
        <v>697</v>
      </c>
      <c r="N25" t="s">
        <v>742</v>
      </c>
      <c r="O25" t="s">
        <v>743</v>
      </c>
    </row>
    <row r="26" spans="2:40">
      <c r="B26" t="s">
        <v>635</v>
      </c>
      <c r="C26" t="s">
        <v>738</v>
      </c>
      <c r="D26" t="s">
        <v>744</v>
      </c>
      <c r="E26" t="s">
        <v>745</v>
      </c>
      <c r="F26" t="s">
        <v>746</v>
      </c>
      <c r="G26" t="s">
        <v>705</v>
      </c>
      <c r="H26" t="s">
        <v>714</v>
      </c>
      <c r="I26" t="s">
        <v>747</v>
      </c>
      <c r="J26" t="s">
        <v>675</v>
      </c>
      <c r="K26" t="s">
        <v>680</v>
      </c>
      <c r="L26" t="s">
        <v>735</v>
      </c>
      <c r="M26" t="s">
        <v>697</v>
      </c>
      <c r="N26" t="s">
        <v>748</v>
      </c>
      <c r="O26" t="s">
        <v>743</v>
      </c>
    </row>
    <row r="27" spans="2:40">
      <c r="B27" t="s">
        <v>635</v>
      </c>
      <c r="C27" t="s">
        <v>749</v>
      </c>
      <c r="D27" t="s">
        <v>750</v>
      </c>
      <c r="E27" t="s">
        <v>751</v>
      </c>
      <c r="F27" t="s">
        <v>713</v>
      </c>
      <c r="G27" t="s">
        <v>752</v>
      </c>
      <c r="H27" t="s">
        <v>714</v>
      </c>
      <c r="I27" t="s">
        <v>707</v>
      </c>
      <c r="J27" t="s">
        <v>675</v>
      </c>
      <c r="K27" t="s">
        <v>728</v>
      </c>
      <c r="L27" t="s">
        <v>753</v>
      </c>
      <c r="M27" t="s">
        <v>660</v>
      </c>
      <c r="N27" t="s">
        <v>716</v>
      </c>
      <c r="O27" t="s">
        <v>754</v>
      </c>
    </row>
    <row r="28" spans="2:40">
      <c r="B28" t="s">
        <v>635</v>
      </c>
      <c r="C28" t="s">
        <v>749</v>
      </c>
      <c r="D28" t="s">
        <v>750</v>
      </c>
      <c r="E28" t="s">
        <v>755</v>
      </c>
      <c r="F28" t="s">
        <v>713</v>
      </c>
      <c r="G28" t="s">
        <v>752</v>
      </c>
      <c r="H28" t="s">
        <v>714</v>
      </c>
      <c r="I28" t="s">
        <v>707</v>
      </c>
      <c r="J28" t="s">
        <v>675</v>
      </c>
      <c r="K28" t="s">
        <v>728</v>
      </c>
      <c r="L28" t="s">
        <v>756</v>
      </c>
      <c r="M28" t="s">
        <v>660</v>
      </c>
      <c r="N28" t="s">
        <v>716</v>
      </c>
      <c r="O28" t="s">
        <v>754</v>
      </c>
    </row>
    <row r="29" spans="2:40">
      <c r="B29" t="s">
        <v>635</v>
      </c>
      <c r="C29" t="s">
        <v>738</v>
      </c>
      <c r="D29" t="s">
        <v>757</v>
      </c>
      <c r="E29" t="s">
        <v>758</v>
      </c>
      <c r="F29" t="s">
        <v>713</v>
      </c>
      <c r="G29" t="s">
        <v>705</v>
      </c>
      <c r="H29" t="s">
        <v>759</v>
      </c>
      <c r="I29" t="s">
        <v>707</v>
      </c>
      <c r="J29" t="s">
        <v>675</v>
      </c>
      <c r="K29" t="s">
        <v>680</v>
      </c>
      <c r="L29" t="s">
        <v>760</v>
      </c>
      <c r="M29" t="s">
        <v>697</v>
      </c>
      <c r="N29" t="s">
        <v>716</v>
      </c>
      <c r="O29" t="s">
        <v>743</v>
      </c>
    </row>
    <row r="30" spans="2:40">
      <c r="B30" t="s">
        <v>635</v>
      </c>
      <c r="C30" t="s">
        <v>738</v>
      </c>
      <c r="D30" t="s">
        <v>761</v>
      </c>
      <c r="E30" t="s">
        <v>762</v>
      </c>
      <c r="F30" t="s">
        <v>763</v>
      </c>
      <c r="G30" t="s">
        <v>705</v>
      </c>
      <c r="H30" t="s">
        <v>764</v>
      </c>
      <c r="I30" t="s">
        <v>707</v>
      </c>
      <c r="J30" t="s">
        <v>675</v>
      </c>
      <c r="K30" t="s">
        <v>680</v>
      </c>
      <c r="L30" t="s">
        <v>765</v>
      </c>
      <c r="M30" t="s">
        <v>697</v>
      </c>
      <c r="N30" t="s">
        <v>716</v>
      </c>
      <c r="O30" t="s">
        <v>766</v>
      </c>
    </row>
    <row r="31" spans="2:40">
      <c r="B31" t="s">
        <v>635</v>
      </c>
      <c r="C31" t="s">
        <v>738</v>
      </c>
      <c r="D31" t="s">
        <v>767</v>
      </c>
      <c r="E31" t="s">
        <v>762</v>
      </c>
      <c r="F31" t="s">
        <v>713</v>
      </c>
      <c r="G31" t="s">
        <v>705</v>
      </c>
      <c r="H31" t="s">
        <v>714</v>
      </c>
      <c r="I31" t="s">
        <v>707</v>
      </c>
      <c r="J31" t="s">
        <v>675</v>
      </c>
      <c r="K31" t="s">
        <v>680</v>
      </c>
      <c r="L31" t="s">
        <v>768</v>
      </c>
      <c r="M31" t="s">
        <v>697</v>
      </c>
      <c r="N31" t="s">
        <v>716</v>
      </c>
      <c r="O31" t="s">
        <v>766</v>
      </c>
    </row>
    <row r="32" spans="2:40">
      <c r="B32" t="s">
        <v>635</v>
      </c>
      <c r="C32" t="s">
        <v>738</v>
      </c>
      <c r="D32" t="s">
        <v>769</v>
      </c>
      <c r="E32" t="s">
        <v>770</v>
      </c>
      <c r="F32" t="s">
        <v>713</v>
      </c>
      <c r="G32" t="s">
        <v>705</v>
      </c>
      <c r="H32" t="s">
        <v>771</v>
      </c>
      <c r="I32" t="s">
        <v>707</v>
      </c>
      <c r="J32" t="s">
        <v>675</v>
      </c>
      <c r="K32" t="s">
        <v>680</v>
      </c>
      <c r="L32" t="s">
        <v>772</v>
      </c>
      <c r="M32" t="s">
        <v>697</v>
      </c>
      <c r="N32" t="s">
        <v>716</v>
      </c>
      <c r="O32" t="s">
        <v>743</v>
      </c>
    </row>
    <row r="33" spans="2:15">
      <c r="B33" t="s">
        <v>635</v>
      </c>
      <c r="C33" t="s">
        <v>738</v>
      </c>
      <c r="D33" t="s">
        <v>773</v>
      </c>
      <c r="E33" t="s">
        <v>770</v>
      </c>
      <c r="F33" t="s">
        <v>713</v>
      </c>
      <c r="G33" t="s">
        <v>705</v>
      </c>
      <c r="H33" t="s">
        <v>714</v>
      </c>
      <c r="I33" t="s">
        <v>707</v>
      </c>
      <c r="J33" t="s">
        <v>675</v>
      </c>
      <c r="K33" t="s">
        <v>680</v>
      </c>
      <c r="L33" t="s">
        <v>774</v>
      </c>
      <c r="M33" t="s">
        <v>697</v>
      </c>
      <c r="N33" t="s">
        <v>716</v>
      </c>
      <c r="O33" t="s">
        <v>743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3"/>
  <sheetViews>
    <sheetView workbookViewId="0">
      <selection activeCell="A13" sqref="A13"/>
    </sheetView>
  </sheetViews>
  <sheetFormatPr defaultRowHeight="16.5"/>
  <cols>
    <col min="2" max="2" width="14.875" customWidth="1"/>
  </cols>
  <sheetData>
    <row r="1" spans="1:3">
      <c r="A1" t="s">
        <v>783</v>
      </c>
    </row>
    <row r="2" spans="1:3">
      <c r="A2" t="s">
        <v>784</v>
      </c>
    </row>
    <row r="3" spans="1:3">
      <c r="A3" t="s">
        <v>785</v>
      </c>
    </row>
    <row r="4" spans="1:3">
      <c r="A4" t="s">
        <v>781</v>
      </c>
    </row>
    <row r="5" spans="1:3">
      <c r="B5" t="s">
        <v>662</v>
      </c>
      <c r="C5" t="s">
        <v>780</v>
      </c>
    </row>
    <row r="6" spans="1:3">
      <c r="A6" t="s">
        <v>786</v>
      </c>
    </row>
    <row r="7" spans="1:3">
      <c r="A7" t="s">
        <v>787</v>
      </c>
    </row>
    <row r="8" spans="1:3">
      <c r="A8" t="s">
        <v>788</v>
      </c>
    </row>
    <row r="10" spans="1:3">
      <c r="A10" t="s">
        <v>782</v>
      </c>
    </row>
    <row r="13" spans="1:3">
      <c r="A13" t="s">
        <v>791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7"/>
  <sheetViews>
    <sheetView workbookViewId="0">
      <selection activeCell="I7" sqref="I7"/>
    </sheetView>
  </sheetViews>
  <sheetFormatPr defaultRowHeight="16.5"/>
  <cols>
    <col min="1" max="1" width="20.875" customWidth="1"/>
    <col min="2" max="2" width="6.75" customWidth="1"/>
    <col min="3" max="3" width="7.5" customWidth="1"/>
    <col min="4" max="5" width="19.625" customWidth="1"/>
    <col min="6" max="6" width="21.875" customWidth="1"/>
    <col min="7" max="7" width="6.75" customWidth="1"/>
    <col min="8" max="8" width="6.25" customWidth="1"/>
    <col min="9" max="11" width="13.5" customWidth="1"/>
    <col min="12" max="12" width="12.5" customWidth="1"/>
    <col min="13" max="13" width="17" customWidth="1"/>
  </cols>
  <sheetData>
    <row r="1" spans="1:16">
      <c r="A1" t="s">
        <v>792</v>
      </c>
      <c r="D1" t="s">
        <v>794</v>
      </c>
      <c r="E1" t="s">
        <v>793</v>
      </c>
      <c r="F1" s="27" t="s">
        <v>60</v>
      </c>
      <c r="G1" s="28" t="s">
        <v>62</v>
      </c>
      <c r="H1" s="29" t="s">
        <v>64</v>
      </c>
      <c r="I1" s="30" t="s">
        <v>66</v>
      </c>
      <c r="J1" s="31" t="s">
        <v>67</v>
      </c>
      <c r="K1" s="27" t="s">
        <v>69</v>
      </c>
      <c r="L1" s="27" t="s">
        <v>70</v>
      </c>
      <c r="M1" s="27" t="s">
        <v>0</v>
      </c>
      <c r="N1" s="32" t="s">
        <v>71</v>
      </c>
      <c r="O1" s="33" t="s">
        <v>72</v>
      </c>
      <c r="P1" s="27" t="s">
        <v>73</v>
      </c>
    </row>
    <row r="2" spans="1:16">
      <c r="A2" t="s">
        <v>613</v>
      </c>
      <c r="H2" s="176"/>
      <c r="I2" s="174"/>
      <c r="J2" s="175"/>
    </row>
    <row r="3" spans="1:16">
      <c r="A3" t="s">
        <v>616</v>
      </c>
      <c r="C3" t="s">
        <v>808</v>
      </c>
      <c r="D3" t="s">
        <v>614</v>
      </c>
      <c r="E3" t="s">
        <v>616</v>
      </c>
      <c r="F3" s="170" t="s">
        <v>1055</v>
      </c>
      <c r="G3">
        <v>900</v>
      </c>
      <c r="H3" s="176">
        <v>46009</v>
      </c>
      <c r="I3" s="174">
        <v>46010.22152777778</v>
      </c>
      <c r="J3" s="175" t="s">
        <v>1069</v>
      </c>
      <c r="K3" t="s">
        <v>616</v>
      </c>
      <c r="L3" t="s">
        <v>797</v>
      </c>
      <c r="M3" s="169" t="s">
        <v>1064</v>
      </c>
      <c r="N3">
        <v>900</v>
      </c>
      <c r="O3">
        <v>10800</v>
      </c>
      <c r="P3" s="170" t="s">
        <v>81</v>
      </c>
    </row>
    <row r="4" spans="1:16">
      <c r="A4" t="s">
        <v>616</v>
      </c>
      <c r="C4" t="s">
        <v>808</v>
      </c>
      <c r="D4" t="s">
        <v>614</v>
      </c>
      <c r="E4" t="s">
        <v>616</v>
      </c>
      <c r="F4" s="170" t="s">
        <v>1055</v>
      </c>
      <c r="G4">
        <v>900</v>
      </c>
      <c r="H4" s="176">
        <v>46009</v>
      </c>
      <c r="I4" s="174">
        <v>46010.22152777778</v>
      </c>
      <c r="J4" s="175" t="s">
        <v>1069</v>
      </c>
      <c r="K4" t="s">
        <v>616</v>
      </c>
      <c r="L4" t="s">
        <v>797</v>
      </c>
      <c r="M4" s="169" t="s">
        <v>1064</v>
      </c>
      <c r="N4">
        <v>900</v>
      </c>
      <c r="O4">
        <v>10800</v>
      </c>
      <c r="P4" s="170" t="s">
        <v>81</v>
      </c>
    </row>
    <row r="5" spans="1:16">
      <c r="A5" t="s">
        <v>617</v>
      </c>
      <c r="C5" t="s">
        <v>809</v>
      </c>
      <c r="D5" t="s">
        <v>617</v>
      </c>
      <c r="E5" t="s">
        <v>617</v>
      </c>
      <c r="F5" s="169" t="s">
        <v>1056</v>
      </c>
      <c r="G5">
        <v>1800</v>
      </c>
      <c r="H5" s="176">
        <v>45983</v>
      </c>
      <c r="I5" s="174">
        <v>45985.662673611114</v>
      </c>
      <c r="J5" s="175" t="s">
        <v>1065</v>
      </c>
      <c r="K5" t="s">
        <v>617</v>
      </c>
      <c r="L5" t="s">
        <v>798</v>
      </c>
      <c r="M5" s="169" t="s">
        <v>1061</v>
      </c>
      <c r="N5">
        <v>1800</v>
      </c>
      <c r="O5">
        <v>21000</v>
      </c>
      <c r="P5" s="170" t="s">
        <v>805</v>
      </c>
    </row>
    <row r="6" spans="1:16">
      <c r="A6" s="171" t="s">
        <v>622</v>
      </c>
      <c r="C6" t="s">
        <v>811</v>
      </c>
      <c r="D6" t="s">
        <v>1052</v>
      </c>
      <c r="E6" t="s">
        <v>810</v>
      </c>
      <c r="F6" s="169" t="s">
        <v>1059</v>
      </c>
      <c r="H6" s="176">
        <v>45981</v>
      </c>
      <c r="I6" s="174">
        <v>45982.622037037036</v>
      </c>
      <c r="J6" s="175" t="s">
        <v>1066</v>
      </c>
      <c r="K6" t="s">
        <v>810</v>
      </c>
      <c r="L6" t="s">
        <v>813</v>
      </c>
      <c r="M6" s="169" t="s">
        <v>1057</v>
      </c>
      <c r="N6">
        <v>15730</v>
      </c>
      <c r="O6">
        <v>170940</v>
      </c>
      <c r="P6" s="170" t="s">
        <v>814</v>
      </c>
    </row>
    <row r="7" spans="1:16">
      <c r="A7" t="s">
        <v>622</v>
      </c>
      <c r="C7" t="s">
        <v>812</v>
      </c>
      <c r="D7" t="s">
        <v>620</v>
      </c>
      <c r="E7" t="s">
        <v>622</v>
      </c>
      <c r="F7" s="169" t="s">
        <v>1060</v>
      </c>
      <c r="H7" s="176">
        <v>45981</v>
      </c>
      <c r="I7" s="174">
        <v>45982.622037037036</v>
      </c>
      <c r="J7" s="175" t="s">
        <v>1067</v>
      </c>
      <c r="K7" t="s">
        <v>622</v>
      </c>
      <c r="L7" t="s">
        <v>796</v>
      </c>
      <c r="M7" s="169" t="s">
        <v>1058</v>
      </c>
      <c r="N7">
        <v>15730</v>
      </c>
      <c r="O7">
        <v>170940</v>
      </c>
      <c r="P7" t="s">
        <v>806</v>
      </c>
    </row>
    <row r="8" spans="1:16">
      <c r="A8" t="s">
        <v>493</v>
      </c>
      <c r="C8" t="s">
        <v>815</v>
      </c>
      <c r="D8" t="s">
        <v>493</v>
      </c>
      <c r="F8" s="169" t="s">
        <v>489</v>
      </c>
      <c r="G8">
        <v>1600</v>
      </c>
      <c r="H8" s="176">
        <v>46012</v>
      </c>
      <c r="I8" s="174">
        <v>46015.415625000001</v>
      </c>
      <c r="J8" s="175" t="s">
        <v>1068</v>
      </c>
      <c r="K8" t="s">
        <v>493</v>
      </c>
      <c r="L8" t="s">
        <v>170</v>
      </c>
      <c r="M8" s="169" t="s">
        <v>1062</v>
      </c>
      <c r="N8">
        <v>1600</v>
      </c>
      <c r="O8">
        <v>6720</v>
      </c>
      <c r="P8" t="s">
        <v>79</v>
      </c>
    </row>
    <row r="9" spans="1:16">
      <c r="A9" s="3" t="s">
        <v>795</v>
      </c>
      <c r="C9" t="s">
        <v>816</v>
      </c>
      <c r="D9" t="s">
        <v>795</v>
      </c>
      <c r="F9" t="s">
        <v>1054</v>
      </c>
      <c r="G9">
        <v>1728</v>
      </c>
      <c r="H9" s="176">
        <v>46020</v>
      </c>
      <c r="I9" s="174"/>
      <c r="J9" s="175"/>
      <c r="K9" t="s">
        <v>795</v>
      </c>
      <c r="L9" t="s">
        <v>817</v>
      </c>
      <c r="M9" t="s">
        <v>1063</v>
      </c>
      <c r="N9">
        <v>1728</v>
      </c>
      <c r="O9">
        <v>24537.599999999999</v>
      </c>
      <c r="P9" t="s">
        <v>807</v>
      </c>
    </row>
    <row r="10" spans="1:16">
      <c r="H10" s="176"/>
      <c r="I10" s="174"/>
      <c r="J10" s="175"/>
    </row>
    <row r="11" spans="1:16">
      <c r="H11" s="176"/>
      <c r="I11" s="174"/>
      <c r="J11" s="175"/>
    </row>
    <row r="12" spans="1:16">
      <c r="H12" s="176"/>
      <c r="I12" s="174"/>
      <c r="J12" s="175"/>
    </row>
    <row r="13" spans="1:16">
      <c r="H13" s="176"/>
      <c r="I13" s="174"/>
      <c r="J13" s="175"/>
    </row>
    <row r="14" spans="1:16">
      <c r="H14" s="176"/>
      <c r="I14" s="174"/>
      <c r="J14" s="175"/>
    </row>
    <row r="15" spans="1:16">
      <c r="H15" s="176"/>
      <c r="I15" s="174"/>
      <c r="J15" s="175"/>
    </row>
    <row r="16" spans="1:16">
      <c r="H16" s="176"/>
      <c r="I16" s="174"/>
      <c r="J16" s="175"/>
    </row>
    <row r="17" spans="8:10">
      <c r="H17" s="176"/>
      <c r="I17" s="174"/>
      <c r="J17" s="175"/>
    </row>
    <row r="18" spans="8:10">
      <c r="I18" s="174"/>
      <c r="J18" s="175"/>
    </row>
    <row r="19" spans="8:10">
      <c r="I19" s="174"/>
      <c r="J19" s="175"/>
    </row>
    <row r="20" spans="8:10">
      <c r="I20" s="174"/>
    </row>
    <row r="21" spans="8:10">
      <c r="I21" s="174"/>
    </row>
    <row r="22" spans="8:10">
      <c r="I22" s="174"/>
    </row>
    <row r="23" spans="8:10">
      <c r="I23" s="174"/>
    </row>
    <row r="24" spans="8:10">
      <c r="I24" s="174"/>
    </row>
    <row r="25" spans="8:10">
      <c r="I25" s="174"/>
    </row>
    <row r="26" spans="8:10">
      <c r="I26" s="174"/>
    </row>
    <row r="27" spans="8:10">
      <c r="I27" s="174"/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327"/>
  <sheetViews>
    <sheetView workbookViewId="0">
      <selection activeCell="H8" sqref="H8"/>
    </sheetView>
  </sheetViews>
  <sheetFormatPr defaultRowHeight="16.5"/>
  <sheetData>
    <row r="1" spans="1:1">
      <c r="A1" t="s">
        <v>46</v>
      </c>
    </row>
    <row r="3" spans="1:1">
      <c r="A3" t="s">
        <v>818</v>
      </c>
    </row>
    <row r="4" spans="1:1">
      <c r="A4" t="s">
        <v>819</v>
      </c>
    </row>
    <row r="6" spans="1:1">
      <c r="A6" t="s">
        <v>820</v>
      </c>
    </row>
    <row r="8" spans="1:1">
      <c r="A8" t="s">
        <v>821</v>
      </c>
    </row>
    <row r="9" spans="1:1">
      <c r="A9" t="s">
        <v>822</v>
      </c>
    </row>
    <row r="10" spans="1:1">
      <c r="A10" t="s">
        <v>823</v>
      </c>
    </row>
    <row r="11" spans="1:1">
      <c r="A11" t="s">
        <v>824</v>
      </c>
    </row>
    <row r="12" spans="1:1">
      <c r="A12" t="s">
        <v>825</v>
      </c>
    </row>
    <row r="13" spans="1:1">
      <c r="A13" t="s">
        <v>823</v>
      </c>
    </row>
    <row r="14" spans="1:1">
      <c r="A14" t="s">
        <v>826</v>
      </c>
    </row>
    <row r="15" spans="1:1">
      <c r="A15" t="s">
        <v>823</v>
      </c>
    </row>
    <row r="16" spans="1:1">
      <c r="A16" t="s">
        <v>827</v>
      </c>
    </row>
    <row r="17" spans="1:1">
      <c r="A17" t="s">
        <v>828</v>
      </c>
    </row>
    <row r="18" spans="1:1">
      <c r="A18" t="s">
        <v>823</v>
      </c>
    </row>
    <row r="19" spans="1:1">
      <c r="A19" t="s">
        <v>829</v>
      </c>
    </row>
    <row r="20" spans="1:1">
      <c r="A20" t="s">
        <v>830</v>
      </c>
    </row>
    <row r="21" spans="1:1">
      <c r="A21" t="s">
        <v>831</v>
      </c>
    </row>
    <row r="22" spans="1:1">
      <c r="A22" t="s">
        <v>823</v>
      </c>
    </row>
    <row r="23" spans="1:1">
      <c r="A23" t="s">
        <v>832</v>
      </c>
    </row>
    <row r="24" spans="1:1">
      <c r="A24" t="s">
        <v>833</v>
      </c>
    </row>
    <row r="25" spans="1:1">
      <c r="A25" t="s">
        <v>834</v>
      </c>
    </row>
    <row r="26" spans="1:1">
      <c r="A26" t="s">
        <v>835</v>
      </c>
    </row>
    <row r="27" spans="1:1">
      <c r="A27" t="s">
        <v>823</v>
      </c>
    </row>
    <row r="28" spans="1:1">
      <c r="A28" t="s">
        <v>836</v>
      </c>
    </row>
    <row r="29" spans="1:1">
      <c r="A29" t="s">
        <v>837</v>
      </c>
    </row>
    <row r="30" spans="1:1">
      <c r="A30" t="s">
        <v>838</v>
      </c>
    </row>
    <row r="31" spans="1:1">
      <c r="A31" t="s">
        <v>839</v>
      </c>
    </row>
    <row r="32" spans="1:1">
      <c r="A32" t="s">
        <v>840</v>
      </c>
    </row>
    <row r="33" spans="1:1">
      <c r="A33" t="s">
        <v>841</v>
      </c>
    </row>
    <row r="34" spans="1:1">
      <c r="A34" t="s">
        <v>842</v>
      </c>
    </row>
    <row r="35" spans="1:1">
      <c r="A35" t="s">
        <v>843</v>
      </c>
    </row>
    <row r="36" spans="1:1">
      <c r="A36" t="s">
        <v>844</v>
      </c>
    </row>
    <row r="37" spans="1:1">
      <c r="A37" t="s">
        <v>845</v>
      </c>
    </row>
    <row r="38" spans="1:1">
      <c r="A38" t="s">
        <v>846</v>
      </c>
    </row>
    <row r="39" spans="1:1">
      <c r="A39" t="s">
        <v>847</v>
      </c>
    </row>
    <row r="40" spans="1:1">
      <c r="A40" t="s">
        <v>848</v>
      </c>
    </row>
    <row r="41" spans="1:1">
      <c r="A41" t="s">
        <v>849</v>
      </c>
    </row>
    <row r="42" spans="1:1">
      <c r="A42" t="s">
        <v>823</v>
      </c>
    </row>
    <row r="43" spans="1:1">
      <c r="A43" t="s">
        <v>850</v>
      </c>
    </row>
    <row r="44" spans="1:1">
      <c r="A44" t="s">
        <v>851</v>
      </c>
    </row>
    <row r="45" spans="1:1">
      <c r="A45" t="s">
        <v>852</v>
      </c>
    </row>
    <row r="46" spans="1:1">
      <c r="A46" t="s">
        <v>853</v>
      </c>
    </row>
    <row r="47" spans="1:1">
      <c r="A47" t="s">
        <v>854</v>
      </c>
    </row>
    <row r="48" spans="1:1">
      <c r="A48" t="s">
        <v>855</v>
      </c>
    </row>
    <row r="49" spans="1:1">
      <c r="A49" t="s">
        <v>856</v>
      </c>
    </row>
    <row r="50" spans="1:1">
      <c r="A50" t="s">
        <v>857</v>
      </c>
    </row>
    <row r="51" spans="1:1">
      <c r="A51" t="s">
        <v>858</v>
      </c>
    </row>
    <row r="52" spans="1:1">
      <c r="A52" t="s">
        <v>859</v>
      </c>
    </row>
    <row r="53" spans="1:1">
      <c r="A53" t="s">
        <v>860</v>
      </c>
    </row>
    <row r="54" spans="1:1">
      <c r="A54" t="s">
        <v>823</v>
      </c>
    </row>
    <row r="55" spans="1:1">
      <c r="A55" t="s">
        <v>823</v>
      </c>
    </row>
    <row r="56" spans="1:1">
      <c r="A56" t="s">
        <v>823</v>
      </c>
    </row>
    <row r="57" spans="1:1">
      <c r="A57" t="s">
        <v>861</v>
      </c>
    </row>
    <row r="58" spans="1:1">
      <c r="A58" t="s">
        <v>862</v>
      </c>
    </row>
    <row r="59" spans="1:1">
      <c r="A59" t="s">
        <v>863</v>
      </c>
    </row>
    <row r="60" spans="1:1">
      <c r="A60" t="s">
        <v>864</v>
      </c>
    </row>
    <row r="61" spans="1:1">
      <c r="A61" t="s">
        <v>862</v>
      </c>
    </row>
    <row r="62" spans="1:1">
      <c r="A62" t="s">
        <v>865</v>
      </c>
    </row>
    <row r="63" spans="1:1">
      <c r="A63" t="s">
        <v>866</v>
      </c>
    </row>
    <row r="64" spans="1:1">
      <c r="A64" t="s">
        <v>867</v>
      </c>
    </row>
    <row r="65" spans="1:1">
      <c r="A65" t="s">
        <v>868</v>
      </c>
    </row>
    <row r="66" spans="1:1">
      <c r="A66" t="s">
        <v>869</v>
      </c>
    </row>
    <row r="67" spans="1:1">
      <c r="A67" t="s">
        <v>870</v>
      </c>
    </row>
    <row r="69" spans="1:1">
      <c r="A69" t="s">
        <v>871</v>
      </c>
    </row>
    <row r="70" spans="1:1">
      <c r="A70" t="s">
        <v>862</v>
      </c>
    </row>
    <row r="71" spans="1:1">
      <c r="A71" t="s">
        <v>872</v>
      </c>
    </row>
    <row r="72" spans="1:1">
      <c r="A72" t="s">
        <v>873</v>
      </c>
    </row>
    <row r="73" spans="1:1">
      <c r="A73" t="s">
        <v>874</v>
      </c>
    </row>
    <row r="74" spans="1:1">
      <c r="A74" t="s">
        <v>875</v>
      </c>
    </row>
    <row r="75" spans="1:1">
      <c r="A75" t="s">
        <v>876</v>
      </c>
    </row>
    <row r="76" spans="1:1">
      <c r="A76" t="s">
        <v>877</v>
      </c>
    </row>
    <row r="77" spans="1:1">
      <c r="A77" t="s">
        <v>878</v>
      </c>
    </row>
    <row r="78" spans="1:1">
      <c r="A78" t="s">
        <v>879</v>
      </c>
    </row>
    <row r="79" spans="1:1">
      <c r="A79" t="s">
        <v>880</v>
      </c>
    </row>
    <row r="80" spans="1:1">
      <c r="A80" t="s">
        <v>881</v>
      </c>
    </row>
    <row r="81" spans="1:1">
      <c r="A81" t="s">
        <v>882</v>
      </c>
    </row>
    <row r="82" spans="1:1">
      <c r="A82" t="s">
        <v>883</v>
      </c>
    </row>
    <row r="83" spans="1:1">
      <c r="A83" t="s">
        <v>884</v>
      </c>
    </row>
    <row r="84" spans="1:1">
      <c r="A84" t="s">
        <v>885</v>
      </c>
    </row>
    <row r="85" spans="1:1">
      <c r="A85" t="s">
        <v>886</v>
      </c>
    </row>
    <row r="86" spans="1:1">
      <c r="A86" t="s">
        <v>887</v>
      </c>
    </row>
    <row r="87" spans="1:1">
      <c r="A87" t="s">
        <v>888</v>
      </c>
    </row>
    <row r="88" spans="1:1">
      <c r="A88" t="s">
        <v>889</v>
      </c>
    </row>
    <row r="89" spans="1:1">
      <c r="A89" t="s">
        <v>890</v>
      </c>
    </row>
    <row r="90" spans="1:1">
      <c r="A90" t="s">
        <v>891</v>
      </c>
    </row>
    <row r="91" spans="1:1">
      <c r="A91" t="s">
        <v>823</v>
      </c>
    </row>
    <row r="93" spans="1:1">
      <c r="A93" t="s">
        <v>823</v>
      </c>
    </row>
    <row r="94" spans="1:1">
      <c r="A94" t="s">
        <v>823</v>
      </c>
    </row>
    <row r="95" spans="1:1">
      <c r="A95" t="s">
        <v>862</v>
      </c>
    </row>
    <row r="96" spans="1:1">
      <c r="A96" t="s">
        <v>862</v>
      </c>
    </row>
    <row r="97" spans="1:1">
      <c r="A97" t="s">
        <v>862</v>
      </c>
    </row>
    <row r="98" spans="1:1">
      <c r="A98" t="s">
        <v>892</v>
      </c>
    </row>
    <row r="99" spans="1:1">
      <c r="A99" t="s">
        <v>893</v>
      </c>
    </row>
    <row r="100" spans="1:1">
      <c r="A100" t="s">
        <v>894</v>
      </c>
    </row>
    <row r="101" spans="1:1">
      <c r="A101" t="s">
        <v>895</v>
      </c>
    </row>
    <row r="102" spans="1:1">
      <c r="A102" t="s">
        <v>896</v>
      </c>
    </row>
    <row r="103" spans="1:1">
      <c r="A103" t="s">
        <v>897</v>
      </c>
    </row>
    <row r="104" spans="1:1">
      <c r="A104" t="s">
        <v>898</v>
      </c>
    </row>
    <row r="105" spans="1:1">
      <c r="A105" t="s">
        <v>899</v>
      </c>
    </row>
    <row r="106" spans="1:1">
      <c r="A106" t="s">
        <v>900</v>
      </c>
    </row>
    <row r="107" spans="1:1">
      <c r="A107" t="s">
        <v>901</v>
      </c>
    </row>
    <row r="108" spans="1:1">
      <c r="A108" t="s">
        <v>862</v>
      </c>
    </row>
    <row r="109" spans="1:1">
      <c r="A109" t="s">
        <v>902</v>
      </c>
    </row>
    <row r="110" spans="1:1">
      <c r="A110" t="s">
        <v>903</v>
      </c>
    </row>
    <row r="111" spans="1:1">
      <c r="A111" t="s">
        <v>904</v>
      </c>
    </row>
    <row r="112" spans="1:1">
      <c r="A112" t="s">
        <v>862</v>
      </c>
    </row>
    <row r="113" spans="1:1">
      <c r="A113" t="s">
        <v>905</v>
      </c>
    </row>
    <row r="114" spans="1:1">
      <c r="A114" t="s">
        <v>906</v>
      </c>
    </row>
    <row r="115" spans="1:1">
      <c r="A115" t="s">
        <v>907</v>
      </c>
    </row>
    <row r="116" spans="1:1">
      <c r="A116" t="s">
        <v>862</v>
      </c>
    </row>
    <row r="117" spans="1:1">
      <c r="A117" t="s">
        <v>905</v>
      </c>
    </row>
    <row r="118" spans="1:1">
      <c r="A118" t="s">
        <v>862</v>
      </c>
    </row>
    <row r="119" spans="1:1">
      <c r="A119" t="s">
        <v>908</v>
      </c>
    </row>
    <row r="120" spans="1:1">
      <c r="A120" t="s">
        <v>909</v>
      </c>
    </row>
    <row r="121" spans="1:1">
      <c r="A121" t="s">
        <v>910</v>
      </c>
    </row>
    <row r="122" spans="1:1">
      <c r="A122" t="s">
        <v>911</v>
      </c>
    </row>
    <row r="123" spans="1:1">
      <c r="A123" t="s">
        <v>912</v>
      </c>
    </row>
    <row r="124" spans="1:1">
      <c r="A124" t="s">
        <v>913</v>
      </c>
    </row>
    <row r="125" spans="1:1">
      <c r="A125" t="s">
        <v>862</v>
      </c>
    </row>
    <row r="126" spans="1:1">
      <c r="A126" t="s">
        <v>914</v>
      </c>
    </row>
    <row r="127" spans="1:1">
      <c r="A127" t="s">
        <v>915</v>
      </c>
    </row>
    <row r="128" spans="1:1">
      <c r="A128" t="s">
        <v>916</v>
      </c>
    </row>
    <row r="129" spans="1:1">
      <c r="A129" t="s">
        <v>917</v>
      </c>
    </row>
    <row r="130" spans="1:1">
      <c r="A130" t="s">
        <v>918</v>
      </c>
    </row>
    <row r="132" spans="1:1">
      <c r="A132" t="s">
        <v>862</v>
      </c>
    </row>
    <row r="133" spans="1:1">
      <c r="A133" t="s">
        <v>919</v>
      </c>
    </row>
    <row r="134" spans="1:1">
      <c r="A134" t="s">
        <v>920</v>
      </c>
    </row>
    <row r="135" spans="1:1">
      <c r="A135" t="s">
        <v>862</v>
      </c>
    </row>
    <row r="136" spans="1:1">
      <c r="A136" t="s">
        <v>862</v>
      </c>
    </row>
    <row r="137" spans="1:1">
      <c r="A137" t="s">
        <v>862</v>
      </c>
    </row>
    <row r="139" spans="1:1">
      <c r="A139" t="s">
        <v>862</v>
      </c>
    </row>
    <row r="140" spans="1:1">
      <c r="A140" t="s">
        <v>921</v>
      </c>
    </row>
    <row r="141" spans="1:1">
      <c r="A141" t="s">
        <v>922</v>
      </c>
    </row>
    <row r="143" spans="1:1">
      <c r="A143" t="s">
        <v>923</v>
      </c>
    </row>
    <row r="144" spans="1:1">
      <c r="A144" t="s">
        <v>924</v>
      </c>
    </row>
    <row r="145" spans="1:1">
      <c r="A145" t="s">
        <v>925</v>
      </c>
    </row>
    <row r="146" spans="1:1">
      <c r="A146" t="s">
        <v>926</v>
      </c>
    </row>
    <row r="147" spans="1:1">
      <c r="A147" t="s">
        <v>927</v>
      </c>
    </row>
    <row r="148" spans="1:1">
      <c r="A148" t="s">
        <v>928</v>
      </c>
    </row>
    <row r="149" spans="1:1">
      <c r="A149" t="s">
        <v>929</v>
      </c>
    </row>
    <row r="150" spans="1:1">
      <c r="A150" t="s">
        <v>930</v>
      </c>
    </row>
    <row r="151" spans="1:1">
      <c r="A151" t="s">
        <v>931</v>
      </c>
    </row>
    <row r="152" spans="1:1">
      <c r="A152" t="s">
        <v>932</v>
      </c>
    </row>
    <row r="154" spans="1:1">
      <c r="A154" t="s">
        <v>933</v>
      </c>
    </row>
    <row r="155" spans="1:1">
      <c r="A155" t="s">
        <v>934</v>
      </c>
    </row>
    <row r="156" spans="1:1">
      <c r="A156" t="s">
        <v>935</v>
      </c>
    </row>
    <row r="157" spans="1:1">
      <c r="A157" t="s">
        <v>936</v>
      </c>
    </row>
    <row r="158" spans="1:1">
      <c r="A158" t="s">
        <v>937</v>
      </c>
    </row>
    <row r="160" spans="1:1">
      <c r="A160" t="s">
        <v>938</v>
      </c>
    </row>
    <row r="161" spans="1:1">
      <c r="A161" t="s">
        <v>939</v>
      </c>
    </row>
    <row r="162" spans="1:1">
      <c r="A162" t="s">
        <v>823</v>
      </c>
    </row>
    <row r="163" spans="1:1">
      <c r="A163" t="s">
        <v>940</v>
      </c>
    </row>
    <row r="164" spans="1:1">
      <c r="A164" t="s">
        <v>823</v>
      </c>
    </row>
    <row r="165" spans="1:1">
      <c r="A165" t="s">
        <v>941</v>
      </c>
    </row>
    <row r="166" spans="1:1">
      <c r="A166" t="s">
        <v>823</v>
      </c>
    </row>
    <row r="167" spans="1:1">
      <c r="A167" t="s">
        <v>942</v>
      </c>
    </row>
    <row r="168" spans="1:1">
      <c r="A168" t="s">
        <v>943</v>
      </c>
    </row>
    <row r="169" spans="1:1">
      <c r="A169" t="s">
        <v>944</v>
      </c>
    </row>
    <row r="170" spans="1:1">
      <c r="A170" t="s">
        <v>823</v>
      </c>
    </row>
    <row r="171" spans="1:1">
      <c r="A171" t="s">
        <v>945</v>
      </c>
    </row>
    <row r="172" spans="1:1">
      <c r="A172" t="s">
        <v>928</v>
      </c>
    </row>
    <row r="173" spans="1:1">
      <c r="A173" t="s">
        <v>946</v>
      </c>
    </row>
    <row r="174" spans="1:1">
      <c r="A174" t="s">
        <v>947</v>
      </c>
    </row>
    <row r="175" spans="1:1">
      <c r="A175" t="s">
        <v>948</v>
      </c>
    </row>
    <row r="176" spans="1:1">
      <c r="A176" t="s">
        <v>949</v>
      </c>
    </row>
    <row r="177" spans="1:1">
      <c r="A177" t="s">
        <v>950</v>
      </c>
    </row>
    <row r="178" spans="1:1">
      <c r="A178" t="s">
        <v>951</v>
      </c>
    </row>
    <row r="180" spans="1:1">
      <c r="A180" t="s">
        <v>952</v>
      </c>
    </row>
    <row r="181" spans="1:1">
      <c r="A181" t="s">
        <v>953</v>
      </c>
    </row>
    <row r="182" spans="1:1">
      <c r="A182" t="s">
        <v>954</v>
      </c>
    </row>
    <row r="183" spans="1:1">
      <c r="A183" t="s">
        <v>955</v>
      </c>
    </row>
    <row r="184" spans="1:1">
      <c r="A184" t="s">
        <v>956</v>
      </c>
    </row>
    <row r="185" spans="1:1">
      <c r="A185" t="s">
        <v>957</v>
      </c>
    </row>
    <row r="186" spans="1:1">
      <c r="A186" t="s">
        <v>958</v>
      </c>
    </row>
    <row r="187" spans="1:1">
      <c r="A187" t="s">
        <v>823</v>
      </c>
    </row>
    <row r="188" spans="1:1">
      <c r="A188" t="s">
        <v>959</v>
      </c>
    </row>
    <row r="189" spans="1:1">
      <c r="A189" t="s">
        <v>960</v>
      </c>
    </row>
    <row r="190" spans="1:1">
      <c r="A190" t="s">
        <v>961</v>
      </c>
    </row>
    <row r="191" spans="1:1">
      <c r="A191" t="s">
        <v>962</v>
      </c>
    </row>
    <row r="192" spans="1:1">
      <c r="A192" t="s">
        <v>963</v>
      </c>
    </row>
    <row r="193" spans="1:1">
      <c r="A193" t="s">
        <v>964</v>
      </c>
    </row>
    <row r="194" spans="1:1">
      <c r="A194" t="s">
        <v>955</v>
      </c>
    </row>
    <row r="195" spans="1:1">
      <c r="A195" t="s">
        <v>965</v>
      </c>
    </row>
    <row r="196" spans="1:1">
      <c r="A196" t="s">
        <v>966</v>
      </c>
    </row>
    <row r="197" spans="1:1">
      <c r="A197" t="s">
        <v>967</v>
      </c>
    </row>
    <row r="198" spans="1:1">
      <c r="A198" t="s">
        <v>968</v>
      </c>
    </row>
    <row r="199" spans="1:1">
      <c r="A199" t="s">
        <v>969</v>
      </c>
    </row>
    <row r="200" spans="1:1">
      <c r="A200" t="s">
        <v>970</v>
      </c>
    </row>
    <row r="201" spans="1:1">
      <c r="A201" t="s">
        <v>971</v>
      </c>
    </row>
    <row r="202" spans="1:1">
      <c r="A202" t="s">
        <v>972</v>
      </c>
    </row>
    <row r="203" spans="1:1">
      <c r="A203" t="s">
        <v>973</v>
      </c>
    </row>
    <row r="204" spans="1:1">
      <c r="A204" t="s">
        <v>974</v>
      </c>
    </row>
    <row r="205" spans="1:1">
      <c r="A205" t="s">
        <v>975</v>
      </c>
    </row>
    <row r="206" spans="1:1">
      <c r="A206" t="s">
        <v>976</v>
      </c>
    </row>
    <row r="207" spans="1:1">
      <c r="A207" t="s">
        <v>977</v>
      </c>
    </row>
    <row r="208" spans="1:1">
      <c r="A208" t="s">
        <v>978</v>
      </c>
    </row>
    <row r="209" spans="1:1">
      <c r="A209" t="s">
        <v>979</v>
      </c>
    </row>
    <row r="210" spans="1:1">
      <c r="A210" t="s">
        <v>980</v>
      </c>
    </row>
    <row r="211" spans="1:1">
      <c r="A211" t="s">
        <v>981</v>
      </c>
    </row>
    <row r="212" spans="1:1">
      <c r="A212" t="s">
        <v>982</v>
      </c>
    </row>
    <row r="213" spans="1:1">
      <c r="A213" t="s">
        <v>983</v>
      </c>
    </row>
    <row r="214" spans="1:1">
      <c r="A214" t="s">
        <v>984</v>
      </c>
    </row>
    <row r="215" spans="1:1">
      <c r="A215" t="s">
        <v>985</v>
      </c>
    </row>
    <row r="216" spans="1:1">
      <c r="A216" t="s">
        <v>958</v>
      </c>
    </row>
    <row r="217" spans="1:1">
      <c r="A217" t="s">
        <v>928</v>
      </c>
    </row>
    <row r="230" spans="1:1">
      <c r="A230" t="s">
        <v>986</v>
      </c>
    </row>
    <row r="231" spans="1:1">
      <c r="A231" t="s">
        <v>987</v>
      </c>
    </row>
    <row r="232" spans="1:1">
      <c r="A232" t="s">
        <v>988</v>
      </c>
    </row>
    <row r="233" spans="1:1">
      <c r="A233" t="s">
        <v>989</v>
      </c>
    </row>
    <row r="234" spans="1:1">
      <c r="A234" t="s">
        <v>990</v>
      </c>
    </row>
    <row r="235" spans="1:1">
      <c r="A235" t="s">
        <v>991</v>
      </c>
    </row>
    <row r="236" spans="1:1">
      <c r="A236" t="s">
        <v>992</v>
      </c>
    </row>
    <row r="237" spans="1:1">
      <c r="A237" t="s">
        <v>993</v>
      </c>
    </row>
    <row r="238" spans="1:1">
      <c r="A238" t="s">
        <v>994</v>
      </c>
    </row>
    <row r="239" spans="1:1">
      <c r="A239" t="s">
        <v>995</v>
      </c>
    </row>
    <row r="240" spans="1:1">
      <c r="A240" t="s">
        <v>996</v>
      </c>
    </row>
    <row r="241" spans="1:1">
      <c r="A241" t="s">
        <v>997</v>
      </c>
    </row>
    <row r="242" spans="1:1">
      <c r="A242" t="s">
        <v>998</v>
      </c>
    </row>
    <row r="243" spans="1:1">
      <c r="A243" t="s">
        <v>999</v>
      </c>
    </row>
    <row r="244" spans="1:1">
      <c r="A244" t="s">
        <v>1000</v>
      </c>
    </row>
    <row r="245" spans="1:1">
      <c r="A245" t="s">
        <v>1001</v>
      </c>
    </row>
    <row r="246" spans="1:1">
      <c r="A246" t="s">
        <v>1002</v>
      </c>
    </row>
    <row r="247" spans="1:1">
      <c r="A247" t="s">
        <v>1003</v>
      </c>
    </row>
    <row r="248" spans="1:1">
      <c r="A248" t="s">
        <v>1004</v>
      </c>
    </row>
    <row r="249" spans="1:1">
      <c r="A249" t="s">
        <v>1005</v>
      </c>
    </row>
    <row r="250" spans="1:1">
      <c r="A250" t="s">
        <v>1006</v>
      </c>
    </row>
    <row r="251" spans="1:1">
      <c r="A251" t="s">
        <v>1007</v>
      </c>
    </row>
    <row r="252" spans="1:1">
      <c r="A252" t="s">
        <v>1008</v>
      </c>
    </row>
    <row r="253" spans="1:1">
      <c r="A253" t="s">
        <v>1009</v>
      </c>
    </row>
    <row r="254" spans="1:1">
      <c r="A254" t="s">
        <v>1010</v>
      </c>
    </row>
    <row r="255" spans="1:1">
      <c r="A255" t="s">
        <v>1011</v>
      </c>
    </row>
    <row r="256" spans="1:1">
      <c r="A256" t="s">
        <v>1012</v>
      </c>
    </row>
    <row r="257" spans="1:1">
      <c r="A257" t="s">
        <v>1010</v>
      </c>
    </row>
    <row r="258" spans="1:1">
      <c r="A258" t="s">
        <v>1013</v>
      </c>
    </row>
    <row r="259" spans="1:1">
      <c r="A259" t="s">
        <v>1014</v>
      </c>
    </row>
    <row r="260" spans="1:1">
      <c r="A260" t="s">
        <v>997</v>
      </c>
    </row>
    <row r="261" spans="1:1">
      <c r="A261" t="s">
        <v>1015</v>
      </c>
    </row>
    <row r="262" spans="1:1">
      <c r="A262" t="s">
        <v>1016</v>
      </c>
    </row>
    <row r="263" spans="1:1">
      <c r="A263" t="s">
        <v>1017</v>
      </c>
    </row>
    <row r="264" spans="1:1">
      <c r="A264" t="s">
        <v>1018</v>
      </c>
    </row>
    <row r="265" spans="1:1">
      <c r="A265" t="s">
        <v>1019</v>
      </c>
    </row>
    <row r="266" spans="1:1">
      <c r="A266" t="s">
        <v>1020</v>
      </c>
    </row>
    <row r="267" spans="1:1">
      <c r="A267" t="s">
        <v>1021</v>
      </c>
    </row>
    <row r="268" spans="1:1">
      <c r="A268" t="s">
        <v>997</v>
      </c>
    </row>
    <row r="269" spans="1:1">
      <c r="A269" t="s">
        <v>1022</v>
      </c>
    </row>
    <row r="270" spans="1:1">
      <c r="A270" t="s">
        <v>1023</v>
      </c>
    </row>
    <row r="271" spans="1:1">
      <c r="A271" t="s">
        <v>1024</v>
      </c>
    </row>
    <row r="272" spans="1:1">
      <c r="A272" t="s">
        <v>997</v>
      </c>
    </row>
    <row r="273" spans="1:1">
      <c r="A273" t="s">
        <v>1025</v>
      </c>
    </row>
    <row r="275" spans="1:1">
      <c r="A275" t="s">
        <v>923</v>
      </c>
    </row>
    <row r="280" spans="1:1">
      <c r="A280" t="s">
        <v>1026</v>
      </c>
    </row>
    <row r="281" spans="1:1">
      <c r="A281" t="s">
        <v>925</v>
      </c>
    </row>
    <row r="282" spans="1:1">
      <c r="A282" t="s">
        <v>1027</v>
      </c>
    </row>
    <row r="283" spans="1:1">
      <c r="A283" t="s">
        <v>1028</v>
      </c>
    </row>
    <row r="284" spans="1:1">
      <c r="A284" t="s">
        <v>928</v>
      </c>
    </row>
    <row r="286" spans="1:1">
      <c r="A286" t="s">
        <v>1029</v>
      </c>
    </row>
    <row r="287" spans="1:1">
      <c r="A287" t="s">
        <v>925</v>
      </c>
    </row>
    <row r="288" spans="1:1">
      <c r="A288" t="s">
        <v>1030</v>
      </c>
    </row>
    <row r="289" spans="1:1">
      <c r="A289" t="s">
        <v>1031</v>
      </c>
    </row>
    <row r="290" spans="1:1">
      <c r="A290" t="s">
        <v>928</v>
      </c>
    </row>
    <row r="292" spans="1:1">
      <c r="A292" t="s">
        <v>1032</v>
      </c>
    </row>
    <row r="294" spans="1:1">
      <c r="A294" t="s">
        <v>1033</v>
      </c>
    </row>
    <row r="295" spans="1:1">
      <c r="A295" t="s">
        <v>1034</v>
      </c>
    </row>
    <row r="296" spans="1:1">
      <c r="A296" t="s">
        <v>823</v>
      </c>
    </row>
    <row r="297" spans="1:1">
      <c r="A297" t="s">
        <v>1035</v>
      </c>
    </row>
    <row r="298" spans="1:1">
      <c r="A298" t="s">
        <v>1036</v>
      </c>
    </row>
    <row r="299" spans="1:1">
      <c r="A299" t="s">
        <v>1037</v>
      </c>
    </row>
    <row r="300" spans="1:1">
      <c r="A300" t="s">
        <v>958</v>
      </c>
    </row>
    <row r="301" spans="1:1">
      <c r="A301" t="s">
        <v>823</v>
      </c>
    </row>
    <row r="302" spans="1:1">
      <c r="A302" t="s">
        <v>933</v>
      </c>
    </row>
    <row r="303" spans="1:1">
      <c r="A303" t="s">
        <v>1038</v>
      </c>
    </row>
    <row r="304" spans="1:1">
      <c r="A304" t="s">
        <v>1039</v>
      </c>
    </row>
    <row r="305" spans="1:1">
      <c r="A305" t="s">
        <v>1040</v>
      </c>
    </row>
    <row r="306" spans="1:1">
      <c r="A306" t="s">
        <v>823</v>
      </c>
    </row>
    <row r="307" spans="1:1">
      <c r="A307" t="s">
        <v>938</v>
      </c>
    </row>
    <row r="308" spans="1:1">
      <c r="A308" t="s">
        <v>939</v>
      </c>
    </row>
    <row r="309" spans="1:1">
      <c r="A309" t="s">
        <v>823</v>
      </c>
    </row>
    <row r="310" spans="1:1">
      <c r="A310" t="s">
        <v>941</v>
      </c>
    </row>
    <row r="311" spans="1:1">
      <c r="A311" t="s">
        <v>823</v>
      </c>
    </row>
    <row r="312" spans="1:1">
      <c r="A312" t="s">
        <v>1041</v>
      </c>
    </row>
    <row r="313" spans="1:1">
      <c r="A313" t="s">
        <v>1042</v>
      </c>
    </row>
    <row r="314" spans="1:1">
      <c r="A314" t="s">
        <v>1043</v>
      </c>
    </row>
    <row r="315" spans="1:1">
      <c r="A315" t="s">
        <v>1044</v>
      </c>
    </row>
    <row r="316" spans="1:1">
      <c r="A316" t="s">
        <v>823</v>
      </c>
    </row>
    <row r="317" spans="1:1">
      <c r="A317" t="s">
        <v>1045</v>
      </c>
    </row>
    <row r="318" spans="1:1">
      <c r="A318" t="s">
        <v>923</v>
      </c>
    </row>
    <row r="319" spans="1:1">
      <c r="A319" t="s">
        <v>1046</v>
      </c>
    </row>
    <row r="320" spans="1:1">
      <c r="A320" t="s">
        <v>1047</v>
      </c>
    </row>
    <row r="321" spans="1:1">
      <c r="A321" t="s">
        <v>928</v>
      </c>
    </row>
    <row r="322" spans="1:1">
      <c r="A322" t="s">
        <v>1048</v>
      </c>
    </row>
    <row r="323" spans="1:1">
      <c r="A323" t="s">
        <v>1049</v>
      </c>
    </row>
    <row r="324" spans="1:1">
      <c r="A324" t="s">
        <v>928</v>
      </c>
    </row>
    <row r="325" spans="1:1">
      <c r="A325" t="s">
        <v>1050</v>
      </c>
    </row>
    <row r="326" spans="1:1">
      <c r="A326" t="s">
        <v>1051</v>
      </c>
    </row>
    <row r="327" spans="1:1">
      <c r="A327" t="s">
        <v>928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예정</vt:lpstr>
      <vt:lpstr>리스트</vt:lpstr>
      <vt:lpstr>입항관리</vt:lpstr>
      <vt:lpstr>XML컨1개</vt:lpstr>
      <vt:lpstr>결과있을때</vt:lpstr>
      <vt:lpstr>정리정보</vt:lpstr>
      <vt:lpstr>연습</vt:lpstr>
      <vt:lpstr>Sheet1</vt:lpstr>
      <vt:lpstr>연습2</vt:lpstr>
      <vt:lpstr>보관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COM</cp:lastModifiedBy>
  <dcterms:created xsi:type="dcterms:W3CDTF">2025-12-23T01:38:32Z</dcterms:created>
  <dcterms:modified xsi:type="dcterms:W3CDTF">2025-12-29T06:13:50Z</dcterms:modified>
</cp:coreProperties>
</file>