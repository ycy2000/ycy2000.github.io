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CE7347F1-026B-45F6-AA58-419C6BC999B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화찰폼" sheetId="1" r:id="rId1"/>
    <sheet name="리스트" sheetId="2" r:id="rId2"/>
    <sheet name="모듈" sheetId="7" r:id="rId3"/>
    <sheet name="수산화찰" sheetId="8" r:id="rId4"/>
    <sheet name="축산화찰" sheetId="9" r:id="rId5"/>
    <sheet name="일반화찰" sheetId="10" r:id="rId6"/>
  </sheets>
  <definedNames>
    <definedName name="_xlnm.Criteria" localSheetId="2">모듈!$EQ$5:$FC$6</definedName>
    <definedName name="_xlnm.Extract" localSheetId="2">모듈!$EQ$8:$FD$8</definedName>
    <definedName name="화찰연결">모듈!$AF$14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Q3" i="2"/>
  <c r="P3" i="2"/>
  <c r="O3" i="2"/>
  <c r="N3" i="2"/>
  <c r="M3" i="2"/>
  <c r="L3" i="2"/>
  <c r="K3" i="2"/>
  <c r="J3" i="2"/>
  <c r="J40" i="8"/>
  <c r="H40" i="8"/>
  <c r="C40" i="8"/>
  <c r="A40" i="8"/>
  <c r="L39" i="8"/>
  <c r="I39" i="8"/>
  <c r="E39" i="8"/>
  <c r="B39" i="8"/>
  <c r="L38" i="8"/>
  <c r="I38" i="8"/>
  <c r="E38" i="8"/>
  <c r="B38" i="8"/>
  <c r="L37" i="8"/>
  <c r="I37" i="8"/>
  <c r="E37" i="8"/>
  <c r="B37" i="8"/>
  <c r="H34" i="8"/>
  <c r="A34" i="8"/>
  <c r="H33" i="8"/>
  <c r="A33" i="8"/>
  <c r="H32" i="8"/>
  <c r="A32" i="8"/>
  <c r="H31" i="8"/>
  <c r="A31" i="8"/>
  <c r="J29" i="8"/>
  <c r="H29" i="8"/>
  <c r="C29" i="8"/>
  <c r="A29" i="8"/>
  <c r="L28" i="8"/>
  <c r="I28" i="8"/>
  <c r="E28" i="8"/>
  <c r="B28" i="8"/>
  <c r="L27" i="8"/>
  <c r="I27" i="8"/>
  <c r="E27" i="8"/>
  <c r="B27" i="8"/>
  <c r="L26" i="8"/>
  <c r="I26" i="8"/>
  <c r="E26" i="8"/>
  <c r="B26" i="8"/>
  <c r="H23" i="8"/>
  <c r="A23" i="8"/>
  <c r="H22" i="8"/>
  <c r="A22" i="8"/>
  <c r="H21" i="8"/>
  <c r="A21" i="8"/>
  <c r="H20" i="8"/>
  <c r="A20" i="8"/>
  <c r="J19" i="8"/>
  <c r="H19" i="8"/>
  <c r="C19" i="8"/>
  <c r="A19" i="8"/>
  <c r="L18" i="8"/>
  <c r="I18" i="8"/>
  <c r="E18" i="8"/>
  <c r="B18" i="8"/>
  <c r="L17" i="8"/>
  <c r="I17" i="8"/>
  <c r="E17" i="8"/>
  <c r="B17" i="8"/>
  <c r="L16" i="8"/>
  <c r="I16" i="8"/>
  <c r="E16" i="8"/>
  <c r="B16" i="8"/>
  <c r="H13" i="8"/>
  <c r="A13" i="8"/>
  <c r="H12" i="8"/>
  <c r="A12" i="8"/>
  <c r="H11" i="8"/>
  <c r="A11" i="8"/>
  <c r="J9" i="8"/>
  <c r="H9" i="8"/>
  <c r="C9" i="8"/>
  <c r="A9" i="8"/>
  <c r="L8" i="8"/>
  <c r="I8" i="8"/>
  <c r="E8" i="8"/>
  <c r="B8" i="8"/>
  <c r="L7" i="8"/>
  <c r="I7" i="8"/>
  <c r="E7" i="8"/>
  <c r="B7" i="8"/>
  <c r="L6" i="8"/>
  <c r="I6" i="8"/>
  <c r="E6" i="8"/>
  <c r="B6" i="8"/>
  <c r="H3" i="8"/>
  <c r="A3" i="8"/>
  <c r="H2" i="8"/>
  <c r="A2" i="8"/>
  <c r="H1" i="8"/>
  <c r="A1" i="8"/>
  <c r="AI25" i="9"/>
  <c r="AF25" i="9"/>
  <c r="Y25" i="9"/>
  <c r="V25" i="9"/>
  <c r="AF24" i="9"/>
  <c r="V24" i="9"/>
  <c r="AF23" i="9"/>
  <c r="V23" i="9"/>
  <c r="AK22" i="9"/>
  <c r="AA22" i="9"/>
  <c r="AF21" i="9"/>
  <c r="AD22" i="9" s="1"/>
  <c r="V21" i="9"/>
  <c r="T22" i="9" s="1"/>
  <c r="AJ19" i="9"/>
  <c r="Z19" i="9"/>
  <c r="AK18" i="9"/>
  <c r="AA18" i="9"/>
  <c r="AL17" i="9"/>
  <c r="AE17" i="9"/>
  <c r="AB17" i="9"/>
  <c r="U17" i="9"/>
  <c r="AF16" i="9"/>
  <c r="AD16" i="9"/>
  <c r="V16" i="9"/>
  <c r="T16" i="9"/>
  <c r="M16" i="9"/>
  <c r="K16" i="9"/>
  <c r="C16" i="9"/>
  <c r="A16" i="9"/>
  <c r="AE15" i="9"/>
  <c r="U15" i="9"/>
  <c r="L15" i="9"/>
  <c r="B15" i="9"/>
  <c r="AI12" i="9"/>
  <c r="AF12" i="9"/>
  <c r="Y12" i="9"/>
  <c r="V12" i="9"/>
  <c r="P12" i="9"/>
  <c r="M12" i="9"/>
  <c r="F12" i="9"/>
  <c r="C12" i="9"/>
  <c r="AF11" i="9"/>
  <c r="V11" i="9"/>
  <c r="M11" i="9"/>
  <c r="C11" i="9"/>
  <c r="AF10" i="9"/>
  <c r="V10" i="9"/>
  <c r="M10" i="9"/>
  <c r="C10" i="9"/>
  <c r="AK9" i="9"/>
  <c r="AA9" i="9"/>
  <c r="R9" i="9"/>
  <c r="H9" i="9"/>
  <c r="AF8" i="9"/>
  <c r="AD9" i="9" s="1"/>
  <c r="V8" i="9"/>
  <c r="T9" i="9" s="1"/>
  <c r="M8" i="9"/>
  <c r="K9" i="9" s="1"/>
  <c r="C8" i="9"/>
  <c r="A9" i="9" s="1"/>
  <c r="AJ6" i="9"/>
  <c r="Z6" i="9"/>
  <c r="Q6" i="9"/>
  <c r="G6" i="9"/>
  <c r="AK5" i="9"/>
  <c r="AA5" i="9"/>
  <c r="R5" i="9"/>
  <c r="H5" i="9"/>
  <c r="AL4" i="9"/>
  <c r="AE4" i="9"/>
  <c r="AB4" i="9"/>
  <c r="U4" i="9"/>
  <c r="S4" i="9"/>
  <c r="L4" i="9"/>
  <c r="I4" i="9"/>
  <c r="B4" i="9"/>
  <c r="AF3" i="9"/>
  <c r="AD3" i="9"/>
  <c r="V3" i="9"/>
  <c r="T3" i="9"/>
  <c r="M3" i="9"/>
  <c r="K3" i="9"/>
  <c r="C3" i="9"/>
  <c r="A3" i="9"/>
  <c r="AE2" i="9"/>
  <c r="U2" i="9"/>
  <c r="L2" i="9"/>
  <c r="B2" i="9"/>
  <c r="P25" i="9"/>
  <c r="M25" i="9"/>
  <c r="F25" i="9"/>
  <c r="C25" i="9"/>
  <c r="M24" i="9"/>
  <c r="C24" i="9"/>
  <c r="M23" i="9"/>
  <c r="C23" i="9"/>
  <c r="R22" i="9"/>
  <c r="H22" i="9"/>
  <c r="M21" i="9"/>
  <c r="K22" i="9" s="1"/>
  <c r="C21" i="9"/>
  <c r="A22" i="9" s="1"/>
  <c r="Q19" i="9"/>
  <c r="G19" i="9"/>
  <c r="R18" i="9"/>
  <c r="H18" i="9"/>
  <c r="S17" i="9"/>
  <c r="L17" i="9"/>
  <c r="I17" i="9"/>
  <c r="B17" i="9"/>
  <c r="J38" i="10"/>
  <c r="H38" i="10"/>
  <c r="C38" i="10"/>
  <c r="A38" i="10"/>
  <c r="H35" i="10"/>
  <c r="A35" i="10"/>
  <c r="H34" i="10"/>
  <c r="A34" i="10"/>
  <c r="J32" i="10"/>
  <c r="H32" i="10"/>
  <c r="C32" i="10"/>
  <c r="A32" i="10"/>
  <c r="H29" i="10"/>
  <c r="A29" i="10"/>
  <c r="H28" i="10"/>
  <c r="A28" i="10"/>
  <c r="J26" i="10"/>
  <c r="H26" i="10"/>
  <c r="C26" i="10"/>
  <c r="A26" i="10"/>
  <c r="H23" i="10"/>
  <c r="A23" i="10"/>
  <c r="H22" i="10"/>
  <c r="A22" i="10"/>
  <c r="H21" i="10"/>
  <c r="A21" i="10"/>
  <c r="J19" i="10"/>
  <c r="H19" i="10"/>
  <c r="C19" i="10"/>
  <c r="A19" i="10"/>
  <c r="A17" i="10"/>
  <c r="H16" i="10"/>
  <c r="A16" i="10"/>
  <c r="H15" i="10"/>
  <c r="A15" i="10"/>
  <c r="H14" i="10"/>
  <c r="A14" i="10"/>
  <c r="J12" i="10"/>
  <c r="H12" i="10"/>
  <c r="C12" i="10"/>
  <c r="A12" i="10"/>
  <c r="H9" i="10"/>
  <c r="A9" i="10"/>
  <c r="H8" i="10"/>
  <c r="A8" i="10"/>
  <c r="J6" i="10"/>
  <c r="H6" i="10"/>
  <c r="C6" i="10"/>
  <c r="A6" i="10"/>
  <c r="H3" i="10"/>
  <c r="A3" i="10"/>
  <c r="H2" i="10"/>
  <c r="A2" i="10"/>
  <c r="AA137" i="7" l="1"/>
  <c r="CI2" i="7"/>
</calcChain>
</file>

<file path=xl/sharedStrings.xml><?xml version="1.0" encoding="utf-8"?>
<sst xmlns="http://schemas.openxmlformats.org/spreadsheetml/2006/main" count="8208" uniqueCount="2948">
  <si>
    <t>기준셀_작동시트_페이지_위치</t>
  </si>
  <si>
    <t>작동시트</t>
  </si>
  <si>
    <t>페이지</t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</si>
  <si>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</si>
  <si>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</si>
  <si>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</si>
  <si>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</si>
  <si>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</si>
  <si>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</si>
  <si>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</si>
  <si>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</si>
  <si>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</si>
  <si>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</si>
  <si>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</si>
  <si>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</si>
  <si>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</si>
  <si>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</si>
  <si>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기준셀_품명주소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</si>
  <si>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</si>
  <si>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</si>
  <si>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</si>
  <si>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</si>
  <si>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</si>
  <si>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</si>
  <si>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</si>
  <si>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</si>
  <si>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</si>
  <si>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</si>
  <si>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</si>
  <si>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</si>
  <si>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</si>
  <si>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</si>
  <si>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</si>
  <si>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</si>
  <si>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</si>
  <si>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</si>
  <si>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기본TOP</t>
  </si>
  <si>
    <t>기본LEFT</t>
  </si>
  <si>
    <t>기본WIDTH</t>
  </si>
  <si>
    <t>기본HEIGHT</t>
  </si>
  <si>
    <t>기본글자크기</t>
  </si>
  <si>
    <t>2단계</t>
  </si>
  <si>
    <t>3단계</t>
  </si>
  <si>
    <t>4단계</t>
  </si>
  <si>
    <t>5단계</t>
  </si>
  <si>
    <t>이름,품명,품명밑,암수,암수아래,품명우측,삼오백</t>
    <phoneticPr fontId="1" type="noConversion"/>
  </si>
  <si>
    <t>주소(vba)</t>
    <phoneticPr fontId="1" type="noConversion"/>
  </si>
  <si>
    <t>주소위치</t>
    <phoneticPr fontId="1" type="noConversion"/>
  </si>
  <si>
    <t>도형속성</t>
    <phoneticPr fontId="1" type="noConversion"/>
  </si>
  <si>
    <t>생성위치</t>
    <phoneticPr fontId="1" type="noConversion"/>
  </si>
  <si>
    <t>기본텍스트</t>
    <phoneticPr fontId="1" type="noConversion"/>
  </si>
  <si>
    <t>삼오백우</t>
    <phoneticPr fontId="1" type="noConversion"/>
  </si>
  <si>
    <t>Sub 도형생성( ) '위 정보로 생성됨</t>
    <phoneticPr fontId="1" type="noConversion"/>
  </si>
  <si>
    <t>sub 부분01_주소확인및입력 ( ) '참고정보 : 시트이름, 페이지, 주소위치</t>
    <phoneticPr fontId="1" type="noConversion"/>
  </si>
  <si>
    <t>Dim 주소확인Boolean AS Boolean</t>
    <phoneticPr fontId="1" type="noConversion"/>
  </si>
  <si>
    <t>주소확인Boolean</t>
    <phoneticPr fontId="1" type="noConversion"/>
  </si>
  <si>
    <t>채움원</t>
  </si>
  <si>
    <t>A23:E24,H23:L24,A34:E35,H34:L35</t>
    <phoneticPr fontId="1" type="noConversion"/>
  </si>
  <si>
    <t>수산화찰</t>
    <phoneticPr fontId="1" type="noConversion"/>
  </si>
  <si>
    <t>이름</t>
    <phoneticPr fontId="1" type="noConversion"/>
  </si>
  <si>
    <t>기준셀_이름주소</t>
    <phoneticPr fontId="1" type="noConversion"/>
  </si>
  <si>
    <t>1) 일반 텍스트 설정시 입력되는 주소, 2) 도형생성시 기준위치(top,left)</t>
    <phoneticPr fontId="1" type="noConversion"/>
  </si>
  <si>
    <t>1) 품명밑이 없는 페이지인 경우 주소가 없는데 flase가 기록될 것이다 (텍스트 입력 및 도형관련 진행불가)</t>
    <phoneticPr fontId="1" type="noConversion"/>
  </si>
  <si>
    <t>덩어리 1</t>
    <phoneticPr fontId="1" type="noConversion"/>
  </si>
  <si>
    <t>1) 작동시트 변경시 페이지가 3인경우 3페이지가 없으면 2로 변경</t>
    <phoneticPr fontId="1" type="noConversion"/>
  </si>
  <si>
    <t>2) 1)후에 주소위치값을 기준으로 주소(vba), 주소확인Boolean 변경되도록</t>
    <phoneticPr fontId="1" type="noConversion"/>
  </si>
  <si>
    <t>도형생성은 현재의 1~9 정보를 토대로 작성된다.</t>
    <phoneticPr fontId="1" type="noConversion"/>
  </si>
  <si>
    <t xml:space="preserve"> 0, 1,2,3,4의 값이 가능하며 0이면 모두, 1~4이면 하나</t>
    <phoneticPr fontId="1" type="noConversion"/>
  </si>
  <si>
    <t>메모</t>
    <phoneticPr fontId="1" type="noConversion"/>
  </si>
  <si>
    <t>위치</t>
  </si>
  <si>
    <t>SET 이름선택범위 = RANGE(주소) '형태로 정의후. 이름선택범위.AREAS(0,1,2,3,4) 형태로 위치 지정</t>
  </si>
  <si>
    <t>기준셀_이름4셀_수식</t>
  </si>
  <si>
    <t>이름1P공통</t>
  </si>
  <si>
    <t>IF(OFFSET(OFFSET(모듈!$A$1,0,MATCH("화찰정보가져오기기준셀",모듈!$1:$1,0)-1),5,2)="","",OFFSET(OFFSET(모듈!$A$1,0,MATCH("화찰정보가져오기기준셀",모듈!$1:$1,0)-1),5,2))</t>
  </si>
  <si>
    <t xml:space="preserve"> </t>
  </si>
  <si>
    <t>이름2P공통</t>
  </si>
  <si>
    <t>IF(OFFSET(OFFSET(모듈!$A$1,0,MATCH("화찰정보가져오기기준셀",모듈!$1:$1,0)-1),6,2)="","",OFFSET(OFFSET(모듈!$A$1,0,MATCH("화찰정보가져오기기준셀",모듈!$1:$1,0)-1),6,2))</t>
  </si>
  <si>
    <t>이름3P공통</t>
  </si>
  <si>
    <t>IF(OFFSET(OFFSET(모듈!$A$1,0,MATCH("화찰정보가져오기기준셀",모듈!$1:$1,0)-1),7,2)="","",OFFSET(OFFSET(모듈!$A$1,0,MATCH("화찰정보가져오기기준셀",모듈!$1:$1,0)-1),7,2))</t>
  </si>
  <si>
    <t>이름4P공통</t>
  </si>
  <si>
    <t>IF(OFFSET(OFFSET(모듈!$A$1,0,MATCH("화찰정보가져오기기준셀",모듈!$1:$1,0)-1),8,2)="","",OFFSET(OFFSET(모듈!$A$1,0,MATCH("화찰정보가져오기기준셀",모듈!$1:$1,0)-1),8,2))</t>
  </si>
  <si>
    <t>품명/품명밑</t>
  </si>
  <si>
    <t>품명</t>
    <phoneticPr fontId="1" type="noConversion"/>
  </si>
  <si>
    <t>정렬방법</t>
  </si>
  <si>
    <t>왼쪽</t>
    <phoneticPr fontId="1" type="noConversion"/>
  </si>
  <si>
    <t>미검역계(kg)</t>
    <phoneticPr fontId="31" type="noConversion"/>
  </si>
  <si>
    <t>검역계(kg)</t>
    <phoneticPr fontId="31" type="noConversion"/>
  </si>
  <si>
    <t>총재고(kg)</t>
    <phoneticPr fontId="31" type="noConversion"/>
  </si>
  <si>
    <t>수량</t>
    <phoneticPr fontId="31" type="noConversion"/>
  </si>
  <si>
    <t xml:space="preserve"> * 품명(예) 축종별 정육, 부산물 등</t>
    <phoneticPr fontId="31" type="noConversion"/>
  </si>
  <si>
    <t xml:space="preserve">  위와 같이 검역시행장 수입검역물 재고현황을 제출합니다.</t>
    <phoneticPr fontId="31" type="noConversion"/>
  </si>
  <si>
    <t>관리인 : 최 우 순 , 최 홍 래 (서명 또는 인)</t>
    <phoneticPr fontId="31" type="noConversion"/>
  </si>
  <si>
    <t>농림축산 검역본부 영남지역본부장 귀하</t>
    <phoneticPr fontId="31" type="noConversion"/>
  </si>
  <si>
    <t>원본폭</t>
    <phoneticPr fontId="1" type="noConversion"/>
  </si>
  <si>
    <t>총재고수량에 날짜가 계산된다 4만좀넘는다.</t>
    <phoneticPr fontId="1" type="noConversion"/>
  </si>
  <si>
    <t>[별지 제13호서식]</t>
    <phoneticPr fontId="31" type="noConversion"/>
  </si>
  <si>
    <t>검역시행장 수입검역물 재고현황</t>
    <phoneticPr fontId="31" type="noConversion"/>
  </si>
  <si>
    <t>① 검역시행장명 : 동일냉장㈜, 제 P-10 호</t>
    <phoneticPr fontId="31" type="noConversion"/>
  </si>
  <si>
    <t>② 관리인 성명 : 최우순, 최홍래</t>
    <phoneticPr fontId="31" type="noConversion"/>
  </si>
  <si>
    <t>③ 주  소 : 부산광역시 사하구 다대로 170번길 10(신평동)</t>
    <phoneticPr fontId="31" type="noConversion"/>
  </si>
  <si>
    <t xml:space="preserve">④ 기 준 일 자 : </t>
    <phoneticPr fontId="31" type="noConversion"/>
  </si>
  <si>
    <t>⑤ 세부내역</t>
    <phoneticPr fontId="31" type="noConversion"/>
  </si>
  <si>
    <t>연번</t>
    <phoneticPr fontId="31" type="noConversion"/>
  </si>
  <si>
    <t>국가</t>
    <phoneticPr fontId="31" type="noConversion"/>
  </si>
  <si>
    <t>품명</t>
    <phoneticPr fontId="31" type="noConversion"/>
  </si>
  <si>
    <t>B/L NO</t>
    <phoneticPr fontId="31" type="noConversion"/>
  </si>
  <si>
    <t>입고</t>
    <phoneticPr fontId="31" type="noConversion"/>
  </si>
  <si>
    <t>재고</t>
    <phoneticPr fontId="31" type="noConversion"/>
  </si>
  <si>
    <t xml:space="preserve"> 검역
여부</t>
    <phoneticPr fontId="31" type="noConversion"/>
  </si>
  <si>
    <t>비고</t>
    <phoneticPr fontId="31" type="noConversion"/>
  </si>
  <si>
    <t>중량</t>
    <phoneticPr fontId="31" type="noConversion"/>
  </si>
  <si>
    <t>★영업자료에서는 BL, 재고수량, 입고일자만 있으면 된다.</t>
  </si>
  <si>
    <t>첫정보 11행</t>
  </si>
  <si>
    <t>136행(바로밑,LST_목록관련,사용한다.), P136:AQ137 2행 제목과 머리글 138행부터 목록값</t>
    <phoneticPr fontId="1" type="noConversion"/>
  </si>
  <si>
    <t>단독 리스트 결과</t>
    <phoneticPr fontId="1" type="noConversion"/>
  </si>
  <si>
    <t>(136행)</t>
    <phoneticPr fontId="1" type="noConversion"/>
  </si>
  <si>
    <t>ROW</t>
    <phoneticPr fontId="1" type="noConversion"/>
  </si>
  <si>
    <t>BL. NO.</t>
    <phoneticPr fontId="1" type="noConversion"/>
  </si>
  <si>
    <t>컨</t>
    <phoneticPr fontId="1" type="noConversion"/>
  </si>
  <si>
    <t>입항예정</t>
    <phoneticPr fontId="1" type="noConversion"/>
  </si>
  <si>
    <t>화주</t>
    <phoneticPr fontId="1" type="noConversion"/>
  </si>
  <si>
    <t>수량</t>
    <phoneticPr fontId="1" type="noConversion"/>
  </si>
  <si>
    <t>BL개수</t>
    <phoneticPr fontId="1" type="noConversion"/>
  </si>
  <si>
    <t>리스트시트 결과</t>
    <phoneticPr fontId="1" type="noConversion"/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</si>
  <si>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</si>
  <si>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</si>
  <si>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</si>
  <si>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</si>
  <si>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</si>
  <si>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</si>
  <si>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</si>
  <si>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</si>
  <si>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</si>
  <si>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</si>
  <si>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컨테이너</t>
  </si>
  <si>
    <t>작업순서</t>
    <phoneticPr fontId="1" type="noConversion"/>
  </si>
  <si>
    <t>회수 계획 내용(간단)</t>
  </si>
  <si>
    <t>운송사</t>
    <phoneticPr fontId="1" type="noConversion"/>
  </si>
  <si>
    <t>물품</t>
    <phoneticPr fontId="1" type="noConversion"/>
  </si>
  <si>
    <t>정렬</t>
    <phoneticPr fontId="1" type="noConversion"/>
  </si>
  <si>
    <t>선명</t>
    <phoneticPr fontId="1" type="noConversion"/>
  </si>
  <si>
    <t>B/L</t>
  </si>
  <si>
    <t>도착항</t>
    <phoneticPr fontId="1" type="noConversion"/>
  </si>
  <si>
    <t>기준셀_입항관리결과</t>
    <phoneticPr fontId="1" type="noConversion"/>
  </si>
  <si>
    <t>시트이름_수산</t>
  </si>
  <si>
    <t>시트이름_축산</t>
  </si>
  <si>
    <t>시트이름_일반</t>
  </si>
  <si>
    <t>CMD_페이지</t>
  </si>
  <si>
    <t>T_찾기</t>
  </si>
  <si>
    <t>T_찾은개수</t>
  </si>
  <si>
    <t>T_화주</t>
  </si>
  <si>
    <t>T_품명</t>
  </si>
  <si>
    <t>T_사이즈</t>
  </si>
  <si>
    <t>T_품명밑</t>
  </si>
  <si>
    <t>T_층</t>
  </si>
  <si>
    <t>T_입고일</t>
  </si>
  <si>
    <t>CMD_오늘</t>
  </si>
  <si>
    <t>T_원산지</t>
  </si>
  <si>
    <t>CMD_숫</t>
  </si>
  <si>
    <t>CMD_암</t>
  </si>
  <si>
    <t>T_암수도형텍스트</t>
  </si>
  <si>
    <t>CMD_출력</t>
  </si>
  <si>
    <t>T_장수</t>
  </si>
  <si>
    <t>T_센타도형텍스트</t>
  </si>
  <si>
    <t>센타도형_채움없는원</t>
  </si>
  <si>
    <t>센타도형_채움없는사각형</t>
  </si>
  <si>
    <t>센타도형_채움원</t>
  </si>
  <si>
    <t>센타도형_채움사각형</t>
  </si>
  <si>
    <t>CMD_가져오기_일괄</t>
  </si>
  <si>
    <t>CMD_가져오기_4</t>
  </si>
  <si>
    <t>CMD_가져오기_3</t>
  </si>
  <si>
    <t>CMD_가져오기_2</t>
  </si>
  <si>
    <t>CMD_가져오기_1</t>
  </si>
  <si>
    <t>센타도형_삭제</t>
  </si>
  <si>
    <t>수정위치_일괄</t>
  </si>
  <si>
    <t>수정위치_4</t>
  </si>
  <si>
    <t>수정위치_3</t>
  </si>
  <si>
    <t>수정위치_2</t>
  </si>
  <si>
    <t>수정위치_1</t>
  </si>
  <si>
    <t>CommandButton59</t>
  </si>
  <si>
    <t>CommandButton60</t>
  </si>
  <si>
    <t>T_컨참고</t>
  </si>
  <si>
    <t>암수도형_채움원</t>
  </si>
  <si>
    <t>암수도형_채움없는원</t>
  </si>
  <si>
    <t>CMD_해당시트도형삭제</t>
  </si>
  <si>
    <t>CMD_품명부분결정</t>
  </si>
  <si>
    <t>CMD_품명부분왼쪽정렬</t>
  </si>
  <si>
    <t>CMD_품명부분가운데정렬</t>
  </si>
  <si>
    <t>왼쪽상자</t>
  </si>
  <si>
    <t>오른쪽상자</t>
  </si>
  <si>
    <t>삼오백도형_채움원</t>
  </si>
  <si>
    <t>삼오백도형_채움없는원</t>
  </si>
  <si>
    <t>센타도형_사각형글자만</t>
  </si>
  <si>
    <t>암수도형_채움사각형</t>
  </si>
  <si>
    <t>암수도형_채움없는사각형</t>
  </si>
  <si>
    <t>암수도형_삭제</t>
  </si>
  <si>
    <t>암수도형_사각형글자만</t>
  </si>
  <si>
    <t>암수아래도형_삭제</t>
  </si>
  <si>
    <t>암수아래도형_채움사각형</t>
  </si>
  <si>
    <t>T_암수아래도형텍스트</t>
  </si>
  <si>
    <t>암수아래도형_채움없는사각형</t>
  </si>
  <si>
    <t>암수아래도형_채움없는원</t>
  </si>
  <si>
    <t>암수아래도형_채움원</t>
  </si>
  <si>
    <t>암수아래도형_사각형글자만</t>
  </si>
  <si>
    <t>품명우측도형_삭제</t>
  </si>
  <si>
    <t>품명우측도형_채움사각형</t>
  </si>
  <si>
    <t>T_품명우측도형텍스트</t>
  </si>
  <si>
    <t>품명우측도형_채움없는사각형</t>
  </si>
  <si>
    <t>품명우측도형_채움없는원</t>
  </si>
  <si>
    <t>품명우측도형_채움원</t>
  </si>
  <si>
    <t>품명우측도형_사각형글자만</t>
  </si>
  <si>
    <t>삼오백도형_삭제</t>
  </si>
  <si>
    <t>삼오백도형_채움사각형</t>
  </si>
  <si>
    <t>삼오백도형_채움없는사각형</t>
  </si>
  <si>
    <t>삼오백도형_사각형글자만</t>
  </si>
  <si>
    <t>CMD_변경_넓이1</t>
  </si>
  <si>
    <t>CMD_변경_넓이2</t>
  </si>
  <si>
    <t>CMD_변경_넓이3</t>
  </si>
  <si>
    <t>CMD_변경_넓이4</t>
  </si>
  <si>
    <t>CMD_변경_넓이5</t>
  </si>
  <si>
    <t>T_변경_넓이</t>
  </si>
  <si>
    <t>T_변경_높이</t>
  </si>
  <si>
    <t>CMD_변경_글자크기1</t>
  </si>
  <si>
    <t>CMD_변경_글자크기2</t>
  </si>
  <si>
    <t>CMD_변경_글자크기3</t>
  </si>
  <si>
    <t>CMD_변경_글자크기4</t>
  </si>
  <si>
    <t>CMD_변경_글자크기5</t>
  </si>
  <si>
    <t>T_변경_글자크기</t>
  </si>
  <si>
    <t>T_변경_상대위치_가로</t>
  </si>
  <si>
    <t>T_변경_상대위치_세로</t>
  </si>
  <si>
    <t>좌</t>
  </si>
  <si>
    <t>우</t>
  </si>
  <si>
    <t>T_몇글자</t>
  </si>
  <si>
    <t>우_글자크기</t>
  </si>
  <si>
    <t>CMD_글자크기각각변경</t>
  </si>
  <si>
    <t>CMD_토탈변경_2글자</t>
  </si>
  <si>
    <t>CMD_토탈변경_1글자</t>
  </si>
  <si>
    <t>CMD_토탈변경_3글자</t>
  </si>
  <si>
    <t>CMD_토탈변경_4글자</t>
  </si>
  <si>
    <t>CMD_토탈변경_5글자</t>
  </si>
  <si>
    <t>CMD_토탈변경_P</t>
  </si>
  <si>
    <t>CMD_토탈변경_PC</t>
  </si>
  <si>
    <t>T_시작위치</t>
  </si>
  <si>
    <t>좌_글자크기</t>
  </si>
  <si>
    <t>CMD_선택도형_좌</t>
  </si>
  <si>
    <t>CMD_선택도형_센</t>
  </si>
  <si>
    <t>CMD_선택도형_우</t>
  </si>
  <si>
    <t>CMD_품명부분우측정렬</t>
  </si>
  <si>
    <t>CommandButton63</t>
  </si>
  <si>
    <t>CommandButton64</t>
  </si>
  <si>
    <t>CMD_화찰크기</t>
  </si>
  <si>
    <t>선택_삼오백</t>
  </si>
  <si>
    <t>선택_암수</t>
  </si>
  <si>
    <t>선택_센타</t>
  </si>
  <si>
    <t>선택_암수아래</t>
  </si>
  <si>
    <t>선택_품명우측</t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</si>
  <si>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</si>
  <si>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</si>
  <si>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</si>
  <si>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</si>
  <si>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</si>
  <si>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31" type="noConversion"/>
  </si>
  <si>
    <t>품명(포함)</t>
    <phoneticPr fontId="31" type="noConversion"/>
  </si>
  <si>
    <t>주문품명</t>
    <phoneticPr fontId="31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</si>
  <si>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</si>
  <si>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</si>
  <si>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</si>
  <si>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</si>
  <si>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</si>
  <si>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</si>
  <si>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선</t>
    <phoneticPr fontId="1" type="noConversion"/>
  </si>
  <si>
    <t>기준셀_재고BL누적정보</t>
  </si>
  <si>
    <t>화주</t>
    <phoneticPr fontId="31" type="noConversion"/>
  </si>
  <si>
    <t>모듈BD열BL.NO</t>
  </si>
  <si>
    <t>⑪총포장
개수</t>
    <phoneticPr fontId="31" type="noConversion"/>
  </si>
  <si>
    <t>⑫순중량
(kg)</t>
    <phoneticPr fontId="31" type="noConversion"/>
  </si>
  <si>
    <t>입고
예정</t>
    <phoneticPr fontId="31" type="noConversion"/>
  </si>
  <si>
    <t>⑬수출국</t>
    <phoneticPr fontId="31" type="noConversion"/>
  </si>
  <si>
    <t>재고현황BL개수</t>
    <phoneticPr fontId="1" type="noConversion"/>
  </si>
  <si>
    <t>기준셀_시트이름</t>
  </si>
  <si>
    <t>시트이름 순서</t>
  </si>
  <si>
    <t>빽업시트이름 순서</t>
    <phoneticPr fontId="1" type="noConversion"/>
  </si>
  <si>
    <t>숨길시트_양</t>
    <phoneticPr fontId="1" type="noConversion"/>
  </si>
  <si>
    <t>시트없음</t>
  </si>
  <si>
    <t>숨길시트_승환</t>
    <phoneticPr fontId="1" type="noConversion"/>
  </si>
  <si>
    <t>띄</t>
    <phoneticPr fontId="1" type="noConversion"/>
  </si>
  <si>
    <t>빽업할시트_양</t>
    <phoneticPr fontId="1" type="noConversion"/>
  </si>
  <si>
    <t>빽업할시트_승환</t>
    <phoneticPr fontId="1" type="noConversion"/>
  </si>
  <si>
    <t>Picture 2</t>
    <phoneticPr fontId="1" type="noConversion"/>
  </si>
  <si>
    <t>기준셀_화찰수식</t>
    <phoneticPr fontId="1" type="noConversion"/>
  </si>
  <si>
    <t>수산화찰</t>
  </si>
  <si>
    <t>수식</t>
  </si>
  <si>
    <t>참고결과</t>
  </si>
  <si>
    <t>축산화찰</t>
  </si>
  <si>
    <t>일반화찰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</si>
  <si>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</si>
  <si>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</si>
  <si>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</si>
  <si>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</si>
  <si>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</si>
  <si>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</si>
  <si>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</si>
  <si>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</si>
  <si>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</si>
  <si>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</si>
  <si>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</si>
  <si>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 xml:space="preserve">DO시트 머리글 참고 </t>
    <phoneticPr fontId="1" type="noConversion"/>
  </si>
  <si>
    <t>선사정보 확인부분</t>
    <phoneticPr fontId="1" type="noConversion"/>
  </si>
  <si>
    <t>㈜씨에이치푸드</t>
    <phoneticPr fontId="1" type="noConversion"/>
  </si>
  <si>
    <t>CH푸드</t>
    <phoneticPr fontId="1" type="noConversion"/>
  </si>
  <si>
    <t>코딩중요정보</t>
    <phoneticPr fontId="1" type="noConversion"/>
  </si>
  <si>
    <t>작동중인 폼의 파일이름,ThisWorkbook.Name</t>
    <phoneticPr fontId="1" type="noConversion"/>
  </si>
  <si>
    <t>계육</t>
    <phoneticPr fontId="48" type="noConversion"/>
  </si>
  <si>
    <t>다리살</t>
    <phoneticPr fontId="1" type="noConversion"/>
  </si>
  <si>
    <t>닭다리</t>
    <phoneticPr fontId="1" type="noConversion"/>
  </si>
  <si>
    <t>(유)SM무역</t>
  </si>
  <si>
    <t>빈곳임의</t>
  </si>
  <si>
    <t>날짜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</si>
  <si>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</si>
  <si>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</si>
  <si>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</si>
  <si>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가공장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</si>
  <si>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</si>
  <si>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</si>
  <si>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</si>
  <si>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</si>
  <si>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</si>
  <si>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</si>
  <si>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사</t>
    <phoneticPr fontId="1" type="noConversion"/>
  </si>
  <si>
    <t>BM열까지 여유(축종대비)</t>
  </si>
  <si>
    <t>대상 주식회사 주식회사</t>
  </si>
  <si>
    <t>OOLU4052236370</t>
    <phoneticPr fontId="1" type="noConversion"/>
  </si>
  <si>
    <t>돈육 다리</t>
    <phoneticPr fontId="1" type="noConversion"/>
  </si>
  <si>
    <t>호주</t>
    <phoneticPr fontId="1" type="noConversion"/>
  </si>
  <si>
    <t>예정</t>
  </si>
  <si>
    <t>O</t>
  </si>
  <si>
    <t>우</t>
    <phoneticPr fontId="1" type="noConversion"/>
  </si>
  <si>
    <t>동일냉장 스티커 주문 목록</t>
    <phoneticPr fontId="31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</si>
  <si>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</si>
  <si>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</si>
  <si>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</si>
  <si>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</si>
  <si>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</si>
  <si>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</si>
  <si>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</si>
  <si>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</si>
  <si>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</si>
  <si>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</si>
  <si>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</si>
  <si>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</si>
  <si>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주식회사 뉴아시아</t>
  </si>
  <si>
    <t>뉴아시아</t>
  </si>
  <si>
    <t>뉴아시아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</si>
  <si>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</si>
  <si>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</si>
  <si>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</si>
  <si>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</si>
  <si>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1" type="noConversion"/>
  </si>
  <si>
    <t>반입번호</t>
    <phoneticPr fontId="1" type="noConversion"/>
  </si>
  <si>
    <t>B/L 번호</t>
  </si>
  <si>
    <t xml:space="preserve">화주 </t>
  </si>
  <si>
    <t>반입수량</t>
  </si>
  <si>
    <t>콘테이너번호</t>
  </si>
  <si>
    <t>운송차량번호</t>
    <phoneticPr fontId="1" type="noConversion"/>
  </si>
  <si>
    <t>도착일</t>
    <phoneticPr fontId="1" type="noConversion"/>
  </si>
  <si>
    <t>도착시간</t>
    <phoneticPr fontId="1" type="noConversion"/>
  </si>
  <si>
    <t>인수자</t>
    <phoneticPr fontId="1" type="noConversion"/>
  </si>
  <si>
    <t>피트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</si>
  <si>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</si>
  <si>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</si>
  <si>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</si>
  <si>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</si>
  <si>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</si>
  <si>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FJ1:GC200 Delete Shift:=xlUp</t>
    <phoneticPr fontId="1" type="noConversion"/>
  </si>
  <si>
    <t>대상㈜유통씨아이씨</t>
  </si>
  <si>
    <t>대상</t>
    <phoneticPr fontId="1" type="noConversion"/>
  </si>
  <si>
    <t>폼이름 단독</t>
    <phoneticPr fontId="1" type="noConversion"/>
  </si>
  <si>
    <t>양_리스트폼</t>
    <phoneticPr fontId="1" type="noConversion"/>
  </si>
  <si>
    <t>장각</t>
    <phoneticPr fontId="1" type="noConversion"/>
  </si>
  <si>
    <t>(주)우원</t>
  </si>
  <si>
    <t>차량번호기록</t>
  </si>
  <si>
    <t>및</t>
    <phoneticPr fontId="1" type="noConversion"/>
  </si>
  <si>
    <t>(내국돈육우육등은여기에</t>
  </si>
  <si>
    <t>㈜대홍     (동일)</t>
    <phoneticPr fontId="31" type="noConversion"/>
  </si>
  <si>
    <t>ZIMUSAV988709</t>
    <phoneticPr fontId="31" type="noConversion"/>
  </si>
  <si>
    <t>계육</t>
    <phoneticPr fontId="31" type="noConversion"/>
  </si>
  <si>
    <t>장각</t>
    <phoneticPr fontId="31" type="noConversion"/>
  </si>
  <si>
    <t>미국</t>
    <phoneticPr fontId="31" type="noConversion"/>
  </si>
  <si>
    <t>완료</t>
  </si>
  <si>
    <t>기</t>
    <phoneticPr fontId="1" type="noConversion"/>
  </si>
  <si>
    <t>순번</t>
    <phoneticPr fontId="31" type="noConversion"/>
  </si>
  <si>
    <t>상호</t>
    <phoneticPr fontId="31" type="noConversion"/>
  </si>
  <si>
    <t>원산지</t>
    <phoneticPr fontId="31" type="noConversion"/>
  </si>
  <si>
    <t>제품명</t>
    <phoneticPr fontId="31" type="noConversion"/>
  </si>
  <si>
    <t>유통기한</t>
    <phoneticPr fontId="31" type="noConversion"/>
  </si>
  <si>
    <t>B/L번호</t>
    <phoneticPr fontId="31" type="noConversion"/>
  </si>
  <si>
    <t>행번호</t>
    <phoneticPr fontId="31" type="noConversion"/>
  </si>
  <si>
    <t>⑨B/L 번호</t>
    <phoneticPr fontId="31" type="noConversion"/>
  </si>
  <si>
    <t>판매원</t>
    <phoneticPr fontId="31" type="noConversion"/>
  </si>
  <si>
    <t>가공장번호</t>
    <phoneticPr fontId="3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</si>
  <si>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</si>
  <si>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</si>
  <si>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</si>
  <si>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</si>
  <si>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</si>
  <si>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</si>
  <si>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</si>
  <si>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</si>
  <si>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</si>
  <si>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</si>
  <si>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</si>
  <si>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MEDUAJ990822</t>
  </si>
  <si>
    <t>미트앤미트</t>
  </si>
  <si>
    <t>닭다리살</t>
  </si>
  <si>
    <t>SZLU9117330</t>
  </si>
  <si>
    <t>경남99바3934</t>
    <phoneticPr fontId="1" type="noConversion"/>
  </si>
  <si>
    <t>11:36</t>
  </si>
  <si>
    <t>양충영</t>
  </si>
  <si>
    <t>VBA</t>
    <phoneticPr fontId="1" type="noConversion"/>
  </si>
  <si>
    <t>(주)에이치유로지스틱스</t>
    <phoneticPr fontId="1" type="noConversion"/>
  </si>
  <si>
    <t>HU</t>
    <phoneticPr fontId="1" type="noConversion"/>
  </si>
  <si>
    <t>엠에스씨코리아㈜</t>
    <phoneticPr fontId="1" type="noConversion"/>
  </si>
  <si>
    <t>브라질:Navegantes</t>
    <phoneticPr fontId="1" type="noConversion"/>
  </si>
  <si>
    <t>대와실업</t>
    <phoneticPr fontId="31" type="noConversion"/>
  </si>
  <si>
    <t>UserForm_Initialize 중단(백업시 등)</t>
    <phoneticPr fontId="1" type="noConversion"/>
  </si>
  <si>
    <t>AB코퍼레이션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</si>
  <si>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</si>
  <si>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</si>
  <si>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</si>
  <si>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C</t>
    <phoneticPr fontId="1" type="noConversion"/>
  </si>
  <si>
    <t>BL이 없을건데…)</t>
  </si>
  <si>
    <t>컨대수</t>
  </si>
  <si>
    <t>용</t>
    <phoneticPr fontId="1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</si>
  <si>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</si>
  <si>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</si>
  <si>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</si>
  <si>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</si>
  <si>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</si>
  <si>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</si>
  <si>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</si>
  <si>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대상네트</t>
  </si>
  <si>
    <t>대상네트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</si>
  <si>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</si>
  <si>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</si>
  <si>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do시트 고필 고필정의 (입고일자는 =&gt;,=&lt;형식, 나머지는 *값*형식으로 전달</t>
    <phoneticPr fontId="1" type="noConversion"/>
  </si>
  <si>
    <t>대한제당㈜경기영업소</t>
    <phoneticPr fontId="1" type="noConversion"/>
  </si>
  <si>
    <t>대한경기</t>
    <phoneticPr fontId="1" type="noConversion"/>
  </si>
  <si>
    <t>최근백업파일이름(빽업할파일이름)코딩입력</t>
    <phoneticPr fontId="1" type="noConversion"/>
  </si>
  <si>
    <t>축산물통합관리.xlsm</t>
    <phoneticPr fontId="1" type="noConversion"/>
  </si>
  <si>
    <t>조각정육</t>
    <phoneticPr fontId="1" type="noConversion"/>
  </si>
  <si>
    <t>AK실업</t>
  </si>
  <si>
    <t>기록위치</t>
  </si>
  <si>
    <t>Y</t>
    <phoneticPr fontId="1" type="noConversion"/>
  </si>
  <si>
    <t>㈜아스트로스</t>
    <phoneticPr fontId="31" type="noConversion"/>
  </si>
  <si>
    <t>MEDUAJ037459</t>
    <phoneticPr fontId="31" type="noConversion"/>
  </si>
  <si>
    <t>AU근위</t>
    <phoneticPr fontId="31" type="noConversion"/>
  </si>
  <si>
    <t>브라질</t>
    <phoneticPr fontId="31" type="noConversion"/>
  </si>
  <si>
    <t>작업용신청</t>
  </si>
  <si>
    <t>도</t>
    <phoneticPr fontId="1" type="noConversion"/>
  </si>
  <si>
    <t>현물검사신청서</t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</si>
  <si>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</si>
  <si>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</si>
  <si>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</si>
  <si>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</si>
  <si>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</si>
  <si>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</si>
  <si>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</si>
  <si>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</si>
  <si>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㈜대성무역</t>
  </si>
  <si>
    <t>대성무역</t>
  </si>
  <si>
    <t>대성무역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</si>
  <si>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</si>
  <si>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</si>
  <si>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</si>
  <si>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</si>
  <si>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닭발</t>
    <phoneticPr fontId="1" type="noConversion"/>
  </si>
  <si>
    <t>ATP글로벌</t>
  </si>
  <si>
    <t>ROW</t>
  </si>
  <si>
    <t xml:space="preserve"> </t>
    <phoneticPr fontId="1" type="noConversion"/>
  </si>
  <si>
    <t>KMTCSUB2442257</t>
  </si>
  <si>
    <t>KMTC NINGBO</t>
  </si>
  <si>
    <t>25KMTC4343I-0217-</t>
  </si>
  <si>
    <t>2025.12.11</t>
  </si>
  <si>
    <t>㈜피델리스글로벌</t>
    <phoneticPr fontId="31" type="noConversion"/>
  </si>
  <si>
    <t>BR00358022</t>
    <phoneticPr fontId="31" type="noConversion"/>
  </si>
  <si>
    <t>COASUL장각</t>
    <phoneticPr fontId="31" type="noConversion"/>
  </si>
  <si>
    <t>BP색깔은 숨길시트의 색깔이다.</t>
    <phoneticPr fontId="1" type="noConversion"/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</si>
  <si>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</si>
  <si>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</si>
  <si>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</si>
  <si>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</si>
  <si>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1940 CARTONS WITH  23280 KG NET WEIGHT OF FROZEN C</t>
  </si>
  <si>
    <t>1940 CARTONS</t>
  </si>
  <si>
    <t>동원산업㈜</t>
  </si>
  <si>
    <t>동원산업</t>
    <phoneticPr fontId="1" type="noConversion"/>
  </si>
  <si>
    <t>근위</t>
    <phoneticPr fontId="1" type="noConversion"/>
  </si>
  <si>
    <t>닭근위</t>
    <phoneticPr fontId="1" type="noConversion"/>
  </si>
  <si>
    <t>BM트레이딩</t>
  </si>
  <si>
    <t>10KG</t>
    <phoneticPr fontId="1" type="noConversion"/>
  </si>
  <si>
    <t>이</t>
    <phoneticPr fontId="1" type="noConversion"/>
  </si>
  <si>
    <t>㈜뉴아시아</t>
    <phoneticPr fontId="31" type="noConversion"/>
  </si>
  <si>
    <t>MEDUTX264996</t>
    <phoneticPr fontId="31" type="noConversion"/>
  </si>
  <si>
    <t>닭발</t>
    <phoneticPr fontId="31" type="noConversion"/>
  </si>
  <si>
    <t>스웨덴</t>
    <phoneticPr fontId="31" type="noConversion"/>
  </si>
  <si>
    <t>발주서</t>
  </si>
  <si>
    <t>이름300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</si>
  <si>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</si>
  <si>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</si>
  <si>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</si>
  <si>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</si>
  <si>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</si>
  <si>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</si>
  <si>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</si>
  <si>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</si>
  <si>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</si>
  <si>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</si>
  <si>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세방익스프레스㈜</t>
    <phoneticPr fontId="1" type="noConversion"/>
  </si>
  <si>
    <t>세방</t>
    <phoneticPr fontId="1" type="noConversion"/>
  </si>
  <si>
    <t>미들윙</t>
    <phoneticPr fontId="1" type="noConversion"/>
  </si>
  <si>
    <t>닭날개</t>
    <phoneticPr fontId="1" type="noConversion"/>
  </si>
  <si>
    <t>CHC</t>
  </si>
  <si>
    <t>운송차량번호</t>
  </si>
  <si>
    <t>트</t>
    <phoneticPr fontId="1" type="noConversion"/>
  </si>
  <si>
    <t>MAEU914437729</t>
    <phoneticPr fontId="31" type="noConversion"/>
  </si>
  <si>
    <t>핀란드</t>
    <phoneticPr fontId="31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</si>
  <si>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</si>
  <si>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</si>
  <si>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</si>
  <si>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</si>
  <si>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</si>
  <si>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</si>
  <si>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</si>
  <si>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</si>
  <si>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</si>
  <si>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동원산업</t>
  </si>
  <si>
    <t>1943 CARTONS WITH  23316 KG NET WEIGHT OF FROZEN C</t>
  </si>
  <si>
    <t>1943 CARTONS</t>
  </si>
  <si>
    <t>수월한 주식회사</t>
    <phoneticPr fontId="31" type="noConversion"/>
  </si>
  <si>
    <t>수월한</t>
    <phoneticPr fontId="1" type="noConversion"/>
  </si>
  <si>
    <t>T_BL 업데이트후 지우기/완표시</t>
    <phoneticPr fontId="1" type="noConversion"/>
  </si>
  <si>
    <t>지우기</t>
    <phoneticPr fontId="1" type="noConversion"/>
  </si>
  <si>
    <t>날개</t>
    <phoneticPr fontId="1" type="noConversion"/>
  </si>
  <si>
    <t>CH푸드</t>
  </si>
  <si>
    <t>경남99바6051</t>
  </si>
  <si>
    <t>관</t>
    <phoneticPr fontId="1" type="noConversion"/>
  </si>
  <si>
    <t>HDMUSAOA28594206</t>
    <phoneticPr fontId="31" type="noConversion"/>
  </si>
  <si>
    <t>재고현황</t>
  </si>
  <si>
    <t>발주내역</t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</si>
  <si>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</si>
  <si>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</si>
  <si>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</si>
  <si>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</si>
  <si>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</si>
  <si>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</si>
  <si>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</si>
  <si>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</si>
  <si>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</si>
  <si>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</si>
  <si>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㈜동원홈푸드</t>
  </si>
  <si>
    <t>동원홈푸드</t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</si>
  <si>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</si>
  <si>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</si>
  <si>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</si>
  <si>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</si>
  <si>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</si>
  <si>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CJ프레시웨이</t>
  </si>
  <si>
    <t>부산99사9885</t>
  </si>
  <si>
    <t>미래반입예정끝</t>
  </si>
  <si>
    <t>운송잔여일 19열</t>
  </si>
  <si>
    <t>련</t>
    <phoneticPr fontId="1" type="noConversion"/>
  </si>
  <si>
    <t>ONEYSAOC29198600</t>
    <phoneticPr fontId="31" type="noConversion"/>
  </si>
  <si>
    <t>GU닭발</t>
    <phoneticPr fontId="31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</si>
  <si>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</si>
  <si>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</si>
  <si>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</si>
  <si>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</si>
  <si>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</si>
  <si>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</si>
  <si>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</si>
  <si>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</si>
  <si>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1947 CARTONS WITH  23364 KG NET WEIGHT OF FROZEN C</t>
  </si>
  <si>
    <t>1947 CARTONS</t>
  </si>
  <si>
    <t>가공장번호 6개 셑팅 (수동입력)</t>
  </si>
  <si>
    <t>계육</t>
  </si>
  <si>
    <t>싸이정육</t>
  </si>
  <si>
    <t>닭다리</t>
  </si>
  <si>
    <t>CNK물산</t>
  </si>
  <si>
    <t>부산98사1551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</si>
  <si>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</si>
  <si>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</si>
  <si>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</si>
  <si>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</si>
  <si>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</si>
  <si>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</si>
  <si>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입항</t>
    <phoneticPr fontId="1" type="noConversion"/>
  </si>
  <si>
    <t>컨</t>
  </si>
  <si>
    <t>영문품명</t>
    <phoneticPr fontId="1" type="noConversion"/>
  </si>
  <si>
    <t>중량</t>
    <phoneticPr fontId="1" type="noConversion"/>
  </si>
  <si>
    <t>고정</t>
    <phoneticPr fontId="1" type="noConversion"/>
  </si>
  <si>
    <t>대상 네트윅스 주식회사</t>
    <phoneticPr fontId="31" type="noConversion"/>
  </si>
  <si>
    <t>COSU6341212300</t>
    <phoneticPr fontId="31" type="noConversion"/>
  </si>
  <si>
    <t>SU다리살</t>
    <phoneticPr fontId="31" type="noConversion"/>
  </si>
  <si>
    <t>양예정</t>
  </si>
  <si>
    <t>미검역</t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</si>
  <si>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</si>
  <si>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</si>
  <si>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</si>
  <si>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</si>
  <si>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</si>
  <si>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</si>
  <si>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</si>
  <si>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</si>
  <si>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</si>
  <si>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</si>
  <si>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</si>
  <si>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</si>
  <si>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</si>
  <si>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</si>
  <si>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</si>
  <si>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CNK트레이딩</t>
  </si>
  <si>
    <t>부산99바3602</t>
  </si>
  <si>
    <t>관리번호</t>
  </si>
  <si>
    <t>화물관리번호</t>
  </si>
  <si>
    <t>BL번호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</si>
  <si>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</si>
  <si>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</si>
  <si>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</si>
  <si>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</si>
  <si>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</si>
  <si>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</si>
  <si>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</si>
  <si>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</si>
  <si>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㈜미트앤미트</t>
    <phoneticPr fontId="31" type="noConversion"/>
  </si>
  <si>
    <t>HLCUIT1220818864</t>
    <phoneticPr fontId="31" type="noConversion"/>
  </si>
  <si>
    <t>AU장각</t>
    <phoneticPr fontId="31" type="noConversion"/>
  </si>
  <si>
    <t>양완료</t>
  </si>
  <si>
    <t>관리백업</t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</si>
  <si>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</si>
  <si>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</si>
  <si>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</si>
  <si>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</si>
  <si>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</si>
  <si>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</si>
  <si>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</si>
  <si>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</si>
  <si>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</si>
  <si>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</si>
  <si>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</si>
  <si>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</si>
  <si>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</si>
  <si>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GF무역</t>
  </si>
  <si>
    <t>부산99바6418</t>
  </si>
  <si>
    <t>25COSU0107I-3013-</t>
  </si>
  <si>
    <t>COSU6432201480</t>
  </si>
  <si>
    <t>030D1030M04025001601</t>
  </si>
  <si>
    <t>FORCHEF INC</t>
  </si>
  <si>
    <t>COSCO FAITH</t>
  </si>
  <si>
    <t>074E</t>
  </si>
  <si>
    <t>FBIU5042141</t>
  </si>
  <si>
    <t>SUGARDALE 1LB BACON ; EZ PAN SLICED BACON (15LBS18</t>
  </si>
  <si>
    <t>공</t>
    <phoneticPr fontId="1" type="noConversion"/>
  </si>
  <si>
    <t>MAEU914553134</t>
    <phoneticPr fontId="31" type="noConversion"/>
  </si>
  <si>
    <t>리스트</t>
  </si>
  <si>
    <t>상환금</t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</si>
  <si>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</si>
  <si>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</si>
  <si>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</si>
  <si>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</si>
  <si>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</si>
  <si>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</si>
  <si>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</si>
  <si>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</si>
  <si>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</si>
  <si>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</si>
  <si>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</si>
  <si>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</si>
  <si>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31" type="noConversion"/>
  </si>
  <si>
    <t>구조변경승환0329</t>
    <phoneticPr fontId="1" type="noConversion"/>
  </si>
  <si>
    <t>GK교역</t>
  </si>
  <si>
    <t>경북98사6744</t>
  </si>
  <si>
    <t>25MAEU0808I-1072-</t>
  </si>
  <si>
    <t>MAEU721065967</t>
  </si>
  <si>
    <t>030D1030N03025U00995</t>
  </si>
  <si>
    <t>HYUNDAI GREEN FOOD YEONG NAM CENTER</t>
  </si>
  <si>
    <t>MAERSK EDIRNE</t>
  </si>
  <si>
    <t>544W</t>
  </si>
  <si>
    <t>MNBU3509130</t>
  </si>
  <si>
    <t>1 X 40 CONTAINER SAID TO CONTAIN   1916 CARTONS OF</t>
  </si>
  <si>
    <t>간</t>
    <phoneticPr fontId="1" type="noConversion"/>
  </si>
  <si>
    <t>㈜뉴아시아  (수월한양도)</t>
    <phoneticPr fontId="31" type="noConversion"/>
  </si>
  <si>
    <t>CKCOLCH0027143</t>
    <phoneticPr fontId="31" type="noConversion"/>
  </si>
  <si>
    <t>윙스틱35/45G
윙스틱45/55G</t>
    <phoneticPr fontId="31" type="noConversion"/>
  </si>
  <si>
    <t>태국</t>
    <phoneticPr fontId="31" type="noConversion"/>
  </si>
  <si>
    <t>입항관리</t>
  </si>
  <si>
    <t>파손확인서</t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</si>
  <si>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</si>
  <si>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</si>
  <si>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</si>
  <si>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</si>
  <si>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</si>
  <si>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</si>
  <si>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</si>
  <si>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</si>
  <si>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</si>
  <si>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주식회사 마이푸드</t>
  </si>
  <si>
    <t>마이푸드</t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</si>
  <si>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</si>
  <si>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</si>
  <si>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</si>
  <si>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31" type="noConversion"/>
  </si>
  <si>
    <t>GK트레이딩</t>
  </si>
  <si>
    <t>부산98바7165</t>
  </si>
  <si>
    <t>25MAEU0808I-1081-</t>
  </si>
  <si>
    <t>MAEU721074249</t>
  </si>
  <si>
    <t>030D1030N03025U00997</t>
  </si>
  <si>
    <t>MNBU4011326</t>
  </si>
  <si>
    <t>R</t>
    <phoneticPr fontId="1" type="noConversion"/>
  </si>
  <si>
    <t>MEDUAJ437196</t>
    <phoneticPr fontId="31" type="noConversion"/>
  </si>
  <si>
    <t>AU다리살</t>
    <phoneticPr fontId="31" type="noConversion"/>
  </si>
  <si>
    <t>배차</t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</si>
  <si>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</si>
  <si>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</si>
  <si>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</si>
  <si>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</si>
  <si>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</si>
  <si>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</si>
  <si>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</si>
  <si>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</si>
  <si>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</si>
  <si>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</si>
  <si>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</si>
  <si>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</si>
  <si>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</si>
  <si>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31" type="noConversion"/>
  </si>
  <si>
    <t>대홍</t>
    <phoneticPr fontId="1" type="noConversion"/>
  </si>
  <si>
    <t>GM푸드</t>
  </si>
  <si>
    <t>부산98바3226</t>
  </si>
  <si>
    <t>25MAEU0808I-1077-</t>
  </si>
  <si>
    <t>MAEU721071272</t>
  </si>
  <si>
    <t>030D1030N03025U00996</t>
  </si>
  <si>
    <t>MNBU0152922</t>
  </si>
  <si>
    <t>O</t>
    <phoneticPr fontId="1" type="noConversion"/>
  </si>
  <si>
    <t>SUDU62ITJ022814C</t>
    <phoneticPr fontId="31" type="noConversion"/>
  </si>
  <si>
    <t>SR다리살</t>
    <phoneticPr fontId="31" type="noConversion"/>
  </si>
  <si>
    <t>DO</t>
  </si>
  <si>
    <t>CY선석복붙</t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</si>
  <si>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</si>
  <si>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</si>
  <si>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</si>
  <si>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</si>
  <si>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</si>
  <si>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</si>
  <si>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</si>
  <si>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</si>
  <si>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주식회사 미트앤미트</t>
  </si>
  <si>
    <t>미트앤미트</t>
    <phoneticPr fontId="1" type="noConversion"/>
  </si>
  <si>
    <t>FROZEN CHICKEN</t>
    <phoneticPr fontId="1" type="noConversion"/>
  </si>
  <si>
    <t>주식회사 디에스푸드</t>
    <phoneticPr fontId="31" type="noConversion"/>
  </si>
  <si>
    <t>디에스푸드</t>
    <phoneticPr fontId="1" type="noConversion"/>
  </si>
  <si>
    <t>HS코퍼</t>
  </si>
  <si>
    <t>경기99바5962</t>
  </si>
  <si>
    <t>25MAEU0808I-1082-</t>
  </si>
  <si>
    <t>MAEU721074250</t>
  </si>
  <si>
    <t>030D1030N03025U00999</t>
  </si>
  <si>
    <t>MNBU4053532</t>
  </si>
  <si>
    <t>01 X 40 CONTAINER SAID TO CONTAIN   1916 CARTONS O</t>
  </si>
  <si>
    <t>W</t>
    <phoneticPr fontId="1" type="noConversion"/>
  </si>
  <si>
    <t>MAEU914560479</t>
    <phoneticPr fontId="31" type="noConversion"/>
  </si>
  <si>
    <t>배차다운</t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</si>
  <si>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</si>
  <si>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</si>
  <si>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</si>
  <si>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</si>
  <si>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</si>
  <si>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</si>
  <si>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</si>
  <si>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</si>
  <si>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</si>
  <si>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</si>
  <si>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FROZEN BONELESS CHICHEN</t>
  </si>
  <si>
    <t>주식회사 디케이통상</t>
    <phoneticPr fontId="31" type="noConversion"/>
  </si>
  <si>
    <t>디케이통상</t>
    <phoneticPr fontId="1" type="noConversion"/>
  </si>
  <si>
    <t>HS코퍼레이션</t>
  </si>
  <si>
    <t>경남99사2388</t>
  </si>
  <si>
    <t>25MAEU0808I-1127-</t>
  </si>
  <si>
    <t>MAEUJBS289850</t>
  </si>
  <si>
    <t>030D1039081025005602</t>
  </si>
  <si>
    <t>SUWOLHAN CO. LTD</t>
  </si>
  <si>
    <t>SUDU8246685</t>
  </si>
  <si>
    <t>1939 CARTONS WITH  23268 KG NET WEIGHT OF FROZEN C</t>
  </si>
  <si>
    <t>NO.</t>
    <phoneticPr fontId="1" type="noConversion"/>
  </si>
  <si>
    <t>현대코퍼레이션홀딩스㈜경기지사</t>
    <phoneticPr fontId="31" type="noConversion"/>
  </si>
  <si>
    <t>ONEYSAOC38341300</t>
    <phoneticPr fontId="31" type="noConversion"/>
  </si>
  <si>
    <t>SA다리살(1759)
SA다리살(134)</t>
    <phoneticPr fontId="31" type="noConversion"/>
  </si>
  <si>
    <t>Sheet1</t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</si>
  <si>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</si>
  <si>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</si>
  <si>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</si>
  <si>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</si>
  <si>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</si>
  <si>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</si>
  <si>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</si>
  <si>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</si>
  <si>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</si>
  <si>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CHICKEN WHOLE LEG, BONELESS, SKIN ON</t>
    <phoneticPr fontId="1" type="noConversion"/>
  </si>
  <si>
    <t>주식회사 마이푸드</t>
    <phoneticPr fontId="31" type="noConversion"/>
  </si>
  <si>
    <t>HT인더스트리</t>
  </si>
  <si>
    <t>부산98사1693</t>
  </si>
  <si>
    <t>25MAEU0808I-1111-</t>
  </si>
  <si>
    <t>MAEUJBS288307</t>
  </si>
  <si>
    <t>030D1039081025005603</t>
  </si>
  <si>
    <t>MNBU0304856</t>
  </si>
  <si>
    <t>1900 CARTONS WITH  22800 KG NET WEIGHT OF FROZEN C</t>
  </si>
  <si>
    <t>MEDUAJ456311</t>
    <phoneticPr fontId="31" type="noConversion"/>
  </si>
  <si>
    <t>SA다리살(1118)
SA다리살(862)</t>
    <phoneticPr fontId="31" type="noConversion"/>
  </si>
  <si>
    <t>세관가점신청</t>
  </si>
  <si>
    <t>연락처</t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</si>
  <si>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</si>
  <si>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</si>
  <si>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</si>
  <si>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</si>
  <si>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</si>
  <si>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</si>
  <si>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</si>
  <si>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</si>
  <si>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</si>
  <si>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</si>
  <si>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</si>
  <si>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모아푸드</t>
    <phoneticPr fontId="31" type="noConversion"/>
  </si>
  <si>
    <t>모아푸드</t>
    <phoneticPr fontId="1" type="noConversion"/>
  </si>
  <si>
    <t>IMS</t>
  </si>
  <si>
    <t>부산98사3292</t>
  </si>
  <si>
    <t>25DWICB548I-0005-0001</t>
  </si>
  <si>
    <t>DOLBYS2548E105</t>
  </si>
  <si>
    <t>030D8039569025U04235</t>
  </si>
  <si>
    <t>HANA TRADING CO.,LTD.</t>
  </si>
  <si>
    <t>YONG SHENG 158</t>
  </si>
  <si>
    <t>2548E</t>
  </si>
  <si>
    <t>WJCU6062728</t>
  </si>
  <si>
    <t>FROZEN BOILED MELANIA SNAIL MEAT</t>
  </si>
  <si>
    <t>MEDUAJ434839</t>
    <phoneticPr fontId="31" type="noConversion"/>
  </si>
  <si>
    <t>SA다리살(1829)
PA다리살(151)</t>
    <phoneticPr fontId="31" type="noConversion"/>
  </si>
  <si>
    <t>해양수산부</t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</si>
  <si>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</si>
  <si>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</si>
  <si>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</si>
  <si>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</si>
  <si>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</si>
  <si>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</si>
  <si>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</si>
  <si>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</si>
  <si>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</si>
  <si>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</si>
  <si>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</si>
  <si>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미트앤미트</t>
    <phoneticPr fontId="31" type="noConversion"/>
  </si>
  <si>
    <t>JH트레이딩</t>
  </si>
  <si>
    <t>부산99바9868</t>
  </si>
  <si>
    <t>25ONEY1545I-0703-</t>
  </si>
  <si>
    <t>HDMUSAOA12425500</t>
  </si>
  <si>
    <t>030D1016321125000242</t>
  </si>
  <si>
    <t>DAESANG CORP</t>
  </si>
  <si>
    <t>REN JIAN 20</t>
  </si>
  <si>
    <t>0015E</t>
  </si>
  <si>
    <t>FROZEN CHICKEN FEET 35G 2X  7.5KG</t>
  </si>
  <si>
    <t>COSU6344754099</t>
    <phoneticPr fontId="31" type="noConversion"/>
  </si>
  <si>
    <t>보세조사</t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</si>
  <si>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</si>
  <si>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</si>
  <si>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</si>
  <si>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</si>
  <si>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</si>
  <si>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</si>
  <si>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</si>
  <si>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수월한 주식회사</t>
  </si>
  <si>
    <t>수월한</t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</si>
  <si>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</si>
  <si>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</si>
  <si>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</si>
  <si>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세모푸드</t>
    <phoneticPr fontId="31" type="noConversion"/>
  </si>
  <si>
    <t>브랜드관련</t>
  </si>
  <si>
    <t>JW엔지니어링</t>
  </si>
  <si>
    <t>경남99바4064</t>
  </si>
  <si>
    <t>25EVER6351I-0515-</t>
  </si>
  <si>
    <t>EGLV360500160362</t>
  </si>
  <si>
    <t>030D1010007025011234</t>
  </si>
  <si>
    <t>ASTROS CORPORATION</t>
  </si>
  <si>
    <t>EVER VIVE</t>
  </si>
  <si>
    <t>2051-01</t>
  </si>
  <si>
    <t>EMCU5704530</t>
  </si>
  <si>
    <t>FROZEN CHICKEN WHOLE LEG</t>
  </si>
  <si>
    <t>MAEU914566947</t>
    <phoneticPr fontId="31" type="noConversion"/>
  </si>
  <si>
    <t>세관봉인대</t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</si>
  <si>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</si>
  <si>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</si>
  <si>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</si>
  <si>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</si>
  <si>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</si>
  <si>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</si>
  <si>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</si>
  <si>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</si>
  <si>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</si>
  <si>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아스트로스</t>
    <phoneticPr fontId="31" type="noConversion"/>
  </si>
  <si>
    <t>아스트로스</t>
    <phoneticPr fontId="1" type="noConversion"/>
  </si>
  <si>
    <t>AU</t>
  </si>
  <si>
    <t>KBM푸드</t>
  </si>
  <si>
    <t>울산99바1617</t>
  </si>
  <si>
    <t>25MAEU0808I-1123-</t>
  </si>
  <si>
    <t>MAEUJBS288748</t>
  </si>
  <si>
    <t>030D1039008025009651</t>
  </si>
  <si>
    <t>EMART INC.</t>
  </si>
  <si>
    <t>MNBU4348955</t>
  </si>
  <si>
    <t>1908 CARTONS WITH  22896 KG NET WEIGHT OF FROZEN C</t>
  </si>
  <si>
    <t>MCPU914665695</t>
    <phoneticPr fontId="31" type="noConversion"/>
  </si>
  <si>
    <t>윙스틱40/55G</t>
    <phoneticPr fontId="31" type="noConversion"/>
  </si>
  <si>
    <t>Sheet2</t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</si>
  <si>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</si>
  <si>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</si>
  <si>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</si>
  <si>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</si>
  <si>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</si>
  <si>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주식회사 아스트로스</t>
  </si>
  <si>
    <t>아스트로스</t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</si>
  <si>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</si>
  <si>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</si>
  <si>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</si>
  <si>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㈜에쓰더블유푸드</t>
  </si>
  <si>
    <t>SW푸드</t>
    <phoneticPr fontId="1" type="noConversion"/>
  </si>
  <si>
    <t>LA</t>
  </si>
  <si>
    <t>KJ상사</t>
  </si>
  <si>
    <t>부산99사5641</t>
  </si>
  <si>
    <t>25PILK0099I-1105-0001</t>
  </si>
  <si>
    <t>SAIPUS202510005124</t>
  </si>
  <si>
    <t>030D1030F66025305542</t>
  </si>
  <si>
    <t>ARA TRADING CO., LTD</t>
  </si>
  <si>
    <t>KOTA CAHAYA</t>
  </si>
  <si>
    <t>091E</t>
  </si>
  <si>
    <t>OTPU6760681</t>
  </si>
  <si>
    <t>GIANT SQUID FILLET</t>
  </si>
  <si>
    <t>SUDU62SSZ070472C</t>
    <phoneticPr fontId="31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</si>
  <si>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</si>
  <si>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</si>
  <si>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</si>
  <si>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</si>
  <si>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</si>
  <si>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㈜열호통상</t>
  </si>
  <si>
    <t>열호통상</t>
  </si>
  <si>
    <t>열호통상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</si>
  <si>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</si>
  <si>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</si>
  <si>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</si>
  <si>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SA</t>
  </si>
  <si>
    <t>KTSC</t>
  </si>
  <si>
    <t>경북98아1652</t>
  </si>
  <si>
    <t>25CCAS0410I-2039-</t>
  </si>
  <si>
    <t>ASC0493041</t>
  </si>
  <si>
    <t>030D1030F66025505004</t>
  </si>
  <si>
    <t>WOOWON HOLDINGS INC</t>
  </si>
  <si>
    <t>CNC PANTHER</t>
  </si>
  <si>
    <t>0K80PS1</t>
  </si>
  <si>
    <t>TRIU6629272</t>
  </si>
  <si>
    <t>SHRIMP BALL</t>
  </si>
  <si>
    <t>ONEYSAOC41518301</t>
    <phoneticPr fontId="31" type="noConversion"/>
  </si>
  <si>
    <t>PA다리살</t>
    <phoneticPr fontId="31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</si>
  <si>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</si>
  <si>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</si>
  <si>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</si>
  <si>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</si>
  <si>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</si>
  <si>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㈜오케이푸드</t>
  </si>
  <si>
    <t>오케이푸드</t>
  </si>
  <si>
    <t>오케이푸드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</si>
  <si>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</si>
  <si>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</si>
  <si>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OK푸드</t>
    <phoneticPr fontId="1" type="noConversion"/>
  </si>
  <si>
    <t>BR</t>
  </si>
  <si>
    <t>MH수산</t>
  </si>
  <si>
    <t>부산99사5141</t>
  </si>
  <si>
    <t>25CCAS0410I-2035-</t>
  </si>
  <si>
    <t>ASC0491893</t>
  </si>
  <si>
    <t>030D1030F66025505003</t>
  </si>
  <si>
    <t>TRIU6718981</t>
  </si>
  <si>
    <t>BLACK TIGER CHEESE SHRIMP</t>
  </si>
  <si>
    <t>MAEU914597712</t>
    <phoneticPr fontId="31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</si>
  <si>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</si>
  <si>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</si>
  <si>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</si>
  <si>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</si>
  <si>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</si>
  <si>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</si>
  <si>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㈜이마트</t>
  </si>
  <si>
    <t>이마트</t>
    <phoneticPr fontId="1" type="noConversion"/>
  </si>
  <si>
    <t>SR</t>
  </si>
  <si>
    <t>MJ상사</t>
  </si>
  <si>
    <t>부산99사9831</t>
  </si>
  <si>
    <t>25CCAS0410I-2036-</t>
  </si>
  <si>
    <t>ASC0491969</t>
  </si>
  <si>
    <t>030D1030F66025505002</t>
  </si>
  <si>
    <t>CGMU3079130</t>
  </si>
  <si>
    <t>BREADED SHRIMP</t>
  </si>
  <si>
    <t>MAEU914563961</t>
    <phoneticPr fontId="31" type="noConversion"/>
  </si>
  <si>
    <t>모듈</t>
  </si>
  <si>
    <t>일정</t>
  </si>
  <si>
    <t>$Q$6</t>
  </si>
  <si>
    <t>$H$16</t>
  </si>
  <si>
    <t>OKFOOD CO. LTD</t>
    <phoneticPr fontId="1" type="noConversion"/>
  </si>
  <si>
    <t>OKFOOD CO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</si>
  <si>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</si>
  <si>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</si>
  <si>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㈜현대그린푸드 영남센터</t>
  </si>
  <si>
    <t>현대그린</t>
    <phoneticPr fontId="1" type="noConversion"/>
  </si>
  <si>
    <t>엠제이씨푸드</t>
    <phoneticPr fontId="1" type="noConversion"/>
  </si>
  <si>
    <t>경남99사2593</t>
  </si>
  <si>
    <t>25MAEU0811I-1237-</t>
  </si>
  <si>
    <t>MAEUSSZ795333</t>
  </si>
  <si>
    <t>030D1016321025001478</t>
  </si>
  <si>
    <t>DAESANG CORPORATION  1F 9</t>
  </si>
  <si>
    <t>MAERSK CAP JERVIS</t>
  </si>
  <si>
    <t>549N</t>
  </si>
  <si>
    <t>MNBU0123863</t>
  </si>
  <si>
    <t>1980 CARTONS FROZEN CHICKEN BONELESS LEG MEAT N.C.</t>
  </si>
  <si>
    <t>㈜이마트</t>
    <phoneticPr fontId="31" type="noConversion"/>
  </si>
  <si>
    <t>SUDU62ITJ008273X</t>
    <phoneticPr fontId="31" type="noConversion"/>
  </si>
  <si>
    <t>SR조각정육</t>
    <phoneticPr fontId="31" type="noConversion"/>
  </si>
  <si>
    <t>$A$13</t>
  </si>
  <si>
    <t>$Z$6</t>
  </si>
  <si>
    <t>$A$17</t>
  </si>
  <si>
    <t>E-MART INC</t>
    <phoneticPr fontId="1" type="noConversion"/>
  </si>
  <si>
    <t>이마트</t>
  </si>
  <si>
    <t>FROZEN RAW VANNAMEI  PD TAIL OFF030617</t>
    <phoneticPr fontId="1" type="noConversion"/>
  </si>
  <si>
    <t>FROZEN RAW VANNAMEI</t>
    <phoneticPr fontId="1" type="noConversion"/>
  </si>
  <si>
    <t>㈜화승네트웍스서울사무소</t>
  </si>
  <si>
    <t>화승네트</t>
    <phoneticPr fontId="1" type="noConversion"/>
  </si>
  <si>
    <t>MK씨푸드</t>
  </si>
  <si>
    <t>부산98바8271</t>
  </si>
  <si>
    <t>25ONEY1545I-0744-</t>
  </si>
  <si>
    <t>HDMUSGNA77191502</t>
  </si>
  <si>
    <t>030D1030F66025505006</t>
  </si>
  <si>
    <t>WOOWON HOLDINGS INC  (MULLAE SK V1C</t>
  </si>
  <si>
    <t>TEXU9033956</t>
  </si>
  <si>
    <t>FROZEN RAW VANNAMEI SHRIMP  FOR SUSHI</t>
  </si>
  <si>
    <t>MAEUJBS164418</t>
    <phoneticPr fontId="31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</si>
  <si>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</si>
  <si>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</si>
  <si>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</si>
  <si>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</si>
  <si>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</si>
  <si>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</si>
  <si>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</si>
  <si>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케이티에스씨 (KTSC)</t>
  </si>
  <si>
    <t>KTSC</t>
    <phoneticPr fontId="1" type="noConversion"/>
  </si>
  <si>
    <t>다리살장각</t>
  </si>
  <si>
    <t>OB무역</t>
  </si>
  <si>
    <t>경남99사2539</t>
  </si>
  <si>
    <t>25HDMUA662I-0053-</t>
  </si>
  <si>
    <t>HDMUSGNA62646800</t>
  </si>
  <si>
    <t>030D1030F66025505005</t>
  </si>
  <si>
    <t>WOOWON HOLDINGS INC.</t>
  </si>
  <si>
    <t>HMM MIR</t>
  </si>
  <si>
    <t>0019E</t>
  </si>
  <si>
    <t>HMMU5200450</t>
  </si>
  <si>
    <t>FROZEN VANNAMEI SHRIMP PTO SUSHI, FROZEN BOILED OC</t>
  </si>
  <si>
    <t>MAEUSSZ746649</t>
    <phoneticPr fontId="31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</si>
  <si>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</si>
  <si>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</si>
  <si>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</si>
  <si>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</si>
  <si>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</si>
  <si>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</si>
  <si>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</si>
  <si>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</si>
  <si>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순번위로</t>
    <phoneticPr fontId="1" type="noConversion"/>
  </si>
  <si>
    <t>CUT BABY OCTOPUS</t>
  </si>
  <si>
    <t>절단주꾸미</t>
    <phoneticPr fontId="1" type="noConversion"/>
  </si>
  <si>
    <t>현대코퍼레이션홀딩스㈜경기지사</t>
  </si>
  <si>
    <t>현대코퍼</t>
    <phoneticPr fontId="1" type="noConversion"/>
  </si>
  <si>
    <t>다리살</t>
  </si>
  <si>
    <t>SF트레이딩</t>
  </si>
  <si>
    <t>부산98바8139</t>
  </si>
  <si>
    <t>25MSCU2300I-0023-</t>
  </si>
  <si>
    <t>MEDURU182545</t>
  </si>
  <si>
    <t>030D1030007025203727</t>
  </si>
  <si>
    <t>SEHYUN CORP</t>
  </si>
  <si>
    <t>MSC LEO VI</t>
  </si>
  <si>
    <t>GE548E</t>
  </si>
  <si>
    <t>MEDU9004170</t>
  </si>
  <si>
    <t>NET WEIGHT: 22,640 KG FROZEN GIANT SQUID FILLETS(D</t>
  </si>
  <si>
    <t>㈜뉴아시아  (동일)</t>
    <phoneticPr fontId="31" type="noConversion"/>
  </si>
  <si>
    <t>ONEYSAOC44466802</t>
    <phoneticPr fontId="31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</si>
  <si>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</si>
  <si>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</si>
  <si>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</si>
  <si>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</si>
  <si>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</si>
  <si>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</si>
  <si>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</si>
  <si>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</si>
  <si>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</si>
  <si>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CUT POULP SQUID</t>
    <phoneticPr fontId="1" type="noConversion"/>
  </si>
  <si>
    <t>절단낙지</t>
    <phoneticPr fontId="1" type="noConversion"/>
  </si>
  <si>
    <t>효성푸드 주식회사</t>
    <phoneticPr fontId="31" type="noConversion"/>
  </si>
  <si>
    <t>효성푸드</t>
    <phoneticPr fontId="1" type="noConversion"/>
  </si>
  <si>
    <t>장각</t>
  </si>
  <si>
    <t>SH푸드</t>
  </si>
  <si>
    <t>경남99바9463</t>
  </si>
  <si>
    <t>25ONEY1507I-5013-</t>
  </si>
  <si>
    <t>ONEYSAOF52495500</t>
  </si>
  <si>
    <t>030D1030N03025U01017</t>
  </si>
  <si>
    <t>HYUNDAI CORPORATION HOLDINGS  CO.,L</t>
  </si>
  <si>
    <t>ONE CONTRIBUTION</t>
  </si>
  <si>
    <t>0063E</t>
  </si>
  <si>
    <t>ONEU9103346</t>
  </si>
  <si>
    <t>FROZEN CHICKEN BONELESS LEG MEAT</t>
  </si>
  <si>
    <t>MAEUJBS164857</t>
    <phoneticPr fontId="31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</si>
  <si>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</si>
  <si>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</si>
  <si>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</si>
  <si>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</si>
  <si>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</si>
  <si>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</si>
  <si>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</si>
  <si>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현대그린</t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</si>
  <si>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</si>
  <si>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</si>
  <si>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</si>
  <si>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(주)에쓰더블유푸드 (동일)</t>
  </si>
  <si>
    <t>닭발</t>
  </si>
  <si>
    <t>SJ씨푸드</t>
  </si>
  <si>
    <t>경남99바5961</t>
  </si>
  <si>
    <t>25HDMUA672I-0006-</t>
  </si>
  <si>
    <t>HLCUPN4250975176</t>
  </si>
  <si>
    <t>030D1030N03025U01019</t>
  </si>
  <si>
    <t>SEASPAN BRAVO</t>
  </si>
  <si>
    <t>0101E</t>
  </si>
  <si>
    <t>TEMU9040859</t>
  </si>
  <si>
    <t>01 X 40 CONTAINER SAID TO CONTAIN 1916 CARTONS OFF</t>
  </si>
  <si>
    <t>HASLS22221101955</t>
    <phoneticPr fontId="31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</si>
  <si>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</si>
  <si>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</si>
  <si>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</si>
  <si>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</si>
  <si>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</si>
  <si>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</si>
  <si>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</si>
  <si>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</si>
  <si>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</si>
  <si>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</si>
  <si>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㈜디케이통상 (동일)</t>
    <phoneticPr fontId="1" type="noConversion"/>
  </si>
  <si>
    <t>DK통상</t>
    <phoneticPr fontId="1" type="noConversion"/>
  </si>
  <si>
    <t>근위</t>
  </si>
  <si>
    <t>경남99사2518</t>
  </si>
  <si>
    <t>25ONEY1507I-5035-</t>
  </si>
  <si>
    <t>ONEYSAOF55412401</t>
  </si>
  <si>
    <t>030D1030N03025U01018</t>
  </si>
  <si>
    <t>TTNU8740871</t>
  </si>
  <si>
    <t>FROZEN CHICKEN WHOLE LEG BONELESS SKIN ON</t>
  </si>
  <si>
    <t>MAEU914630141</t>
    <phoneticPr fontId="31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</si>
  <si>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</si>
  <si>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</si>
  <si>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</si>
  <si>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</si>
  <si>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</si>
  <si>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</si>
  <si>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</si>
  <si>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</si>
  <si>
    <t>FROZEN JUMBO FLYING SQUID FINS(DOSIDICUS GIGAS)</t>
    <phoneticPr fontId="1" type="noConversion"/>
  </si>
  <si>
    <t>FLYING SQUID</t>
    <phoneticPr fontId="1" type="noConversion"/>
  </si>
  <si>
    <t>㈜디케이통상</t>
    <phoneticPr fontId="1" type="noConversion"/>
  </si>
  <si>
    <t>STX</t>
  </si>
  <si>
    <t>경기98자1851</t>
  </si>
  <si>
    <t>HDMUSAOA83404903</t>
    <phoneticPr fontId="31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</si>
  <si>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</si>
  <si>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</si>
  <si>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</si>
  <si>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</si>
  <si>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</si>
  <si>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</si>
  <si>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</si>
  <si>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</si>
  <si>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FROZEN SQUID</t>
    <phoneticPr fontId="1" type="noConversion"/>
  </si>
  <si>
    <t>㈜디케이통상 (대홍)</t>
    <phoneticPr fontId="1" type="noConversion"/>
  </si>
  <si>
    <t>곱하기관련</t>
  </si>
  <si>
    <t>값</t>
  </si>
  <si>
    <t>SW푸드</t>
  </si>
  <si>
    <t>경북98아1735</t>
  </si>
  <si>
    <t>HDMUSAOA83404907</t>
    <phoneticPr fontId="31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</si>
  <si>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</si>
  <si>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</si>
  <si>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</si>
  <si>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</si>
  <si>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</si>
  <si>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</si>
  <si>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</si>
  <si>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</si>
  <si>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</si>
  <si>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BOILED GIANT SQUID FILLET (S)160554</t>
    <phoneticPr fontId="1" type="noConversion"/>
  </si>
  <si>
    <t>SQUID</t>
    <phoneticPr fontId="1" type="noConversion"/>
  </si>
  <si>
    <t>㈜뉴아시아 (수월한)</t>
  </si>
  <si>
    <t>1ST</t>
  </si>
  <si>
    <t>TYF</t>
  </si>
  <si>
    <t>경남99사2553</t>
  </si>
  <si>
    <t>COSU6345152736</t>
    <phoneticPr fontId="31" type="noConversion"/>
  </si>
  <si>
    <t>닭발(1500)
날개15KG(5)
날개12KG(5)</t>
    <phoneticPr fontId="31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</si>
  <si>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</si>
  <si>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</si>
  <si>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</si>
  <si>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</si>
  <si>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</si>
  <si>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</si>
  <si>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</si>
  <si>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YELLOW FIN SOLE</t>
    <phoneticPr fontId="1" type="noConversion"/>
  </si>
  <si>
    <t>FROZEN YELLOW FIN</t>
    <phoneticPr fontId="1" type="noConversion"/>
  </si>
  <si>
    <t>가자미</t>
    <phoneticPr fontId="1" type="noConversion"/>
  </si>
  <si>
    <t>수월한 주식회사 (뉴아시아)</t>
    <phoneticPr fontId="1" type="noConversion"/>
  </si>
  <si>
    <t>2ST</t>
  </si>
  <si>
    <t>YWM코퍼</t>
  </si>
  <si>
    <t>경남99사2547</t>
  </si>
  <si>
    <t>ONEYSAOC43964300</t>
    <phoneticPr fontId="31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</si>
  <si>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</si>
  <si>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</si>
  <si>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</si>
  <si>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</si>
  <si>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</si>
  <si>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</si>
  <si>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</si>
  <si>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</si>
  <si>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</si>
  <si>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</si>
  <si>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</si>
  <si>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수월한 주식회사 (동일)</t>
    <phoneticPr fontId="1" type="noConversion"/>
  </si>
  <si>
    <t>3ST</t>
  </si>
  <si>
    <t>갑부유통</t>
  </si>
  <si>
    <t>부산99사8453</t>
  </si>
  <si>
    <t>MEDUP1324326</t>
    <phoneticPr fontId="31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</si>
  <si>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</si>
  <si>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</si>
  <si>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</si>
  <si>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</si>
  <si>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</si>
  <si>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</si>
  <si>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</si>
  <si>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</si>
  <si>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</si>
  <si>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</si>
  <si>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</si>
  <si>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씨제이프레시웨이㈜</t>
    <phoneticPr fontId="1" type="noConversion"/>
  </si>
  <si>
    <t>씨제이</t>
    <phoneticPr fontId="1" type="noConversion"/>
  </si>
  <si>
    <t>없음</t>
  </si>
  <si>
    <t>X</t>
  </si>
  <si>
    <t>글로벌씨푸드</t>
  </si>
  <si>
    <t>경남99바4180</t>
  </si>
  <si>
    <t>SUDU62SSZ072016K</t>
    <phoneticPr fontId="31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</si>
  <si>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</si>
  <si>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</si>
  <si>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</si>
  <si>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</si>
  <si>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</si>
  <si>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</si>
  <si>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</si>
  <si>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</si>
  <si>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PINEAPPLE CUT CUTTLEFISH</t>
    <phoneticPr fontId="1" type="noConversion"/>
  </si>
  <si>
    <t>CUT CUTTLEFISH</t>
    <phoneticPr fontId="1" type="noConversion"/>
  </si>
  <si>
    <t>대한제당㈜서울사무소</t>
    <phoneticPr fontId="1" type="noConversion"/>
  </si>
  <si>
    <t>대한제당(서울)</t>
    <phoneticPr fontId="1" type="noConversion"/>
  </si>
  <si>
    <t>기본값(EX:2ST-2, 없음:4))</t>
  </si>
  <si>
    <t>금수산</t>
  </si>
  <si>
    <t>부산99사6713</t>
  </si>
  <si>
    <t>CUR0241167D</t>
    <phoneticPr fontId="31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</si>
  <si>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</si>
  <si>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</si>
  <si>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</si>
  <si>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</si>
  <si>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</si>
  <si>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</si>
  <si>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</si>
  <si>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</si>
  <si>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</si>
  <si>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</si>
  <si>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</si>
  <si>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㈜더맛있는하루</t>
    <phoneticPr fontId="1" type="noConversion"/>
  </si>
  <si>
    <t>더맛하</t>
    <phoneticPr fontId="1" type="noConversion"/>
  </si>
  <si>
    <t>나주수산</t>
  </si>
  <si>
    <t>부산99바8057</t>
  </si>
  <si>
    <t>MEDUTX337420</t>
    <phoneticPr fontId="31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</si>
  <si>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</si>
  <si>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</si>
  <si>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</si>
  <si>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</si>
  <si>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</si>
  <si>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HALF CUT BLUE SWIMMING CRAB</t>
    <phoneticPr fontId="1" type="noConversion"/>
  </si>
  <si>
    <t>CRAB</t>
    <phoneticPr fontId="1" type="noConversion"/>
  </si>
  <si>
    <t>게</t>
    <phoneticPr fontId="1" type="noConversion"/>
  </si>
  <si>
    <t>품명관련</t>
  </si>
  <si>
    <t>남극이야기</t>
  </si>
  <si>
    <t>전남98사7405</t>
  </si>
  <si>
    <t>MAEU914650508</t>
    <phoneticPr fontId="31" type="noConversion"/>
  </si>
  <si>
    <t>$M$10</t>
  </si>
  <si>
    <t>$C$26</t>
  </si>
  <si>
    <t>CHC INTERENATIONAL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</si>
  <si>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</si>
  <si>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</si>
  <si>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</si>
  <si>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노벨유통</t>
  </si>
  <si>
    <t>경남99바3934</t>
  </si>
  <si>
    <t>㈜오케이푸드</t>
    <phoneticPr fontId="31" type="noConversion"/>
  </si>
  <si>
    <t>MAEUJBS166726</t>
    <phoneticPr fontId="31" type="noConversion"/>
  </si>
  <si>
    <t>$V$10</t>
  </si>
  <si>
    <t>$H$26</t>
  </si>
  <si>
    <t>CHC.CO.,LTD.</t>
    <phoneticPr fontId="1" type="noConversion"/>
  </si>
  <si>
    <t>FROZEN BABY OCTOPUS WHOLE CLEAN</t>
    <phoneticPr fontId="1" type="noConversion"/>
  </si>
  <si>
    <t>BABY OCTOPUS</t>
    <phoneticPr fontId="1" type="noConversion"/>
  </si>
  <si>
    <t>주꾸미</t>
    <phoneticPr fontId="1" type="noConversion"/>
  </si>
  <si>
    <t>돈육</t>
  </si>
  <si>
    <t>경북98아1638</t>
  </si>
  <si>
    <t>CUR0241104C</t>
    <phoneticPr fontId="31" type="noConversion"/>
  </si>
  <si>
    <t>NA다리살</t>
    <phoneticPr fontId="31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</si>
  <si>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</si>
  <si>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</si>
  <si>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</si>
  <si>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</si>
  <si>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</si>
  <si>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</si>
  <si>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</si>
  <si>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우육</t>
  </si>
  <si>
    <t>다빈에스티</t>
  </si>
  <si>
    <t>부산98사7343</t>
  </si>
  <si>
    <t>CUR0241104B</t>
    <phoneticPr fontId="31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</si>
  <si>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</si>
  <si>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</si>
  <si>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</si>
  <si>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</si>
  <si>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</si>
  <si>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</si>
  <si>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</si>
  <si>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</si>
  <si>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</si>
  <si>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기본값(EX:2ST-2, 3ST-3)</t>
  </si>
  <si>
    <t>대도무역</t>
  </si>
  <si>
    <t>인천99아8498</t>
  </si>
  <si>
    <t>CUR0241104A</t>
    <phoneticPr fontId="31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</si>
  <si>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</si>
  <si>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</si>
  <si>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</si>
  <si>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</si>
  <si>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</si>
  <si>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</si>
  <si>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</si>
  <si>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</si>
  <si>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여기서 바꾸면 폼에 실행시 반영됨.회색수정</t>
  </si>
  <si>
    <t>대림FNT</t>
  </si>
  <si>
    <t>부산98사2152</t>
  </si>
  <si>
    <t>HDMUSAOA61604209</t>
    <phoneticPr fontId="31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</si>
  <si>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</si>
  <si>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</si>
  <si>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</si>
  <si>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</si>
  <si>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</si>
  <si>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</si>
  <si>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</si>
  <si>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</si>
  <si>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원산지관련</t>
  </si>
  <si>
    <t>대상 주식회사</t>
    <phoneticPr fontId="1" type="noConversion"/>
  </si>
  <si>
    <t>부산99사9569</t>
  </si>
  <si>
    <t>CUR0242869A</t>
    <phoneticPr fontId="31" type="noConversion"/>
  </si>
  <si>
    <t>PA다리살(185)
SA다리살(1269)
PA다리살(526)</t>
    <phoneticPr fontId="31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</si>
  <si>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</si>
  <si>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</si>
  <si>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</si>
  <si>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</si>
  <si>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</si>
  <si>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</si>
  <si>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</si>
  <si>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브라질</t>
  </si>
  <si>
    <t>브</t>
  </si>
  <si>
    <t>부산98사1817</t>
  </si>
  <si>
    <t>MAEUSSZ747596</t>
    <phoneticPr fontId="31" type="noConversion"/>
  </si>
  <si>
    <t>$A$30</t>
  </si>
  <si>
    <t>C.K.GLOBAL CO., LTD.</t>
    <phoneticPr fontId="1" type="noConversion"/>
  </si>
  <si>
    <t>C.K.GLOBAL</t>
    <phoneticPr fontId="1" type="noConversion"/>
  </si>
  <si>
    <t>FROZEN MONK FISH</t>
    <phoneticPr fontId="1" type="noConversion"/>
  </si>
  <si>
    <t>MONK FISH</t>
    <phoneticPr fontId="1" type="noConversion"/>
  </si>
  <si>
    <t>미국</t>
  </si>
  <si>
    <t>미</t>
  </si>
  <si>
    <t>대와</t>
  </si>
  <si>
    <t>부산98사8847</t>
  </si>
  <si>
    <t>㈜현대그린푸드 영남센터</t>
    <phoneticPr fontId="31" type="noConversion"/>
  </si>
  <si>
    <t>MAEU609343102</t>
    <phoneticPr fontId="31" type="noConversion"/>
  </si>
  <si>
    <t>LA다리살</t>
    <phoneticPr fontId="31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</si>
  <si>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</si>
  <si>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</si>
  <si>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</si>
  <si>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</si>
  <si>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</si>
  <si>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</si>
  <si>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</si>
  <si>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태국</t>
  </si>
  <si>
    <t>태</t>
  </si>
  <si>
    <t>대한제당</t>
  </si>
  <si>
    <t>부산99사7776</t>
  </si>
  <si>
    <t>㈜대성무역</t>
    <phoneticPr fontId="31" type="noConversion"/>
  </si>
  <si>
    <t>SUDU62ITJ030216B</t>
    <phoneticPr fontId="31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</si>
  <si>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</si>
  <si>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</si>
  <si>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</si>
  <si>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</si>
  <si>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FROZEN CAPELIN</t>
    <phoneticPr fontId="1" type="noConversion"/>
  </si>
  <si>
    <t>CAPELIN</t>
    <phoneticPr fontId="1" type="noConversion"/>
  </si>
  <si>
    <t>열빙어</t>
    <phoneticPr fontId="1" type="noConversion"/>
  </si>
  <si>
    <t>중국</t>
  </si>
  <si>
    <t>중</t>
  </si>
  <si>
    <t>대홍</t>
  </si>
  <si>
    <t>울산99바8205</t>
  </si>
  <si>
    <t>MEDUP1328103</t>
    <phoneticPr fontId="31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</si>
  <si>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</si>
  <si>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</si>
  <si>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</si>
  <si>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</si>
  <si>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</si>
  <si>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</si>
  <si>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</si>
  <si>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</si>
  <si>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기본값 (순번기록, EX:1-1번째값)</t>
  </si>
  <si>
    <t>더맛있는하루</t>
  </si>
  <si>
    <t>부산90자2657</t>
  </si>
  <si>
    <t>ONEYSAOC44988305</t>
    <phoneticPr fontId="31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</si>
  <si>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</si>
  <si>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</si>
  <si>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</si>
  <si>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</si>
  <si>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</si>
  <si>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</si>
  <si>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</si>
  <si>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</si>
  <si>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더원SF</t>
  </si>
  <si>
    <t>경기99바5974</t>
  </si>
  <si>
    <t>ONEYSAOC46421800</t>
    <phoneticPr fontId="31" type="noConversion"/>
  </si>
  <si>
    <t>$E$26</t>
  </si>
  <si>
    <t>$Y$12</t>
  </si>
  <si>
    <t>$J$32</t>
  </si>
  <si>
    <t>CHUNBU SEAFOOD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</si>
  <si>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</si>
  <si>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</si>
  <si>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</si>
  <si>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더인</t>
  </si>
  <si>
    <t>울산99바4722</t>
  </si>
  <si>
    <t>MEDUAJ530446</t>
    <phoneticPr fontId="31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</si>
  <si>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</si>
  <si>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</si>
  <si>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</si>
  <si>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</si>
  <si>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</si>
  <si>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</si>
  <si>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</si>
  <si>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</si>
  <si>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</si>
  <si>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도오수이</t>
  </si>
  <si>
    <t>경남99사2567</t>
  </si>
  <si>
    <t>ONEYSAOC45278308</t>
    <phoneticPr fontId="31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</si>
  <si>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</si>
  <si>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</si>
  <si>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</si>
  <si>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</si>
  <si>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</si>
  <si>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</si>
  <si>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</si>
  <si>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</si>
  <si>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</si>
  <si>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</si>
  <si>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부산99바1805</t>
  </si>
  <si>
    <t>HLCUPN4221061020</t>
    <phoneticPr fontId="31" type="noConversion"/>
  </si>
  <si>
    <t>MN닭발</t>
    <phoneticPr fontId="31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</si>
  <si>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</si>
  <si>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</si>
  <si>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</si>
  <si>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</si>
  <si>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</si>
  <si>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</si>
  <si>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</si>
  <si>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</si>
  <si>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</si>
  <si>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(주)동림수산</t>
    <phoneticPr fontId="1" type="noConversion"/>
  </si>
  <si>
    <t>부산99사6530</t>
  </si>
  <si>
    <t>HLCUPN4221059377</t>
    <phoneticPr fontId="31" type="noConversion"/>
  </si>
  <si>
    <t>$E$27</t>
  </si>
  <si>
    <t>$L$15</t>
  </si>
  <si>
    <t>$H$35</t>
  </si>
  <si>
    <t>GK TRADING</t>
    <phoneticPr fontId="1" type="noConversion"/>
  </si>
  <si>
    <t>GK교역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</si>
  <si>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</si>
  <si>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</si>
  <si>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</si>
  <si>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동서수산</t>
  </si>
  <si>
    <t>경남99사4816</t>
  </si>
  <si>
    <t>ONEYSAOC45726801</t>
    <phoneticPr fontId="31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</si>
  <si>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</si>
  <si>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</si>
  <si>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</si>
  <si>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</si>
  <si>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</si>
  <si>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</si>
  <si>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FROZEN YELLOWFIN SOLE H G</t>
    <phoneticPr fontId="1" type="noConversion"/>
  </si>
  <si>
    <t>YELLOWFIN SOLE</t>
    <phoneticPr fontId="1" type="noConversion"/>
  </si>
  <si>
    <t>동영푸드</t>
  </si>
  <si>
    <t>부산98사4026</t>
  </si>
  <si>
    <t>MAEUJBS167372</t>
    <phoneticPr fontId="31" type="noConversion"/>
  </si>
  <si>
    <t>$L$27</t>
  </si>
  <si>
    <t>$AE$15</t>
  </si>
  <si>
    <t>$H$36</t>
  </si>
  <si>
    <t>JH TRADING</t>
    <phoneticPr fontId="1" type="noConversion"/>
  </si>
  <si>
    <t>JH트레이딩</t>
    <phoneticPr fontId="1" type="noConversion"/>
  </si>
  <si>
    <t>FROZEN BOILED MELANIA SNAIL MEAT</t>
    <phoneticPr fontId="1" type="noConversion"/>
  </si>
  <si>
    <t>SNAIL MEAT</t>
    <phoneticPr fontId="1" type="noConversion"/>
  </si>
  <si>
    <t>다슬기</t>
    <phoneticPr fontId="1" type="noConversion"/>
  </si>
  <si>
    <t>부산90아8957</t>
  </si>
  <si>
    <t>MAEU914662907</t>
    <phoneticPr fontId="31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</si>
  <si>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</si>
  <si>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</si>
  <si>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</si>
  <si>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</si>
  <si>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KBM푸드</t>
    <phoneticPr fontId="1" type="noConversion"/>
  </si>
  <si>
    <t>DRIED ALASKA POLLACK SILK</t>
    <phoneticPr fontId="1" type="noConversion"/>
  </si>
  <si>
    <t>POLLACK</t>
    <phoneticPr fontId="1" type="noConversion"/>
  </si>
  <si>
    <t>명태</t>
    <phoneticPr fontId="1" type="noConversion"/>
  </si>
  <si>
    <t>동원수산</t>
  </si>
  <si>
    <t>경남99바7344</t>
  </si>
  <si>
    <t>CUR0241900A</t>
    <phoneticPr fontId="31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</si>
  <si>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</si>
  <si>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</si>
  <si>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</si>
  <si>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</si>
  <si>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</si>
  <si>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</si>
  <si>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</si>
  <si>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</si>
  <si>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</si>
  <si>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부산98사1620</t>
  </si>
  <si>
    <t>MAEU914663701</t>
    <phoneticPr fontId="31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</si>
  <si>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</si>
  <si>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</si>
  <si>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</si>
  <si>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</si>
  <si>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</si>
  <si>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</si>
  <si>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BLANCHED FROZEN ARCTIC SURF CLAM B</t>
    <phoneticPr fontId="1" type="noConversion"/>
  </si>
  <si>
    <t>SURF CLAM</t>
    <phoneticPr fontId="1" type="noConversion"/>
  </si>
  <si>
    <t>동일</t>
  </si>
  <si>
    <t>부산99사4419</t>
  </si>
  <si>
    <t>㈜동원홈푸드</t>
    <phoneticPr fontId="31" type="noConversion"/>
  </si>
  <si>
    <t>SUDU62ITJ030352E</t>
    <phoneticPr fontId="31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</si>
  <si>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</si>
  <si>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</si>
  <si>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</si>
  <si>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</si>
  <si>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</si>
  <si>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</si>
  <si>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</si>
  <si>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</si>
  <si>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동일냉장</t>
  </si>
  <si>
    <t>부산99바6480</t>
  </si>
  <si>
    <t>SUDU62ITJ030352G</t>
    <phoneticPr fontId="31" type="noConversion"/>
  </si>
  <si>
    <t>$T$16</t>
  </si>
  <si>
    <t>SM TRADING</t>
    <phoneticPr fontId="1" type="noConversion"/>
  </si>
  <si>
    <t>SM트레이딩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</si>
  <si>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</si>
  <si>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</si>
  <si>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</si>
  <si>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</si>
  <si>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대구98바2616</t>
  </si>
  <si>
    <t>MAEU914664432</t>
    <phoneticPr fontId="31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</si>
  <si>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</si>
  <si>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</si>
  <si>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</si>
  <si>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</si>
  <si>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</si>
  <si>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두진상사</t>
  </si>
  <si>
    <t>전남98사7341</t>
  </si>
  <si>
    <t>MAEU914675235</t>
    <phoneticPr fontId="31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</si>
  <si>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</si>
  <si>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</si>
  <si>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</si>
  <si>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디케이통상</t>
  </si>
  <si>
    <t>부산99사6495</t>
  </si>
  <si>
    <t>SUDU62ITJ030352B</t>
    <phoneticPr fontId="31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</si>
  <si>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</si>
  <si>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</si>
  <si>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</si>
  <si>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</si>
  <si>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</si>
  <si>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땡큐무역</t>
  </si>
  <si>
    <t>부산99사2826</t>
  </si>
  <si>
    <t>㈜열호통상</t>
    <phoneticPr fontId="31" type="noConversion"/>
  </si>
  <si>
    <t>MAEUJBS167799</t>
    <phoneticPr fontId="1" type="noConversion"/>
  </si>
  <si>
    <t>계육</t>
    <phoneticPr fontId="1" type="noConversion"/>
  </si>
  <si>
    <t>SR다리살</t>
    <phoneticPr fontId="1" type="noConversion"/>
  </si>
  <si>
    <t>브라질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</si>
  <si>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</si>
  <si>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</si>
  <si>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</si>
  <si>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</si>
  <si>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라온</t>
  </si>
  <si>
    <t>경남99사2126</t>
  </si>
  <si>
    <t>SUDU62SSZ080765O</t>
    <phoneticPr fontId="1" type="noConversion"/>
  </si>
  <si>
    <t>AU다리살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</si>
  <si>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</si>
  <si>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</si>
  <si>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</si>
  <si>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</si>
  <si>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</si>
  <si>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로얄블루</t>
  </si>
  <si>
    <t>부산99사9428</t>
  </si>
  <si>
    <t>MAEU609343106</t>
    <phoneticPr fontId="1" type="noConversion"/>
  </si>
  <si>
    <t>LA다리살</t>
    <phoneticPr fontId="1" type="noConversion"/>
  </si>
  <si>
    <t>DONG SEO COMPANY</t>
    <phoneticPr fontId="1" type="noConversion"/>
  </si>
  <si>
    <t>동서수산</t>
    <phoneticPr fontId="1" type="noConversion"/>
  </si>
  <si>
    <t>롯데상사</t>
  </si>
  <si>
    <t>부산99바5045</t>
  </si>
  <si>
    <t>MAEU609343107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</si>
  <si>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</si>
  <si>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</si>
  <si>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</si>
  <si>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</si>
  <si>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</si>
  <si>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미래(경기도)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</si>
  <si>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</si>
  <si>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</si>
  <si>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</si>
  <si>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</si>
  <si>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</si>
  <si>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</si>
  <si>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롯데상사</t>
    <phoneticPr fontId="1" type="noConversion"/>
  </si>
  <si>
    <t>루츠</t>
  </si>
  <si>
    <t>부산99바9417</t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</si>
  <si>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</si>
  <si>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</si>
  <si>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</si>
  <si>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</si>
  <si>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</si>
  <si>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</si>
  <si>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마경수산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</si>
  <si>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</si>
  <si>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</si>
  <si>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</si>
  <si>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</si>
  <si>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</si>
  <si>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</si>
  <si>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</si>
  <si>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마도로스펫</t>
  </si>
  <si>
    <t>부산99사8495</t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</si>
  <si>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</si>
  <si>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</si>
  <si>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</si>
  <si>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</si>
  <si>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부산99사4026</t>
  </si>
  <si>
    <t>MAEU914668219</t>
    <phoneticPr fontId="1" type="noConversion"/>
  </si>
  <si>
    <t>핀란드</t>
    <phoneticPr fontId="1" type="noConversion"/>
  </si>
  <si>
    <t>$B$37</t>
  </si>
  <si>
    <t>$H$18</t>
  </si>
  <si>
    <t>SAME AS ABOVE</t>
    <phoneticPr fontId="1" type="noConversion"/>
  </si>
  <si>
    <t>확인안됨</t>
    <phoneticPr fontId="1" type="noConversion"/>
  </si>
  <si>
    <t>만선</t>
  </si>
  <si>
    <t>부산98바1017</t>
  </si>
  <si>
    <t>HDMUSAOA43312904</t>
    <phoneticPr fontId="1" type="noConversion"/>
  </si>
  <si>
    <t>AU근위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</si>
  <si>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</si>
  <si>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</si>
  <si>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</si>
  <si>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</si>
  <si>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</si>
  <si>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명품상사</t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</si>
  <si>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</si>
  <si>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</si>
  <si>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</si>
  <si>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</si>
  <si>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</si>
  <si>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</si>
  <si>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미도무역</t>
  </si>
  <si>
    <t>부산98사1744</t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</si>
  <si>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</si>
  <si>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</si>
  <si>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</si>
  <si>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</si>
  <si>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</si>
  <si>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미락정푸드</t>
  </si>
  <si>
    <t>부산98사4090</t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</si>
  <si>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</si>
  <si>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</si>
  <si>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</si>
  <si>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</si>
  <si>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</si>
  <si>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미르온앤담다</t>
  </si>
  <si>
    <t>부산98사1816</t>
  </si>
  <si>
    <t>ONEYBKKD01943400</t>
    <phoneticPr fontId="1" type="noConversion"/>
  </si>
  <si>
    <t>태국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</si>
  <si>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</si>
  <si>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</si>
  <si>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</si>
  <si>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</si>
  <si>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</si>
  <si>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</si>
  <si>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</si>
  <si>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</si>
  <si>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</si>
  <si>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</si>
  <si>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</si>
  <si>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</si>
  <si>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바이킹마켓</t>
  </si>
  <si>
    <t>부산99사7615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</si>
  <si>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</si>
  <si>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</si>
  <si>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</si>
  <si>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</si>
  <si>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</si>
  <si>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</si>
  <si>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사조씨푸드</t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</si>
  <si>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</si>
  <si>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</si>
  <si>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</si>
  <si>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</si>
  <si>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</si>
  <si>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</si>
  <si>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삼아벤처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</si>
  <si>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</si>
  <si>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</si>
  <si>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</si>
  <si>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</si>
  <si>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</si>
  <si>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삼양사</t>
  </si>
  <si>
    <t>부산99사9459</t>
  </si>
  <si>
    <t>MEDUAJ557241</t>
    <phoneticPr fontId="1" type="noConversion"/>
  </si>
  <si>
    <t>SA다리살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</si>
  <si>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</si>
  <si>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</si>
  <si>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</si>
  <si>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</si>
  <si>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삼양씨푸드</t>
  </si>
  <si>
    <t>부산95아4042</t>
  </si>
  <si>
    <t>ONEYSAOC48163600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</si>
  <si>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</si>
  <si>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</si>
  <si>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</si>
  <si>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</si>
  <si>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삼영수산</t>
  </si>
  <si>
    <t>부산99사8139</t>
  </si>
  <si>
    <t>HASLS22230101322</t>
    <phoneticPr fontId="1" type="noConversion"/>
  </si>
  <si>
    <t>날개90/110G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</si>
  <si>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</si>
  <si>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</si>
  <si>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</si>
  <si>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</si>
  <si>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</si>
  <si>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상창</t>
  </si>
  <si>
    <t>부산99사2664</t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</si>
  <si>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</si>
  <si>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</si>
  <si>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</si>
  <si>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</si>
  <si>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</si>
  <si>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생생무역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</si>
  <si>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</si>
  <si>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</si>
  <si>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</si>
  <si>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</si>
  <si>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</si>
  <si>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</si>
  <si>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</si>
  <si>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</si>
  <si>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성신유통</t>
  </si>
  <si>
    <t>부산98바8303</t>
  </si>
  <si>
    <t>CUR0243260B</t>
    <phoneticPr fontId="1" type="noConversion"/>
  </si>
  <si>
    <t>$J$40</t>
  </si>
  <si>
    <t>$R$22</t>
  </si>
  <si>
    <t>TSUKIJI KOREA CO LTD</t>
    <phoneticPr fontId="1" type="noConversion"/>
  </si>
  <si>
    <t>부산99사8482</t>
  </si>
  <si>
    <t>MAEU914687195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</si>
  <si>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</si>
  <si>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</si>
  <si>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</si>
  <si>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</si>
  <si>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해솔무역</t>
    <phoneticPr fontId="1" type="noConversion"/>
  </si>
  <si>
    <t>세현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</si>
  <si>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</si>
  <si>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</si>
  <si>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</si>
  <si>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</si>
  <si>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</si>
  <si>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</si>
  <si>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경남99사2589</t>
  </si>
  <si>
    <t>MEDUAJ564627</t>
    <phoneticPr fontId="1" type="noConversion"/>
  </si>
  <si>
    <t>$AD$22</t>
  </si>
  <si>
    <t>IFERROR(YEAR(AF21),YEAR(TODAY()))</t>
  </si>
  <si>
    <t>시현</t>
  </si>
  <si>
    <t>부산98바1744</t>
  </si>
  <si>
    <t>MEDUP1332147</t>
    <phoneticPr fontId="1" type="noConversion"/>
  </si>
  <si>
    <t>$AK$22</t>
  </si>
  <si>
    <t>신광시즈마린</t>
  </si>
  <si>
    <t>경기99바1151</t>
  </si>
  <si>
    <t>MEDUP1332154</t>
    <phoneticPr fontId="1" type="noConversion"/>
  </si>
  <si>
    <t>$C$23</t>
  </si>
  <si>
    <t>신나게푸드</t>
  </si>
  <si>
    <t>부산99사7343</t>
  </si>
  <si>
    <t>MEDUSF284575</t>
    <phoneticPr fontId="1" type="noConversion"/>
  </si>
  <si>
    <t>$M$23</t>
  </si>
  <si>
    <t>신화수산</t>
  </si>
  <si>
    <t>부산98바7163</t>
  </si>
  <si>
    <t>MEDUSF285069</t>
    <phoneticPr fontId="1" type="noConversion"/>
  </si>
  <si>
    <t>$V$23</t>
  </si>
  <si>
    <t>씨글로벌</t>
  </si>
  <si>
    <t>부산99사2402</t>
  </si>
  <si>
    <t>CUR0243097</t>
    <phoneticPr fontId="1" type="noConversion"/>
  </si>
  <si>
    <t>$AF$23</t>
  </si>
  <si>
    <t>씨앤케이농수산</t>
  </si>
  <si>
    <t>부산98바7234</t>
  </si>
  <si>
    <t>CUR0243412</t>
    <phoneticPr fontId="1" type="noConversion"/>
  </si>
  <si>
    <t>$C$24</t>
  </si>
  <si>
    <t>씨에이치씨</t>
  </si>
  <si>
    <t>부산99사9629</t>
  </si>
  <si>
    <t>HDMUSAOA68081900</t>
    <phoneticPr fontId="1" type="noConversion"/>
  </si>
  <si>
    <t>$M$24</t>
  </si>
  <si>
    <t>씨에이치푸드</t>
  </si>
  <si>
    <t>부산98사4065</t>
  </si>
  <si>
    <t>ONEYSAOC42099800</t>
    <phoneticPr fontId="1" type="noConversion"/>
  </si>
  <si>
    <t>$V$24</t>
  </si>
  <si>
    <t>씨웰스</t>
  </si>
  <si>
    <t>부산99사6474</t>
  </si>
  <si>
    <t>(주)에쓰더블유푸드 (동일)</t>
    <phoneticPr fontId="31" type="noConversion"/>
  </si>
  <si>
    <t>ONEYSAOC49515801</t>
    <phoneticPr fontId="1" type="noConversion"/>
  </si>
  <si>
    <t>SR가슴살</t>
    <phoneticPr fontId="1" type="noConversion"/>
  </si>
  <si>
    <t>$AF$24</t>
  </si>
  <si>
    <t>씨제이프레시웨이㈜</t>
  </si>
  <si>
    <t>부산99바8954</t>
  </si>
  <si>
    <t>MEDUTO724859</t>
    <phoneticPr fontId="1" type="noConversion"/>
  </si>
  <si>
    <t>SR조각정육</t>
    <phoneticPr fontId="1" type="noConversion"/>
  </si>
  <si>
    <t>$C$25</t>
  </si>
  <si>
    <t>씨케이글로벌</t>
  </si>
  <si>
    <t>부산99사7282</t>
  </si>
  <si>
    <t>MEDUTO724883</t>
    <phoneticPr fontId="1" type="noConversion"/>
  </si>
  <si>
    <t>$F$25</t>
  </si>
  <si>
    <t>경남99바6666</t>
  </si>
  <si>
    <t>NSSLLCBSC2300078</t>
    <phoneticPr fontId="1" type="noConversion"/>
  </si>
  <si>
    <t>LT조각정육</t>
    <phoneticPr fontId="1" type="noConversion"/>
  </si>
  <si>
    <t>$M$25</t>
  </si>
  <si>
    <t>아신비에스</t>
  </si>
  <si>
    <t>경남99바1879</t>
  </si>
  <si>
    <t>SUDU62ITJ035070B</t>
    <phoneticPr fontId="1" type="noConversion"/>
  </si>
  <si>
    <t>$P$25</t>
  </si>
  <si>
    <t>아이씨인터</t>
  </si>
  <si>
    <t>부산99바1617</t>
  </si>
  <si>
    <t>CUR0243647A</t>
    <phoneticPr fontId="1" type="noConversion"/>
  </si>
  <si>
    <t>$V$25</t>
  </si>
  <si>
    <t>아이엠에스</t>
  </si>
  <si>
    <t>부산99사6498</t>
  </si>
  <si>
    <t>CUR0243647B</t>
    <phoneticPr fontId="1" type="noConversion"/>
  </si>
  <si>
    <t>NA다리살</t>
    <phoneticPr fontId="1" type="noConversion"/>
  </si>
  <si>
    <t>$Y$25</t>
  </si>
  <si>
    <t>아토무역</t>
  </si>
  <si>
    <t>부산98바1793</t>
  </si>
  <si>
    <t>CUR0243708</t>
    <phoneticPr fontId="1" type="noConversion"/>
  </si>
  <si>
    <t>$AF$25</t>
  </si>
  <si>
    <t>에스푸드</t>
  </si>
  <si>
    <t>부산99바8573</t>
  </si>
  <si>
    <t>MEDUAJ564965</t>
    <phoneticPr fontId="1" type="noConversion"/>
  </si>
  <si>
    <t>$AI$25</t>
  </si>
  <si>
    <t>에쓰푸드</t>
  </si>
  <si>
    <t>부산98사3813</t>
  </si>
  <si>
    <t>MEDUAJ575888</t>
    <phoneticPr fontId="1" type="noConversion"/>
  </si>
  <si>
    <t>PA다리살</t>
    <phoneticPr fontId="1" type="noConversion"/>
  </si>
  <si>
    <t>에이비코퍼</t>
  </si>
  <si>
    <t>부산98사3800</t>
  </si>
  <si>
    <t>MAEU224495966</t>
    <phoneticPr fontId="1" type="noConversion"/>
  </si>
  <si>
    <t>에이투피</t>
  </si>
  <si>
    <t>경북98아1727</t>
  </si>
  <si>
    <t>MAEUJBS170249</t>
    <phoneticPr fontId="1" type="noConversion"/>
  </si>
  <si>
    <t>에이티오</t>
  </si>
  <si>
    <t>부산99사9649</t>
  </si>
  <si>
    <t>MAEU914712267</t>
    <phoneticPr fontId="1" type="noConversion"/>
  </si>
  <si>
    <t>부산99사7340</t>
  </si>
  <si>
    <t>NSSLLCBSC2300090</t>
    <phoneticPr fontId="1" type="noConversion"/>
  </si>
  <si>
    <t>경기99사2539</t>
  </si>
  <si>
    <t>CUR0243188A</t>
    <phoneticPr fontId="1" type="noConversion"/>
  </si>
  <si>
    <t>부산98사1793</t>
  </si>
  <si>
    <t>COSU6349800360</t>
    <phoneticPr fontId="1" type="noConversion"/>
  </si>
  <si>
    <t>엠케이씨푸드</t>
    <phoneticPr fontId="1" type="noConversion"/>
  </si>
  <si>
    <t>부산99사6520</t>
  </si>
  <si>
    <t>CUR0244348</t>
    <phoneticPr fontId="1" type="noConversion"/>
  </si>
  <si>
    <t>SA다리살(1134)
PA다리살(121)
PA다리살(725)</t>
    <phoneticPr fontId="1" type="noConversion"/>
  </si>
  <si>
    <t>부산99사5226</t>
  </si>
  <si>
    <t>HDMUSAOA00404409</t>
    <phoneticPr fontId="1" type="noConversion"/>
  </si>
  <si>
    <t>오선물산</t>
  </si>
  <si>
    <t>부산98사5049</t>
  </si>
  <si>
    <t>HDMUSAOA15700300</t>
    <phoneticPr fontId="1" type="noConversion"/>
  </si>
  <si>
    <t>오션스글로벌</t>
  </si>
  <si>
    <t>부산98사8851</t>
  </si>
  <si>
    <t>HDMUSAOA15700302</t>
    <phoneticPr fontId="1" type="noConversion"/>
  </si>
  <si>
    <t>경북98아6019</t>
  </si>
  <si>
    <t>HDMUSAOA15700303</t>
    <phoneticPr fontId="1" type="noConversion"/>
  </si>
  <si>
    <t>와이낫</t>
  </si>
  <si>
    <t>부산98바8267</t>
  </si>
  <si>
    <t>SUDU62SSZ076109X</t>
    <phoneticPr fontId="1" type="noConversion"/>
  </si>
  <si>
    <t>우신</t>
  </si>
  <si>
    <t>부산99사3323</t>
  </si>
  <si>
    <t>㈜씨에이치푸드</t>
    <phoneticPr fontId="31" type="noConversion"/>
  </si>
  <si>
    <t>HDMUSAOA00404414</t>
    <phoneticPr fontId="1" type="noConversion"/>
  </si>
  <si>
    <t>우신무역</t>
  </si>
  <si>
    <t>부산99사8377</t>
  </si>
  <si>
    <t>HDMUSAOA00404415</t>
    <phoneticPr fontId="1" type="noConversion"/>
  </si>
  <si>
    <t>우원홀딩스</t>
  </si>
  <si>
    <t>부산98바7117</t>
  </si>
  <si>
    <t>131행 END XLUP(반입예정)</t>
    <phoneticPr fontId="1" type="noConversion"/>
  </si>
  <si>
    <t>NSSLLCBSC2300119</t>
    <phoneticPr fontId="1" type="noConversion"/>
  </si>
  <si>
    <t>싸이정육100/110G</t>
    <phoneticPr fontId="1" type="noConversion"/>
  </si>
  <si>
    <t>원푸드</t>
  </si>
  <si>
    <t>경남99사2505</t>
  </si>
  <si>
    <t>(주)피델리스글로벌</t>
    <phoneticPr fontId="31" type="noConversion"/>
  </si>
  <si>
    <t>BR00005523</t>
    <phoneticPr fontId="1" type="noConversion"/>
  </si>
  <si>
    <t>COASUL다리살</t>
    <phoneticPr fontId="1" type="noConversion"/>
  </si>
  <si>
    <t>유림CS</t>
  </si>
  <si>
    <t>경남99사2580</t>
  </si>
  <si>
    <t>단독컨 중에</t>
    <phoneticPr fontId="1" type="noConversion"/>
  </si>
  <si>
    <t>MAEU609381639</t>
    <phoneticPr fontId="1" type="noConversion"/>
  </si>
  <si>
    <t>유림씨에스</t>
  </si>
  <si>
    <t>경남99바6015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</si>
  <si>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</si>
  <si>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</si>
  <si>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MEDUAJ571952</t>
    <phoneticPr fontId="1" type="noConversion"/>
  </si>
  <si>
    <t>부산99사8166</t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</si>
  <si>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</si>
  <si>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</si>
  <si>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MEDUAJ584237</t>
    <phoneticPr fontId="1" type="noConversion"/>
  </si>
  <si>
    <t>이비스코리아</t>
  </si>
  <si>
    <t>부산98바7102</t>
  </si>
  <si>
    <t>예정&gt;입항관리</t>
    <phoneticPr fontId="1" type="noConversion"/>
  </si>
  <si>
    <t>NSSLLCBSC2300111</t>
    <phoneticPr fontId="1" type="noConversion"/>
  </si>
  <si>
    <t>일풍</t>
  </si>
  <si>
    <t>부산99사7171</t>
  </si>
  <si>
    <t>입항관리&gt;리스트</t>
    <phoneticPr fontId="1" type="noConversion"/>
  </si>
  <si>
    <t>상세내용</t>
  </si>
  <si>
    <t>ONEYSAOC50902701</t>
    <phoneticPr fontId="1" type="noConversion"/>
  </si>
  <si>
    <t>장원수산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</si>
  <si>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</si>
  <si>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</si>
  <si>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</si>
  <si>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회색부분 4개 추가중 : 입항일, 도착일(선사),운.도VBA,화찰선명</t>
    <phoneticPr fontId="1" type="noConversion"/>
  </si>
  <si>
    <t>기준셀_리스트시트결과</t>
    <phoneticPr fontId="1" type="noConversion"/>
  </si>
  <si>
    <t>HLCUIT1230110077</t>
    <phoneticPr fontId="1" type="noConversion"/>
  </si>
  <si>
    <t>제이투</t>
  </si>
  <si>
    <t>부산98사8850</t>
  </si>
  <si>
    <t>구분</t>
    <phoneticPr fontId="1" type="noConversion"/>
  </si>
  <si>
    <t>운.도VBA</t>
    <phoneticPr fontId="1" type="noConversion"/>
  </si>
  <si>
    <t>화찰 선명</t>
    <phoneticPr fontId="1" type="noConversion"/>
  </si>
  <si>
    <t>MEDUAJ585531</t>
    <phoneticPr fontId="1" type="noConversion"/>
  </si>
  <si>
    <t>조은</t>
  </si>
  <si>
    <t>부산99사6297</t>
  </si>
  <si>
    <t>MEDUP1353903</t>
    <phoneticPr fontId="1" type="noConversion"/>
  </si>
  <si>
    <t>지케이교역</t>
  </si>
  <si>
    <t>경남99사2545</t>
  </si>
  <si>
    <t>ONEYSAOD00072800</t>
    <phoneticPr fontId="1" type="noConversion"/>
  </si>
  <si>
    <t>진주푸드</t>
  </si>
  <si>
    <t>부산99바6905</t>
  </si>
  <si>
    <t>COSU6349959758</t>
    <phoneticPr fontId="1" type="noConversion"/>
  </si>
  <si>
    <t>천부수산</t>
  </si>
  <si>
    <t>부산98바8801</t>
  </si>
  <si>
    <t>HDMUSAOA08864601</t>
    <phoneticPr fontId="1" type="noConversion"/>
  </si>
  <si>
    <t>천하수산</t>
  </si>
  <si>
    <t>경남99사2557</t>
  </si>
  <si>
    <t>HDMUSAOA69289605</t>
    <phoneticPr fontId="1" type="noConversion"/>
  </si>
  <si>
    <t>청어람</t>
  </si>
  <si>
    <t>경남99바4982</t>
  </si>
  <si>
    <t>MEDUAJ585853</t>
    <phoneticPr fontId="1" type="noConversion"/>
  </si>
  <si>
    <t>초이스팜</t>
  </si>
  <si>
    <t>부산99바7632</t>
  </si>
  <si>
    <t>ONEYSAOC51057901</t>
    <phoneticPr fontId="1" type="noConversion"/>
  </si>
  <si>
    <t>카이노스</t>
  </si>
  <si>
    <t>경기99바1139</t>
  </si>
  <si>
    <t>SUDU63ITJ001195E</t>
    <phoneticPr fontId="1" type="noConversion"/>
  </si>
  <si>
    <t>케이제이상사</t>
  </si>
  <si>
    <t>부산99바7949</t>
  </si>
  <si>
    <t>COSU6349959750</t>
    <phoneticPr fontId="1" type="noConversion"/>
  </si>
  <si>
    <t>켐푸드</t>
  </si>
  <si>
    <t>부산99사1409</t>
  </si>
  <si>
    <t>HDMUSAOA08864600</t>
    <phoneticPr fontId="1" type="noConversion"/>
  </si>
  <si>
    <t>코콤글로벌</t>
  </si>
  <si>
    <t>부산99바7095</t>
  </si>
  <si>
    <t>HDMUSAOA69289600</t>
    <phoneticPr fontId="1" type="noConversion"/>
  </si>
  <si>
    <t>AU장각</t>
    <phoneticPr fontId="1" type="noConversion"/>
  </si>
  <si>
    <t>코파스</t>
  </si>
  <si>
    <t>경남99사2588</t>
  </si>
  <si>
    <t>HDMUSAOA69289606</t>
    <phoneticPr fontId="1" type="noConversion"/>
  </si>
  <si>
    <t>크린랲</t>
  </si>
  <si>
    <t>부산99사5932</t>
  </si>
  <si>
    <t>HDMUSAOA85895701</t>
    <phoneticPr fontId="1" type="noConversion"/>
  </si>
  <si>
    <t>태산무역</t>
  </si>
  <si>
    <t>부산98바2017</t>
  </si>
  <si>
    <t>HDMUSAOA85895703</t>
    <phoneticPr fontId="1" type="noConversion"/>
  </si>
  <si>
    <t>태승유통</t>
  </si>
  <si>
    <t>부산98바8602</t>
  </si>
  <si>
    <t>HLCUPN4221157621</t>
    <phoneticPr fontId="1" type="noConversion"/>
  </si>
  <si>
    <t>태영푸드</t>
  </si>
  <si>
    <t>부산98사7393</t>
  </si>
  <si>
    <t>HLCUPN4221160282</t>
    <phoneticPr fontId="1" type="noConversion"/>
  </si>
  <si>
    <t>태한</t>
  </si>
  <si>
    <t>부산99사6917</t>
  </si>
  <si>
    <t>HDMUSAOA69289602</t>
    <phoneticPr fontId="1" type="noConversion"/>
  </si>
  <si>
    <t>팀프레시</t>
  </si>
  <si>
    <t>경북98아1641</t>
  </si>
  <si>
    <t>HDMUSAOA69289610</t>
    <phoneticPr fontId="1" type="noConversion"/>
  </si>
  <si>
    <t>팔해</t>
  </si>
  <si>
    <t>부산99사6267</t>
  </si>
  <si>
    <t>MAEU914805378</t>
    <phoneticPr fontId="1" type="noConversion"/>
  </si>
  <si>
    <t>포쉐프</t>
  </si>
  <si>
    <t>경북98아1383</t>
  </si>
  <si>
    <t>SUDU63ITJ001189B</t>
    <phoneticPr fontId="1" type="noConversion"/>
  </si>
  <si>
    <t>푸드앤팜</t>
  </si>
  <si>
    <t>부산99사8102</t>
  </si>
  <si>
    <t>SUDU63ITJ001189E</t>
    <phoneticPr fontId="1" type="noConversion"/>
  </si>
  <si>
    <t>푸디스트</t>
  </si>
  <si>
    <t>경남99바9801</t>
  </si>
  <si>
    <t>HDMUSAOA86161604</t>
    <phoneticPr fontId="1" type="noConversion"/>
  </si>
  <si>
    <t>풍미산업</t>
  </si>
  <si>
    <t>경남99사2597</t>
  </si>
  <si>
    <t>MAEU609389441</t>
    <phoneticPr fontId="1" type="noConversion"/>
  </si>
  <si>
    <t>프로마린</t>
  </si>
  <si>
    <t>부산99사1221</t>
  </si>
  <si>
    <t>COSU6323274000</t>
    <phoneticPr fontId="31" type="noConversion"/>
  </si>
  <si>
    <t>NA닭발</t>
    <phoneticPr fontId="31" type="noConversion"/>
  </si>
  <si>
    <t>피델리스</t>
  </si>
  <si>
    <t>부산99사5296</t>
  </si>
  <si>
    <t>㈜마이푸드</t>
    <phoneticPr fontId="31" type="noConversion"/>
  </si>
  <si>
    <t>HDMUBKKA79263900</t>
    <phoneticPr fontId="31" type="noConversion"/>
  </si>
  <si>
    <t>윙스틱45-55G
날개100/120G</t>
    <phoneticPr fontId="31" type="noConversion"/>
  </si>
  <si>
    <t>하나교역</t>
  </si>
  <si>
    <t>경북99아2713</t>
  </si>
  <si>
    <t>COSU6331431950</t>
    <phoneticPr fontId="31" type="noConversion"/>
  </si>
  <si>
    <t>하랑SH</t>
  </si>
  <si>
    <t>부산90자9098</t>
  </si>
  <si>
    <t>COSU6330713429</t>
    <phoneticPr fontId="31" type="noConversion"/>
  </si>
  <si>
    <t>하랑에스에이치</t>
  </si>
  <si>
    <t>부산98사2072</t>
  </si>
  <si>
    <t>COSU6337945100</t>
    <phoneticPr fontId="31" type="noConversion"/>
  </si>
  <si>
    <t>하버마린</t>
  </si>
  <si>
    <t>경남99사2574</t>
  </si>
  <si>
    <t>MAEU914316789</t>
    <phoneticPr fontId="31" type="noConversion"/>
  </si>
  <si>
    <t>한결프라임</t>
  </si>
  <si>
    <t>부산98바8824</t>
  </si>
  <si>
    <t>MEDUAJ292542</t>
    <phoneticPr fontId="31" type="noConversion"/>
  </si>
  <si>
    <t>PA다리살(91)
PA다리살(441)
SA다리살(5)
PA다리살(1443)</t>
    <phoneticPr fontId="31" type="noConversion"/>
  </si>
  <si>
    <t>한국마린</t>
  </si>
  <si>
    <t>부산99바9471</t>
  </si>
  <si>
    <t>COSU6338197830</t>
    <phoneticPr fontId="31" type="noConversion"/>
  </si>
  <si>
    <t>한국축지</t>
  </si>
  <si>
    <t>부산98사7631</t>
  </si>
  <si>
    <t>BR00363622</t>
    <phoneticPr fontId="31" type="noConversion"/>
  </si>
  <si>
    <t>COASUL다리살</t>
    <phoneticPr fontId="31" type="noConversion"/>
  </si>
  <si>
    <t>한성</t>
  </si>
  <si>
    <t>부산99바9738</t>
  </si>
  <si>
    <t>COSU6337598850</t>
    <phoneticPr fontId="31" type="noConversion"/>
  </si>
  <si>
    <t>PG장각</t>
    <phoneticPr fontId="31" type="noConversion"/>
  </si>
  <si>
    <t>한솔</t>
  </si>
  <si>
    <t>울산99바3049</t>
  </si>
  <si>
    <t>CUR0232444C</t>
    <phoneticPr fontId="31" type="noConversion"/>
  </si>
  <si>
    <t>다리살</t>
    <phoneticPr fontId="31" type="noConversion"/>
  </si>
  <si>
    <t>한화호텔</t>
  </si>
  <si>
    <t>부산99바9423</t>
  </si>
  <si>
    <t>HDMUBKKA41196800</t>
    <phoneticPr fontId="31" type="noConversion"/>
  </si>
  <si>
    <t>날개90/110G</t>
    <phoneticPr fontId="31" type="noConversion"/>
  </si>
  <si>
    <t>해공무역</t>
  </si>
  <si>
    <t>경남82아3507</t>
  </si>
  <si>
    <t>COSU6339479978</t>
    <phoneticPr fontId="31" type="noConversion"/>
  </si>
  <si>
    <t>해금씨푸드</t>
  </si>
  <si>
    <t>부산98사4042</t>
  </si>
  <si>
    <t>SUDU62ITJ008180A</t>
    <phoneticPr fontId="31" type="noConversion"/>
  </si>
  <si>
    <t>해랑</t>
  </si>
  <si>
    <t>부산99사9830</t>
  </si>
  <si>
    <t>MAEU609193964</t>
    <phoneticPr fontId="31" type="noConversion"/>
  </si>
  <si>
    <t>해림상사</t>
  </si>
  <si>
    <t>부산99바9835</t>
  </si>
  <si>
    <t>ONEYSAOC29200400</t>
    <phoneticPr fontId="31" type="noConversion"/>
  </si>
  <si>
    <t>해솔무역</t>
  </si>
  <si>
    <t>부산98사1570</t>
  </si>
  <si>
    <t>MEDUTO562143</t>
    <phoneticPr fontId="31" type="noConversion"/>
  </si>
  <si>
    <t>해심트레이딩</t>
  </si>
  <si>
    <t>울산99바1422</t>
  </si>
  <si>
    <t>HASLS22220800759</t>
    <phoneticPr fontId="31" type="noConversion"/>
  </si>
  <si>
    <t>해우씨푸드</t>
  </si>
  <si>
    <t>경남99바6727</t>
  </si>
  <si>
    <t>HASLS22220900741</t>
    <phoneticPr fontId="31" type="noConversion"/>
  </si>
  <si>
    <t>부산99사4745</t>
  </si>
  <si>
    <t>COSU6339479537</t>
    <phoneticPr fontId="31" type="noConversion"/>
  </si>
  <si>
    <t>조각정육30/40G</t>
    <phoneticPr fontId="31" type="noConversion"/>
  </si>
  <si>
    <t>현대종합상사</t>
  </si>
  <si>
    <t>울산99바1224</t>
  </si>
  <si>
    <t>MEDUAJ390718</t>
    <phoneticPr fontId="31" type="noConversion"/>
  </si>
  <si>
    <t>부산98바2085</t>
  </si>
  <si>
    <t>HDMUSAOA38592508</t>
    <phoneticPr fontId="31" type="noConversion"/>
  </si>
  <si>
    <t>화풍</t>
  </si>
  <si>
    <t>부산98바7266</t>
  </si>
  <si>
    <t>MAEUJBS158932</t>
    <phoneticPr fontId="31" type="noConversion"/>
  </si>
  <si>
    <t>황도</t>
  </si>
  <si>
    <t>부산98사8957</t>
  </si>
  <si>
    <t>CUR0234412A</t>
    <phoneticPr fontId="31" type="noConversion"/>
  </si>
  <si>
    <t>SA다리살</t>
    <phoneticPr fontId="31" type="noConversion"/>
  </si>
  <si>
    <t>황도수산</t>
  </si>
  <si>
    <t>부산99바8602</t>
  </si>
  <si>
    <t>CUR0234687</t>
    <phoneticPr fontId="31" type="noConversion"/>
  </si>
  <si>
    <t>부산99바6393</t>
  </si>
  <si>
    <t>CUR0234412E</t>
    <phoneticPr fontId="31" type="noConversion"/>
  </si>
  <si>
    <t>아라트레이딩</t>
  </si>
  <si>
    <t>경남99사2987</t>
  </si>
  <si>
    <t>HLCUSYD220906530</t>
    <phoneticPr fontId="31" type="noConversion"/>
  </si>
  <si>
    <t>호주</t>
    <phoneticPr fontId="31" type="noConversion"/>
  </si>
  <si>
    <t>바다사랑</t>
  </si>
  <si>
    <t>온새미정</t>
  </si>
  <si>
    <t>미트박스</t>
  </si>
  <si>
    <t>MEDUAJ437204</t>
    <phoneticPr fontId="31" type="noConversion"/>
  </si>
  <si>
    <t>에프원에프앤비</t>
  </si>
  <si>
    <t>MEDUAJ428765</t>
    <phoneticPr fontId="31" type="noConversion"/>
  </si>
  <si>
    <t>세계로무역</t>
  </si>
  <si>
    <t>ONEYSAOC33643306</t>
    <phoneticPr fontId="31" type="noConversion"/>
  </si>
  <si>
    <t>SR장각</t>
    <phoneticPr fontId="31" type="noConversion"/>
  </si>
  <si>
    <t>참트레이딩</t>
  </si>
  <si>
    <t>COSU6341815350</t>
    <phoneticPr fontId="31" type="noConversion"/>
  </si>
  <si>
    <t>한외해운</t>
  </si>
  <si>
    <t>COSU6341815310</t>
    <phoneticPr fontId="31" type="noConversion"/>
  </si>
  <si>
    <t>원씨푸드코리아</t>
  </si>
  <si>
    <t>COSU6341894316</t>
    <phoneticPr fontId="31" type="noConversion"/>
  </si>
  <si>
    <t>다리살200GUP</t>
    <phoneticPr fontId="31" type="noConversion"/>
  </si>
  <si>
    <t>동천씨푸드</t>
  </si>
  <si>
    <t>COSU6341894315</t>
    <phoneticPr fontId="31" type="noConversion"/>
  </si>
  <si>
    <t>드림씨푸드</t>
  </si>
  <si>
    <t>COSU6341894317</t>
    <phoneticPr fontId="31" type="noConversion"/>
  </si>
  <si>
    <t>뉴아시아(동일)</t>
  </si>
  <si>
    <t>HASLS22221000263</t>
    <phoneticPr fontId="31" type="noConversion"/>
  </si>
  <si>
    <t>KSL교역</t>
  </si>
  <si>
    <t>MAEUJBS160098</t>
    <phoneticPr fontId="31" type="noConversion"/>
  </si>
  <si>
    <t>더파이러츠</t>
  </si>
  <si>
    <t>MAEUJBS160095</t>
    <phoneticPr fontId="31" type="noConversion"/>
  </si>
  <si>
    <t>삼성웰스토리</t>
  </si>
  <si>
    <t>SUDU62SSZ063526F</t>
    <phoneticPr fontId="31" type="noConversion"/>
  </si>
  <si>
    <t>CUR0237053</t>
    <phoneticPr fontId="31" type="noConversion"/>
  </si>
  <si>
    <t>MEDUAJ445124</t>
    <phoneticPr fontId="31" type="noConversion"/>
  </si>
  <si>
    <t>HASLS22221000329</t>
    <phoneticPr fontId="31" type="noConversion"/>
  </si>
  <si>
    <t>HASLS22221000840</t>
    <phoneticPr fontId="31" type="noConversion"/>
  </si>
  <si>
    <t>MAEUJBS161197</t>
    <phoneticPr fontId="31" type="noConversion"/>
  </si>
  <si>
    <t>MAEUJBS161196</t>
    <phoneticPr fontId="31" type="noConversion"/>
  </si>
  <si>
    <t>SUDU62ITJ022849H</t>
    <phoneticPr fontId="31" type="noConversion"/>
  </si>
  <si>
    <t>SUDU62ITJ026176A</t>
    <phoneticPr fontId="31" type="noConversion"/>
  </si>
  <si>
    <t>COSU6343372099</t>
    <phoneticPr fontId="31" type="noConversion"/>
  </si>
  <si>
    <t>SNKO190221001754</t>
    <phoneticPr fontId="31" type="noConversion"/>
  </si>
  <si>
    <t>SI윙스틱35/45G
SI윙스틱45/55G</t>
    <phoneticPr fontId="31" type="noConversion"/>
  </si>
  <si>
    <t>HDMUSAOA79978701</t>
    <phoneticPr fontId="31" type="noConversion"/>
  </si>
  <si>
    <t>ONEYSAOC39083701</t>
    <phoneticPr fontId="31" type="noConversion"/>
  </si>
  <si>
    <t>COSU6342957030</t>
    <phoneticPr fontId="31" type="noConversion"/>
  </si>
  <si>
    <t>MAEUJBS162136</t>
    <phoneticPr fontId="31" type="noConversion"/>
  </si>
  <si>
    <t>MEDUSF263348</t>
    <phoneticPr fontId="31" type="noConversion"/>
  </si>
  <si>
    <t>MEDUSF263363</t>
    <phoneticPr fontId="31" type="noConversion"/>
  </si>
  <si>
    <t>COSU6344754090</t>
    <phoneticPr fontId="31" type="noConversion"/>
  </si>
  <si>
    <t>SUDU62ITJ008245X</t>
    <phoneticPr fontId="31" type="noConversion"/>
  </si>
  <si>
    <t>SUDU62ITJ008245B</t>
    <phoneticPr fontId="31" type="noConversion"/>
  </si>
  <si>
    <t>SUDU62SSZ070472X</t>
    <phoneticPr fontId="31" type="noConversion"/>
  </si>
  <si>
    <t>MEDUTO595457</t>
    <phoneticPr fontId="31" type="noConversion"/>
  </si>
  <si>
    <t>CUR9052867C</t>
    <phoneticPr fontId="31" type="noConversion"/>
  </si>
  <si>
    <t>MEDUAJ482812</t>
    <phoneticPr fontId="31" type="noConversion"/>
  </si>
  <si>
    <t>MEDUAJ482721</t>
    <phoneticPr fontId="31" type="noConversion"/>
  </si>
  <si>
    <t>PA다리살(480)
PA다리살(807)
SA다리살(693)</t>
    <phoneticPr fontId="31" type="noConversion"/>
  </si>
  <si>
    <t>SUDU62ITJ026454X</t>
    <phoneticPr fontId="31" type="noConversion"/>
  </si>
  <si>
    <t>MEDUP1298496</t>
    <phoneticPr fontId="31" type="noConversion"/>
  </si>
  <si>
    <t>SUDU62ITJ029950E</t>
    <phoneticPr fontId="31" type="noConversion"/>
  </si>
  <si>
    <t>MEDUTO595465</t>
    <phoneticPr fontId="31" type="noConversion"/>
  </si>
  <si>
    <t>현대그린푸드 영남센터</t>
    <phoneticPr fontId="31" type="noConversion"/>
  </si>
  <si>
    <t>HLCUPN4221063713</t>
    <phoneticPr fontId="31" type="noConversion"/>
  </si>
  <si>
    <t>CA다리살</t>
    <phoneticPr fontId="31" type="noConversion"/>
  </si>
  <si>
    <t>ONEYSAOC41809602</t>
    <phoneticPr fontId="31" type="noConversion"/>
  </si>
  <si>
    <t>ONEYSAOC41809603</t>
    <phoneticPr fontId="31" type="noConversion"/>
  </si>
  <si>
    <t>ONEYSAOC41809605</t>
    <phoneticPr fontId="31" type="noConversion"/>
  </si>
  <si>
    <t>ONEYSAOC41809604</t>
    <phoneticPr fontId="31" type="noConversion"/>
  </si>
  <si>
    <t>ONEYSAOC41809601</t>
    <phoneticPr fontId="31" type="noConversion"/>
  </si>
  <si>
    <t>MEDUAJ478547</t>
    <phoneticPr fontId="31" type="noConversion"/>
  </si>
  <si>
    <t>SA다리살(1646)
SA다리살(334)</t>
    <phoneticPr fontId="31" type="noConversion"/>
  </si>
  <si>
    <t>HLCUIT1221012671</t>
    <phoneticPr fontId="31" type="noConversion"/>
  </si>
  <si>
    <t>SUDU62SSZ072994X</t>
    <phoneticPr fontId="31" type="noConversion"/>
  </si>
  <si>
    <t>SUDU62SSZ072997X</t>
    <phoneticPr fontId="31" type="noConversion"/>
  </si>
  <si>
    <t>MEDUTO656267</t>
    <phoneticPr fontId="31" type="noConversion"/>
  </si>
  <si>
    <t>CUR9053183</t>
    <phoneticPr fontId="31" type="noConversion"/>
  </si>
  <si>
    <t>SR장각300/340
SR장각340/380
SR장각260/300</t>
    <phoneticPr fontId="31" type="noConversion"/>
  </si>
  <si>
    <t>대상 네트웍스 주식회사</t>
    <phoneticPr fontId="31" type="noConversion"/>
  </si>
  <si>
    <t>HLCUPN4220884938</t>
    <phoneticPr fontId="31" type="noConversion"/>
  </si>
  <si>
    <t>HLCUPN4220884927</t>
    <phoneticPr fontId="31" type="noConversion"/>
  </si>
  <si>
    <t>MAEUJBS165125</t>
    <phoneticPr fontId="31" type="noConversion"/>
  </si>
  <si>
    <t>SUDU62ITJ030120E</t>
    <phoneticPr fontId="31" type="noConversion"/>
  </si>
  <si>
    <t>MAEUJBS164723</t>
    <phoneticPr fontId="31" type="noConversion"/>
  </si>
  <si>
    <t>HLCUPN4221063735</t>
    <phoneticPr fontId="31" type="noConversion"/>
  </si>
  <si>
    <t>HLCUPN4221063746</t>
    <phoneticPr fontId="31" type="noConversion"/>
  </si>
  <si>
    <t>MEDUAJ498164</t>
    <phoneticPr fontId="31" type="noConversion"/>
  </si>
  <si>
    <t>SUDU62ITJ008307X</t>
    <phoneticPr fontId="31" type="noConversion"/>
  </si>
  <si>
    <t>HASLS22221100009</t>
    <phoneticPr fontId="31" type="noConversion"/>
  </si>
  <si>
    <t>ONEYSAOC45391600</t>
    <phoneticPr fontId="31" type="noConversion"/>
  </si>
  <si>
    <t>ONEYSAOC44111912</t>
    <phoneticPr fontId="31" type="noConversion"/>
  </si>
  <si>
    <t>ONEYSAOC44111900</t>
    <phoneticPr fontId="31" type="noConversion"/>
  </si>
  <si>
    <t>CUR0240500B</t>
    <phoneticPr fontId="31" type="noConversion"/>
  </si>
  <si>
    <t>MAEUJBS165387</t>
    <phoneticPr fontId="31" type="noConversion"/>
  </si>
  <si>
    <t>ONEYSAOC44111908</t>
    <phoneticPr fontId="31" type="noConversion"/>
  </si>
  <si>
    <t>SUDU62ITJ030129A</t>
    <phoneticPr fontId="31" type="noConversion"/>
  </si>
  <si>
    <t>HLCUPN4221072147</t>
    <phoneticPr fontId="31" type="noConversion"/>
  </si>
  <si>
    <t>HLCUIT1221030880</t>
    <phoneticPr fontId="31" type="noConversion"/>
  </si>
  <si>
    <t>HDMUSAOA83404905</t>
    <phoneticPr fontId="31" type="noConversion"/>
  </si>
  <si>
    <t>MEDUSF276696</t>
    <phoneticPr fontId="31" type="noConversion"/>
  </si>
  <si>
    <t>COSU6345152739</t>
    <phoneticPr fontId="31" type="noConversion"/>
  </si>
  <si>
    <t>COSU6345152737</t>
    <phoneticPr fontId="31" type="noConversion"/>
  </si>
  <si>
    <t>COSU6345152734</t>
    <phoneticPr fontId="31" type="noConversion"/>
  </si>
  <si>
    <t>SUDU62SSZ072016G</t>
    <phoneticPr fontId="31" type="noConversion"/>
  </si>
  <si>
    <t>CUR0240222A</t>
    <phoneticPr fontId="31" type="noConversion"/>
  </si>
  <si>
    <t>조각정육(1375)
다리살(440)</t>
    <phoneticPr fontId="31" type="noConversion"/>
  </si>
  <si>
    <t>CUR0240222B</t>
    <phoneticPr fontId="31" type="noConversion"/>
  </si>
  <si>
    <t>CUR0241289H</t>
    <phoneticPr fontId="31" type="noConversion"/>
  </si>
  <si>
    <t>CUR0241289G</t>
    <phoneticPr fontId="31" type="noConversion"/>
  </si>
  <si>
    <t>SUDU62ITJ008315X</t>
    <phoneticPr fontId="31" type="noConversion"/>
  </si>
  <si>
    <t>HDMUSAOA78046110</t>
    <phoneticPr fontId="31" type="noConversion"/>
  </si>
  <si>
    <t>SUDU62SSZ072016A</t>
    <phoneticPr fontId="31" type="noConversion"/>
  </si>
  <si>
    <t>MAEUSSZ747597</t>
    <phoneticPr fontId="31" type="noConversion"/>
  </si>
  <si>
    <t>MEDUP1328095</t>
    <phoneticPr fontId="31" type="noConversion"/>
  </si>
  <si>
    <t>ONEYSAOC44988306</t>
    <phoneticPr fontId="31" type="noConversion"/>
  </si>
  <si>
    <t>ONEYSAOC46689301</t>
    <phoneticPr fontId="31" type="noConversion"/>
  </si>
  <si>
    <t>MEDUAJ538589</t>
    <phoneticPr fontId="31" type="noConversion"/>
  </si>
  <si>
    <t>ONEYSAOC44988309</t>
    <phoneticPr fontId="31" type="noConversion"/>
  </si>
  <si>
    <t>MEDUTO700313</t>
    <phoneticPr fontId="31" type="noConversion"/>
  </si>
  <si>
    <t>ONEYSAOC45278315</t>
    <phoneticPr fontId="31" type="noConversion"/>
  </si>
  <si>
    <t>HLCUIT1221124120</t>
    <phoneticPr fontId="31" type="noConversion"/>
  </si>
  <si>
    <t>COSU6347574300</t>
    <phoneticPr fontId="31" type="noConversion"/>
  </si>
  <si>
    <t>COSU6346925230</t>
    <phoneticPr fontId="31" type="noConversion"/>
  </si>
  <si>
    <t>CUR0241167E</t>
    <phoneticPr fontId="31" type="noConversion"/>
  </si>
  <si>
    <t>SUDU62SSZ080765C</t>
    <phoneticPr fontId="31" type="noConversion"/>
  </si>
  <si>
    <t>SUDU62SSZ080765E</t>
    <phoneticPr fontId="31" type="noConversion"/>
  </si>
  <si>
    <t>SUDU62SSZ080765N</t>
    <phoneticPr fontId="31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</si>
  <si>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</si>
  <si>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</si>
  <si>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</si>
  <si>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</si>
  <si>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</si>
  <si>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</si>
  <si>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</si>
  <si>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</si>
  <si>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</si>
  <si>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</si>
  <si>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</si>
  <si>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</si>
  <si>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</si>
  <si>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</si>
  <si>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</si>
  <si>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</si>
  <si>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</si>
  <si>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</si>
  <si>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</si>
  <si>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</si>
  <si>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</si>
  <si>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</si>
  <si>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</si>
  <si>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SU다리살</t>
    <phoneticPr fontId="1" type="noConversion"/>
  </si>
  <si>
    <t>COSU6350582440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</si>
  <si>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</si>
  <si>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</si>
  <si>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</si>
  <si>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</si>
  <si>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</si>
  <si>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</si>
  <si>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</si>
  <si>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</si>
  <si>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</si>
  <si>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</si>
  <si>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</si>
  <si>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</si>
  <si>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</si>
  <si>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</si>
  <si>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</si>
  <si>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</si>
  <si>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</si>
  <si>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</si>
  <si>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</si>
  <si>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</si>
  <si>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</si>
  <si>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</si>
  <si>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</si>
  <si>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</si>
  <si>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</si>
  <si>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</si>
  <si>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</si>
  <si>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</si>
  <si>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</si>
  <si>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</si>
  <si>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</si>
  <si>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</si>
  <si>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</si>
  <si>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</si>
  <si>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</si>
  <si>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</si>
  <si>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</si>
  <si>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</si>
  <si>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</si>
  <si>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</si>
  <si>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</si>
  <si>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</si>
  <si>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</si>
  <si>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SUDU63ITJ001224J</t>
    <phoneticPr fontId="1" type="noConversion"/>
  </si>
  <si>
    <t>주식회사 씨에이치푸드</t>
    <phoneticPr fontId="31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</si>
  <si>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</si>
  <si>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</si>
  <si>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</si>
  <si>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</si>
  <si>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</si>
  <si>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MEDUP1374495</t>
  </si>
  <si>
    <t>LA다리살</t>
  </si>
  <si>
    <t>MAEU914832859</t>
  </si>
  <si>
    <t>핀란드</t>
  </si>
  <si>
    <t>COSU6351411380</t>
  </si>
  <si>
    <t>SU다리살</t>
  </si>
  <si>
    <t>COSU6351366909</t>
  </si>
  <si>
    <t>AU근위</t>
    <phoneticPr fontId="48" type="noConversion"/>
  </si>
  <si>
    <t>MAEU609408940</t>
  </si>
  <si>
    <t>MAEU609408941</t>
  </si>
  <si>
    <t>COSU6351562720</t>
  </si>
  <si>
    <t>MEDUAJ646358</t>
  </si>
  <si>
    <t>AU근위</t>
  </si>
  <si>
    <t>MEDUP1411016</t>
  </si>
  <si>
    <t>SR다리살</t>
  </si>
  <si>
    <t>MAEU914856668</t>
  </si>
  <si>
    <t>ONEYSAOD01528800</t>
  </si>
  <si>
    <t>GU다리살</t>
  </si>
  <si>
    <t>MAEU914892720</t>
  </si>
  <si>
    <t>MAEU914886811</t>
  </si>
  <si>
    <t>MAEU914896239</t>
  </si>
  <si>
    <t>HLCUIT1230322327</t>
  </si>
  <si>
    <t>AU장각</t>
  </si>
  <si>
    <t>HLCUIT1230322338</t>
  </si>
  <si>
    <t>MAEU609478996</t>
  </si>
  <si>
    <t>HDMUSAOA01519100</t>
  </si>
  <si>
    <t>날개</t>
  </si>
  <si>
    <t>HDMUSAOA34791901</t>
  </si>
  <si>
    <t>HDMUSAOA06980700</t>
  </si>
  <si>
    <t>HDMUSAOA06980706</t>
    <phoneticPr fontId="48" type="noConversion"/>
  </si>
  <si>
    <t>HDMUSAOA06980704</t>
  </si>
  <si>
    <t>HDMUSAOA77345201</t>
  </si>
  <si>
    <t>㈜디케이통상</t>
    <phoneticPr fontId="48" type="noConversion"/>
  </si>
  <si>
    <t>MAEU226713352</t>
  </si>
  <si>
    <t>PG장각</t>
  </si>
  <si>
    <t>MAEU914906741</t>
  </si>
  <si>
    <t>핀란드</t>
    <phoneticPr fontId="48" type="noConversion"/>
  </si>
  <si>
    <t>MAEUJBS178657</t>
  </si>
  <si>
    <t>HDMUSAOA10722800</t>
  </si>
  <si>
    <t>NA날개</t>
  </si>
  <si>
    <t>HDMUSAOA10722801</t>
  </si>
  <si>
    <t>주식회사 디케이통상 (동일)</t>
    <phoneticPr fontId="48" type="noConversion"/>
  </si>
  <si>
    <t>MAEU226674882</t>
  </si>
  <si>
    <t>PE장각</t>
  </si>
  <si>
    <t>COSU8038123969</t>
  </si>
  <si>
    <t>주식회사 디케이통상</t>
  </si>
  <si>
    <t>MAEU226713385</t>
  </si>
  <si>
    <t>HDMUSAOA73141011</t>
  </si>
  <si>
    <t>MAEUJBS179968</t>
  </si>
  <si>
    <t>MEDUP1474139</t>
  </si>
  <si>
    <t>HDMUSAOA97686300</t>
  </si>
  <si>
    <t>HDMUSAOA31787300</t>
  </si>
  <si>
    <t>MEDUSF322250</t>
  </si>
  <si>
    <t>SA다리살</t>
  </si>
  <si>
    <t>ONEYSAOD13654401</t>
  </si>
  <si>
    <t>SR조각정육</t>
  </si>
  <si>
    <t>MAEUJBS180671</t>
  </si>
  <si>
    <t>MAEUJBS180992</t>
  </si>
  <si>
    <t>MAEUJBS180982</t>
  </si>
  <si>
    <t>MCPU228143244</t>
  </si>
  <si>
    <t>조각정육20/25G</t>
  </si>
  <si>
    <t>MEDUAJ766602</t>
  </si>
  <si>
    <t>HDMUSAOA82087700</t>
  </si>
  <si>
    <t>MAEUSSZ752054</t>
  </si>
  <si>
    <t>PA다리살</t>
  </si>
  <si>
    <t>NSSLLCBSC2300496</t>
  </si>
  <si>
    <t>가슴살</t>
  </si>
  <si>
    <t>NSSLLCBSC2300497</t>
  </si>
  <si>
    <t>MAEUJBS181798</t>
  </si>
  <si>
    <t>HDMUSAOA69973425</t>
  </si>
  <si>
    <t>MEDUP1498930</t>
  </si>
  <si>
    <t>HDMUSAOA69973404</t>
  </si>
  <si>
    <t>AU다리살</t>
  </si>
  <si>
    <t>HDMUSAOA23412608</t>
  </si>
  <si>
    <t>HDMUSAOA23412603</t>
  </si>
  <si>
    <t>HDMUSAOA66430201</t>
  </si>
  <si>
    <t>HDMUSAOA94384400</t>
  </si>
  <si>
    <t>HDMUSAOA94384402</t>
  </si>
  <si>
    <t>MAEUJBS182512</t>
  </si>
  <si>
    <t>MAEUJBS182513</t>
  </si>
  <si>
    <t>KMTCLCH4368466</t>
  </si>
  <si>
    <t>수월한 주식회사 (뉴아시아)</t>
  </si>
  <si>
    <t>MAEU914970442</t>
  </si>
  <si>
    <t>HASLS22230700160</t>
  </si>
  <si>
    <t>MAEU914964274</t>
  </si>
  <si>
    <t>ONEYSAOD17232702</t>
  </si>
  <si>
    <t>ONEYSAOD17232707</t>
  </si>
  <si>
    <t>KMTCLCH4371509</t>
    <phoneticPr fontId="48" type="noConversion"/>
  </si>
  <si>
    <t>목살
안창살
윙스틱50/65G
가슴살12/17G</t>
    <phoneticPr fontId="48" type="noConversion"/>
  </si>
  <si>
    <t>MEDUAJ810574</t>
  </si>
  <si>
    <t>MEDUAJ810566</t>
  </si>
  <si>
    <t>㈜디케이통상 (동일)</t>
  </si>
  <si>
    <t>EGLV405341802465</t>
    <phoneticPr fontId="48" type="noConversion"/>
  </si>
  <si>
    <t>MAEUJBS184008</t>
  </si>
  <si>
    <t>MAEUJBS184013</t>
  </si>
  <si>
    <t>MAEUJBS184018</t>
  </si>
  <si>
    <t>HDMUSAOA51883002</t>
  </si>
  <si>
    <t>HDMUSAOA65910506</t>
    <phoneticPr fontId="48" type="noConversion"/>
  </si>
  <si>
    <t>HDMUSAOA65910507</t>
  </si>
  <si>
    <t>HDMUSAOA65910509</t>
  </si>
  <si>
    <t>HDMUSAOA65910512</t>
    <phoneticPr fontId="48" type="noConversion"/>
  </si>
  <si>
    <t>HLCUPN4230568198</t>
  </si>
  <si>
    <t>MN닭발</t>
  </si>
  <si>
    <t>HLCUPN4230568205</t>
  </si>
  <si>
    <t>HLCUPN4230568216</t>
  </si>
  <si>
    <t>HLCUPN4230568227</t>
  </si>
  <si>
    <t>SUDU63SSZ028276C</t>
  </si>
  <si>
    <t>MAEU914967856</t>
  </si>
  <si>
    <t>㈜씨에이치푸드</t>
  </si>
  <si>
    <t>SUDU63SSZ028276G</t>
  </si>
  <si>
    <t>KMTCLCH4381521</t>
  </si>
  <si>
    <t>윙스틱40/55G</t>
  </si>
  <si>
    <t>주식회사 뉴아시아 (동일)</t>
  </si>
  <si>
    <t>MEDUTO968944</t>
  </si>
  <si>
    <t>MEDUTO993082</t>
  </si>
  <si>
    <t>ONEYSAOD19520904</t>
    <phoneticPr fontId="48" type="noConversion"/>
  </si>
  <si>
    <t>HASLS22230702019</t>
  </si>
  <si>
    <t>태국</t>
    <phoneticPr fontId="48" type="noConversion"/>
  </si>
  <si>
    <t>MEDUP1513514</t>
  </si>
  <si>
    <t>MEDUAJ829319</t>
  </si>
  <si>
    <t>SA다리살(153)
SA다리살(716)
SA다리살(1084)</t>
    <phoneticPr fontId="48" type="noConversion"/>
  </si>
  <si>
    <t>ONEYSAOD18307400</t>
  </si>
  <si>
    <t>HDMUSAOA57577507</t>
  </si>
  <si>
    <t>MAEUJBS184025</t>
  </si>
  <si>
    <t>MAEUJBS184189</t>
  </si>
  <si>
    <t>MAEUJBS185841</t>
  </si>
  <si>
    <t>MAEUJBS186578</t>
  </si>
  <si>
    <t>대와실업</t>
  </si>
  <si>
    <t>MAEUJBS185635</t>
  </si>
  <si>
    <t>MAEUJBS185627</t>
  </si>
  <si>
    <t>수월한 주식회사 (동일)</t>
  </si>
  <si>
    <t>MAEUJBS186377</t>
  </si>
  <si>
    <t>MAEUJBS186379</t>
  </si>
  <si>
    <t>HDMUSAOA44222717</t>
  </si>
  <si>
    <t>HDMUSAOA44222718</t>
  </si>
  <si>
    <t>HDMUSAOA44222710</t>
    <phoneticPr fontId="48" type="noConversion"/>
  </si>
  <si>
    <t>MAEU914984449</t>
  </si>
  <si>
    <t>MEDUP1522820</t>
  </si>
  <si>
    <t>SR장각</t>
  </si>
  <si>
    <t>MEDUAJ851032</t>
  </si>
  <si>
    <t>MEDUAJ851065</t>
  </si>
  <si>
    <t>MEDUAJ798456</t>
    <phoneticPr fontId="48" type="noConversion"/>
  </si>
  <si>
    <t>SA다리살(559)
SA다리살(1421)</t>
    <phoneticPr fontId="48" type="noConversion"/>
  </si>
  <si>
    <t>HDMUSAOA52028302</t>
  </si>
  <si>
    <t>HDMUSAOA52028304</t>
  </si>
  <si>
    <t>HDMUSAOA52028311</t>
  </si>
  <si>
    <t>HDMUSAOA02957804</t>
  </si>
  <si>
    <t>HDMUSAOA02957808</t>
    <phoneticPr fontId="48" type="noConversion"/>
  </si>
  <si>
    <t>HDMUSAOA31620500</t>
  </si>
  <si>
    <t>HDMUSAOA02957800</t>
  </si>
  <si>
    <t>SR다리살</t>
    <phoneticPr fontId="48" type="noConversion"/>
  </si>
  <si>
    <t>HDMUSAOA02957806</t>
  </si>
  <si>
    <t>NVT300116000</t>
  </si>
  <si>
    <t>HDMUSAOA52028320</t>
  </si>
  <si>
    <t>HDMUSAOA52028321</t>
  </si>
  <si>
    <t>HDMUSAOA52028300</t>
  </si>
  <si>
    <t>HDMUSAOA52028305</t>
  </si>
  <si>
    <t>HDMUSAOA52028318</t>
  </si>
  <si>
    <t>HDMUSAOA05247000</t>
  </si>
  <si>
    <t>HDMUSAOA95637400</t>
  </si>
  <si>
    <t>ONEYSAOD20746401</t>
  </si>
  <si>
    <t>㈜대성무역</t>
    <phoneticPr fontId="48" type="noConversion"/>
  </si>
  <si>
    <t>MAEUJBS187545</t>
  </si>
  <si>
    <t>MAEUJBS187700</t>
    <phoneticPr fontId="48" type="noConversion"/>
  </si>
  <si>
    <t>MAEUJBS187544</t>
  </si>
  <si>
    <t>MAEUJBS187801</t>
  </si>
  <si>
    <t>SUDU63SSZ032439X</t>
  </si>
  <si>
    <t>HASLS22230801570</t>
  </si>
  <si>
    <t>날개90/110G</t>
  </si>
  <si>
    <t>MAEUJBS188555</t>
  </si>
  <si>
    <t>DJSCLCH230002173</t>
  </si>
  <si>
    <t>MEDUAJ858656</t>
  </si>
  <si>
    <t>MEDUAJ858748</t>
    <phoneticPr fontId="48" type="noConversion"/>
  </si>
  <si>
    <t>NSSLLCBSC2300693</t>
  </si>
  <si>
    <t>MAEUJBS188303</t>
  </si>
  <si>
    <t>MAEU609593773</t>
  </si>
  <si>
    <t>MAEU914985732</t>
  </si>
  <si>
    <t>CA다리살</t>
  </si>
  <si>
    <t>MAEUSSZ754459</t>
  </si>
  <si>
    <t>HDMUSAOA88605900</t>
  </si>
  <si>
    <t>NSSLLCBSC2300704</t>
  </si>
  <si>
    <t>MAEUJBS188259</t>
  </si>
  <si>
    <t>MAEU914993196</t>
  </si>
  <si>
    <t>HDMUSAOA88605905</t>
  </si>
  <si>
    <t>HDMUSAOA88605901</t>
  </si>
  <si>
    <t>HDMUBKKA13150800</t>
  </si>
  <si>
    <t>HDMUSAOA88605902</t>
  </si>
  <si>
    <t>HDMUSAOA88605906</t>
  </si>
  <si>
    <t>MAEUJBS185638</t>
    <phoneticPr fontId="48" type="noConversion"/>
  </si>
  <si>
    <t>ONEYSAOD19520900</t>
    <phoneticPr fontId="48" type="noConversion"/>
  </si>
  <si>
    <t>HDMUBKKA16167500</t>
  </si>
  <si>
    <t>HDMUSAOA08904200</t>
  </si>
  <si>
    <t>HDMUSAOA59496600</t>
  </si>
  <si>
    <t>ONEYSAOD20371500</t>
    <phoneticPr fontId="48" type="noConversion"/>
  </si>
  <si>
    <t>SUDU63SSZ034701B</t>
  </si>
  <si>
    <t>MAEU229601682</t>
  </si>
  <si>
    <t>NSSLLCBSC2300710</t>
  </si>
  <si>
    <t>NSSLLCBSC2300711</t>
  </si>
  <si>
    <t>HDMUSAOA62738112</t>
  </si>
  <si>
    <t>MAEUSSZ754689</t>
  </si>
  <si>
    <t>PA다리살</t>
    <phoneticPr fontId="48" type="noConversion"/>
  </si>
  <si>
    <t>HDMUSAOA62738113</t>
  </si>
  <si>
    <t>HDMUSAOA62738124</t>
  </si>
  <si>
    <t>HDMUSAOA62738117</t>
  </si>
  <si>
    <t>HDMUSAOA62738114</t>
  </si>
  <si>
    <t>AU장각</t>
    <phoneticPr fontId="48" type="noConversion"/>
  </si>
  <si>
    <t>HDMUSAOA62738119</t>
  </si>
  <si>
    <t>HDMUSAOA62738118</t>
  </si>
  <si>
    <t>HDMUSAOA62738103</t>
  </si>
  <si>
    <t>MAEU609593772</t>
  </si>
  <si>
    <t>MAEU609593774</t>
  </si>
  <si>
    <t>MAEU609593784</t>
  </si>
  <si>
    <t>MAEU609593777</t>
  </si>
  <si>
    <t>MAEU609593776</t>
  </si>
  <si>
    <t>MAEU609593775</t>
  </si>
  <si>
    <t>MAEU609593783</t>
  </si>
  <si>
    <t>MAEU609593785</t>
  </si>
  <si>
    <t>MAEU609593786</t>
  </si>
  <si>
    <t>MAEU229171678</t>
  </si>
  <si>
    <t>HLCUPN4230853411</t>
  </si>
  <si>
    <t>MEDUP1532944</t>
  </si>
  <si>
    <t>주식회사 뉴아시아</t>
    <phoneticPr fontId="48" type="noConversion"/>
  </si>
  <si>
    <t>DJSCLCH230002381</t>
  </si>
  <si>
    <t>MAEUJBS188334</t>
  </si>
  <si>
    <t>MAEUJBS188443</t>
  </si>
  <si>
    <t>MAEUJBS188529</t>
  </si>
  <si>
    <t>MEDUAJ873473</t>
  </si>
  <si>
    <t>MAEUJBS186982</t>
  </si>
  <si>
    <t>MAEUJBS188287</t>
  </si>
  <si>
    <t>MAEUJBS188412</t>
  </si>
  <si>
    <t>SNKO190230900353</t>
  </si>
  <si>
    <t>HLCUPN4230661639</t>
  </si>
  <si>
    <t>MEDUP1556117</t>
  </si>
  <si>
    <t>MEDUAJ884611</t>
  </si>
  <si>
    <t>SA다리살</t>
    <phoneticPr fontId="48" type="noConversion"/>
  </si>
  <si>
    <t>MEDUAJ886616</t>
  </si>
  <si>
    <t>MEDUAJ884561</t>
  </si>
  <si>
    <t>MEDUAJ882201</t>
  </si>
  <si>
    <t>MEDUAJ882235</t>
  </si>
  <si>
    <t>MAEUJBS189740</t>
  </si>
  <si>
    <t>SNKO190230901026</t>
  </si>
  <si>
    <t>MAEU229610630</t>
  </si>
  <si>
    <t>MAEUJBS189692</t>
  </si>
  <si>
    <t>MAEUJBS189714</t>
  </si>
  <si>
    <t>SUDU63SSZ036106X</t>
  </si>
  <si>
    <t>SUDU63SSZ036106D</t>
  </si>
  <si>
    <t>MEDUAJ886657</t>
  </si>
  <si>
    <t>MAEUJBS189503</t>
  </si>
  <si>
    <t>MEDUAJ882771</t>
  </si>
  <si>
    <t>MEDUUO025529</t>
  </si>
  <si>
    <t>MAEUJBS190954</t>
  </si>
  <si>
    <t>㈜피델리스글로벌</t>
  </si>
  <si>
    <t>SUDU63SSZ037144X</t>
  </si>
  <si>
    <t>SNKO190230901942</t>
  </si>
  <si>
    <t>HASLS22230900990</t>
  </si>
  <si>
    <t>HDMUSAOA98921304</t>
  </si>
  <si>
    <t>HDMUSAOA98921305</t>
  </si>
  <si>
    <t>HDMUSAOA98921306</t>
  </si>
  <si>
    <t>HDMUSAOA98921309</t>
    <phoneticPr fontId="48" type="noConversion"/>
  </si>
  <si>
    <t>HLCUPN4230859228</t>
  </si>
  <si>
    <t>HDMUSAOA98921302</t>
    <phoneticPr fontId="48" type="noConversion"/>
  </si>
  <si>
    <t>HLCUIT1230819660</t>
  </si>
  <si>
    <t>MEDUAJ882813</t>
  </si>
  <si>
    <t>MEDUAJ882847</t>
  </si>
  <si>
    <t>MEDUAJ882938</t>
  </si>
  <si>
    <t>MEDUP1531961</t>
  </si>
  <si>
    <t>MAEUJBS190294</t>
  </si>
  <si>
    <t>MAEUJBS190314</t>
  </si>
  <si>
    <t>HDMUSAOA97856512</t>
  </si>
  <si>
    <t>HDMUSAOA97856502</t>
    <phoneticPr fontId="48" type="noConversion"/>
  </si>
  <si>
    <t>HDMUSAOA98921301</t>
  </si>
  <si>
    <t>HDMUSAOA97856509</t>
  </si>
  <si>
    <t>HDMUSAOA98921314</t>
  </si>
  <si>
    <t>HDMUSAOA98921315</t>
  </si>
  <si>
    <t>HDMUSAOA30866600</t>
    <phoneticPr fontId="48" type="noConversion"/>
  </si>
  <si>
    <t>MEDUAJ882979</t>
    <phoneticPr fontId="48" type="noConversion"/>
  </si>
  <si>
    <t>MEDUAJ883027</t>
    <phoneticPr fontId="48" type="noConversion"/>
  </si>
  <si>
    <t>HDMUSAOA97856501</t>
  </si>
  <si>
    <t>MAEUJBS191794</t>
  </si>
  <si>
    <t>HDMUSAOA97856507</t>
    <phoneticPr fontId="48" type="noConversion"/>
  </si>
  <si>
    <t>HDMUSAOA97856514</t>
  </si>
  <si>
    <t>HDMUSAOA97856513</t>
  </si>
  <si>
    <t>HDMUSAOA97856515</t>
  </si>
  <si>
    <t>MEDUP1564236</t>
  </si>
  <si>
    <t>MAEUJBS191808</t>
  </si>
  <si>
    <t>HLCUPN4230859608</t>
  </si>
  <si>
    <t>MAEUJBS191836</t>
    <phoneticPr fontId="48" type="noConversion"/>
  </si>
  <si>
    <t>MEDUAJ882763</t>
  </si>
  <si>
    <t>MEDUAJ880304</t>
  </si>
  <si>
    <t>MAEUSSZ758047</t>
  </si>
  <si>
    <t>NSSLBKBSC2400010</t>
  </si>
  <si>
    <t>윙스틱40/55G(1250)
윙스틱50/60G(417)
안심살(250)</t>
    <phoneticPr fontId="1" type="noConversion"/>
  </si>
  <si>
    <t>수월한 주식회사</t>
    <phoneticPr fontId="1" type="noConversion"/>
  </si>
  <si>
    <t>NSSLLCBSC2400071</t>
  </si>
  <si>
    <t>윙스틱40/55G</t>
    <phoneticPr fontId="1" type="noConversion"/>
  </si>
  <si>
    <t>KMTCLCH4632629</t>
  </si>
  <si>
    <t>KMTCLCH4646544</t>
  </si>
  <si>
    <t>KMTCLCH4646549</t>
  </si>
  <si>
    <t>MEDUP1800994</t>
    <phoneticPr fontId="48" type="noConversion"/>
  </si>
  <si>
    <t>대상네트웍스 주식회사</t>
  </si>
  <si>
    <t>HDMUSAOA43521000</t>
  </si>
  <si>
    <t>HDMUSAOA56971600</t>
  </si>
  <si>
    <t>MEDUP1914621</t>
  </si>
  <si>
    <t>MAEU241808064</t>
  </si>
  <si>
    <t>㈜열호통상</t>
    <phoneticPr fontId="1" type="noConversion"/>
  </si>
  <si>
    <t>MAEUJBS240261</t>
    <phoneticPr fontId="1" type="noConversion"/>
  </si>
  <si>
    <t>MEDUE8455994</t>
    <phoneticPr fontId="1" type="noConversion"/>
  </si>
  <si>
    <t>NSSLLCBSC2400826</t>
  </si>
  <si>
    <t>미들윙35/45G</t>
  </si>
  <si>
    <t>MAEUJBS242759</t>
  </si>
  <si>
    <t>MAEUJBS243235</t>
  </si>
  <si>
    <t>MAEUJBS247261</t>
  </si>
  <si>
    <t>NSSLLCBSC2400982</t>
  </si>
  <si>
    <t>MEDUE8632212</t>
  </si>
  <si>
    <t>(주)온새미정</t>
    <phoneticPr fontId="1" type="noConversion"/>
  </si>
  <si>
    <t>MAEU246152896</t>
    <phoneticPr fontId="1" type="noConversion"/>
  </si>
  <si>
    <t>크리스피미들윙
크리스피윙스틱</t>
    <phoneticPr fontId="1" type="noConversion"/>
  </si>
  <si>
    <t>KMTCLCH5020267</t>
  </si>
  <si>
    <t>봉튤립55/65G
윙하프컷
미들윙35/45G
윙스틱45/55G</t>
    <phoneticPr fontId="1" type="noConversion"/>
  </si>
  <si>
    <t>대상㈜유통씨아이씨</t>
    <phoneticPr fontId="1" type="noConversion"/>
  </si>
  <si>
    <t>MEDUE8646899</t>
  </si>
  <si>
    <t>MEDUE8648945</t>
  </si>
  <si>
    <t>ONEYBKKEGJ065700</t>
    <phoneticPr fontId="1" type="noConversion"/>
  </si>
  <si>
    <t>MAEUJBS253346</t>
  </si>
  <si>
    <t>MEDURG976174</t>
    <phoneticPr fontId="1" type="noConversion"/>
  </si>
  <si>
    <t>HDMUSAOA16195800</t>
  </si>
  <si>
    <t>HDMUSAOA63265900</t>
  </si>
  <si>
    <t>MEDUHI126929</t>
  </si>
  <si>
    <t>HDMUSAOA95239200</t>
  </si>
  <si>
    <t>대상(주)유통아이씨</t>
  </si>
  <si>
    <t>MEDUHI131002</t>
  </si>
  <si>
    <t>NSSLLCBSC2500033</t>
  </si>
  <si>
    <t>NSSLBKBSC2500017</t>
  </si>
  <si>
    <t>미들윙35/45G
윙스틱45/55G</t>
    <phoneticPr fontId="1" type="noConversion"/>
  </si>
  <si>
    <t>MAEUJBS254477</t>
  </si>
  <si>
    <t>MAEUJBS254492</t>
  </si>
  <si>
    <t>MAEUJBS254623</t>
  </si>
  <si>
    <t>MEDUE8558490</t>
  </si>
  <si>
    <t>MAEU720575810</t>
  </si>
  <si>
    <t>HDMUSAOA18481300</t>
  </si>
  <si>
    <t>VI닭발35GUP</t>
  </si>
  <si>
    <t>MAEUSSZ778579</t>
  </si>
  <si>
    <t>MAEUSSZ778484</t>
  </si>
  <si>
    <t>OOLU2751621870</t>
  </si>
  <si>
    <t>MAEU246635993</t>
  </si>
  <si>
    <t>HDMUSAOA62056300</t>
    <phoneticPr fontId="1" type="noConversion"/>
  </si>
  <si>
    <t>닭발35GUP</t>
  </si>
  <si>
    <t>MEDUHI123504</t>
  </si>
  <si>
    <t>COSU6405042408</t>
  </si>
  <si>
    <t>BR04508324</t>
  </si>
  <si>
    <t>CO다리살</t>
    <phoneticPr fontId="1" type="noConversion"/>
  </si>
  <si>
    <t>COSU6405467204</t>
  </si>
  <si>
    <t>SSZ1584468B</t>
  </si>
  <si>
    <t>(주)포쉐프</t>
  </si>
  <si>
    <t>ONEYRICF29634700</t>
  </si>
  <si>
    <t>돈육</t>
    <phoneticPr fontId="1" type="noConversion"/>
  </si>
  <si>
    <t>슈가데일베이컨
베이컨</t>
    <phoneticPr fontId="1" type="noConversion"/>
  </si>
  <si>
    <t>NSSLLCBSC2500108</t>
  </si>
  <si>
    <t>LT다리살20/30G</t>
  </si>
  <si>
    <t>NSSLBKBSC2500093</t>
  </si>
  <si>
    <t>NSSLLCBSC2500101</t>
  </si>
  <si>
    <t>LT조각정육25/30G</t>
    <phoneticPr fontId="1" type="noConversion"/>
  </si>
  <si>
    <t>HDMUBKKA29602800</t>
  </si>
  <si>
    <t>HDMUBKKA29602801</t>
  </si>
  <si>
    <t>LT조각정육20/25G</t>
    <phoneticPr fontId="1" type="noConversion"/>
  </si>
  <si>
    <t>MAEU249480122</t>
  </si>
  <si>
    <t>MEDUE8689634</t>
  </si>
  <si>
    <t>MAEUJBS259147</t>
  </si>
  <si>
    <t>MEDUHI151067</t>
  </si>
  <si>
    <t>HDMUSAOA40472900</t>
  </si>
  <si>
    <t>COSU6404528410</t>
  </si>
  <si>
    <t>COSU6405843637</t>
  </si>
  <si>
    <t>HDMUSAOA55864100</t>
    <phoneticPr fontId="1" type="noConversion"/>
  </si>
  <si>
    <t>VI조각정육</t>
  </si>
  <si>
    <t>NSSLLCBSC2500151</t>
  </si>
  <si>
    <t>(주)온새미정</t>
  </si>
  <si>
    <t>HASLS22250202484</t>
  </si>
  <si>
    <t>크리스피 미들윙
크리스피 윙스틱</t>
    <phoneticPr fontId="1" type="noConversion"/>
  </si>
  <si>
    <t>MEDUFM002475</t>
  </si>
  <si>
    <t>NSSLLCBSC2500189</t>
  </si>
  <si>
    <t>윙스틱45/55G</t>
  </si>
  <si>
    <t>NSSLLCBSC2500190</t>
  </si>
  <si>
    <t>KMTCLCH5125136</t>
  </si>
  <si>
    <t>LT다리살</t>
  </si>
  <si>
    <t>CKCOLCH0044024</t>
  </si>
  <si>
    <t>SAO500019302</t>
  </si>
  <si>
    <t>COSU6408063652</t>
  </si>
  <si>
    <t>HASLS22250300340</t>
  </si>
  <si>
    <t>윙스틱45/55G
미들윙35/45G</t>
    <phoneticPr fontId="1" type="noConversion"/>
  </si>
  <si>
    <t>COSU6408064997</t>
  </si>
  <si>
    <t>COSU6408065067</t>
  </si>
  <si>
    <t>HDMUSAOA25474200</t>
  </si>
  <si>
    <t>㈜더맛있는하루</t>
  </si>
  <si>
    <t>HLCUPN4250162428</t>
  </si>
  <si>
    <t>HLCUIT1250200235</t>
  </si>
  <si>
    <t>ONEYRICF67523600</t>
  </si>
  <si>
    <t>로스티드 베이컨</t>
  </si>
  <si>
    <t>미국</t>
    <phoneticPr fontId="1" type="noConversion"/>
  </si>
  <si>
    <t>MAEUJBS261630</t>
    <phoneticPr fontId="1" type="noConversion"/>
  </si>
  <si>
    <t>MAEUJBS262313</t>
  </si>
  <si>
    <t>MAEUSSZ780940</t>
  </si>
  <si>
    <t>HASLS22250300984</t>
  </si>
  <si>
    <t>윙스틱45/55G</t>
    <phoneticPr fontId="1" type="noConversion"/>
  </si>
  <si>
    <t>HLCUPN4250164445</t>
  </si>
  <si>
    <t>NSSLLCBSC2500219</t>
  </si>
  <si>
    <t>NSSLLCBSC2500204</t>
    <phoneticPr fontId="1" type="noConversion"/>
  </si>
  <si>
    <t>HDMUSAOA59753700</t>
  </si>
  <si>
    <t>VI닭발</t>
  </si>
  <si>
    <t>HDMUSAOA49197501</t>
  </si>
  <si>
    <t>ONEYSAOF07540302</t>
  </si>
  <si>
    <t>NSSLLCBSC2500227</t>
  </si>
  <si>
    <t>윙스틱 45/55G</t>
  </si>
  <si>
    <t>NSSLLCBSC2500230</t>
  </si>
  <si>
    <t>COSU6406774709</t>
  </si>
  <si>
    <t>ONEYSAOF04450700</t>
  </si>
  <si>
    <t>MAEUSSZ781584</t>
  </si>
  <si>
    <t>COSU6453325340</t>
  </si>
  <si>
    <t>COSU6453325360</t>
  </si>
  <si>
    <t>HLCURI4250119270</t>
  </si>
  <si>
    <t>NSSLBKBSC2500189</t>
    <phoneticPr fontId="1" type="noConversion"/>
  </si>
  <si>
    <t>미들윙35/45G
윙스틱45/55G</t>
  </si>
  <si>
    <t>ONEYSAOF06439900</t>
  </si>
  <si>
    <t>COSU6408489027</t>
  </si>
  <si>
    <t>HLCURI4250205047</t>
  </si>
  <si>
    <t>NSSLLCBSC2500255</t>
  </si>
  <si>
    <t>SMLMBKK5A1768200</t>
  </si>
  <si>
    <t>MAEUJBS262760</t>
  </si>
  <si>
    <t>ONEYSAOF07727300</t>
  </si>
  <si>
    <t>MAEU720705177</t>
  </si>
  <si>
    <t>MAEUSSZ781699</t>
  </si>
  <si>
    <t>ONEYSAOF07727303</t>
  </si>
  <si>
    <t>MEDUE8717864</t>
  </si>
  <si>
    <t>HLCURI4250212911</t>
  </si>
  <si>
    <t>ONEYSAOF10035300</t>
  </si>
  <si>
    <t>ONEYSAOF10035301</t>
  </si>
  <si>
    <t>HDMUSAOA20247802</t>
  </si>
  <si>
    <t>HASLS22250301543</t>
  </si>
  <si>
    <t>MEDUE8726451</t>
  </si>
  <si>
    <t>KMTCLCH5165001</t>
  </si>
  <si>
    <t>MEDUE8715371</t>
  </si>
  <si>
    <t>HDMUBKKA30834000</t>
    <phoneticPr fontId="1" type="noConversion"/>
  </si>
  <si>
    <t>KMTCLCH5168286</t>
  </si>
  <si>
    <t>HDMUSAOA74511900</t>
  </si>
  <si>
    <t>SSZ1600580</t>
  </si>
  <si>
    <t>HLCUIT1250304541</t>
  </si>
  <si>
    <t>HLCUPN4250360948</t>
  </si>
  <si>
    <t>ONEYSAOF10309700</t>
  </si>
  <si>
    <t>HLCUIT1250309388</t>
  </si>
  <si>
    <t>HLCUIT1250321155</t>
  </si>
  <si>
    <t>NSSLLCBSC2500276</t>
  </si>
  <si>
    <t>ONEYSAOF10317602</t>
  </si>
  <si>
    <t>ONEYSAOF11071400</t>
  </si>
  <si>
    <t>MAEUJBS265024</t>
  </si>
  <si>
    <t>MAEUJBS264936</t>
  </si>
  <si>
    <t>MAEUJBS266067</t>
  </si>
  <si>
    <t>MAEUJBS266075</t>
    <phoneticPr fontId="1" type="noConversion"/>
  </si>
  <si>
    <t>MAEUJBS266239</t>
  </si>
  <si>
    <t>SR조각정육(하프컷)</t>
    <phoneticPr fontId="1" type="noConversion"/>
  </si>
  <si>
    <t>MAEU720748727</t>
  </si>
  <si>
    <t>NSSLBKBSC2500229</t>
  </si>
  <si>
    <t>NSSLBKBSC2500225</t>
  </si>
  <si>
    <t>조각정육25/30G</t>
  </si>
  <si>
    <t>MEDUE8736757</t>
  </si>
  <si>
    <t>EGLV360500033432</t>
  </si>
  <si>
    <t>MEDUFM026219</t>
  </si>
  <si>
    <t>MEDUHI226026</t>
  </si>
  <si>
    <t>NSSLLCBSC2500304</t>
    <phoneticPr fontId="1" type="noConversion"/>
  </si>
  <si>
    <t>NSSLLCBSC2500305</t>
    <phoneticPr fontId="1" type="noConversion"/>
  </si>
  <si>
    <t>NSSLLCBSC2500306</t>
    <phoneticPr fontId="1" type="noConversion"/>
  </si>
  <si>
    <t>미들윙35/45G</t>
    <phoneticPr fontId="1" type="noConversion"/>
  </si>
  <si>
    <t>EGLV360500019227</t>
  </si>
  <si>
    <t>MEDUHI225952</t>
  </si>
  <si>
    <t>ONEYSAOF12016402</t>
  </si>
  <si>
    <t>COSU6410127113</t>
  </si>
  <si>
    <t>COSU6410127116</t>
  </si>
  <si>
    <t>HLCURI4250308869</t>
  </si>
  <si>
    <t>HLCURI4250308931</t>
  </si>
  <si>
    <t>HLCUPN4250356060</t>
  </si>
  <si>
    <t>HDMUBKKA34345400</t>
  </si>
  <si>
    <t>MAEUJBS265384</t>
  </si>
  <si>
    <t>MAEUJBS265395</t>
  </si>
  <si>
    <t>NSSLLCBSC2500310</t>
  </si>
  <si>
    <t>COSU6411358099</t>
  </si>
  <si>
    <t>(주)참트레이딩</t>
  </si>
  <si>
    <t>MAEU250905748</t>
    <phoneticPr fontId="1" type="noConversion"/>
  </si>
  <si>
    <t>MAEU250905759</t>
  </si>
  <si>
    <t>MAEU251317333</t>
    <phoneticPr fontId="1" type="noConversion"/>
  </si>
  <si>
    <t>MAEUJBS265733</t>
  </si>
  <si>
    <t>MAEUJBS265137</t>
  </si>
  <si>
    <t>SR닭발</t>
  </si>
  <si>
    <t>MAEU720723306</t>
  </si>
  <si>
    <t>MAEUJBS266837</t>
  </si>
  <si>
    <t>HLCURI4250314060</t>
  </si>
  <si>
    <t>HLCURI4250314093</t>
  </si>
  <si>
    <t>MEDUFX484670</t>
  </si>
  <si>
    <t>HLCUPN4250368906</t>
    <phoneticPr fontId="1" type="noConversion"/>
  </si>
  <si>
    <t>MEDUE8733259</t>
  </si>
  <si>
    <t>MEDUE8733358</t>
  </si>
  <si>
    <t>MEDUE8735452</t>
  </si>
  <si>
    <t>EGLV360500025308</t>
  </si>
  <si>
    <t>ONEYSAOF14015503</t>
  </si>
  <si>
    <t>ONEYSAOF14015504</t>
  </si>
  <si>
    <t>COSU6453332820</t>
    <phoneticPr fontId="1" type="noConversion"/>
  </si>
  <si>
    <t>MEDUHI233543</t>
  </si>
  <si>
    <t>MEDUHI233634</t>
  </si>
  <si>
    <t>HDMUSAOA58311701</t>
  </si>
  <si>
    <t>MEDUE8743670</t>
  </si>
  <si>
    <t>MEDUSF554738</t>
  </si>
  <si>
    <t>MEDUHI247121</t>
  </si>
  <si>
    <t>MAEU252127813</t>
  </si>
  <si>
    <t>MAEU720748834</t>
  </si>
  <si>
    <t>MAEU720746420</t>
  </si>
  <si>
    <t>HLCUIT1250319753</t>
  </si>
  <si>
    <t>MEDUHI247188</t>
  </si>
  <si>
    <t>MAEUSSZ783520</t>
    <phoneticPr fontId="1" type="noConversion"/>
  </si>
  <si>
    <t>NSSLBKBSC2500244</t>
    <phoneticPr fontId="1" type="noConversion"/>
  </si>
  <si>
    <t>ONEYSAOF14015501</t>
  </si>
  <si>
    <t>ONEYSAOF14015502</t>
  </si>
  <si>
    <t>HDMUSAOA02291101</t>
  </si>
  <si>
    <t>HLCUPN4250371249</t>
  </si>
  <si>
    <t>NSSLLCBSC2500329</t>
    <phoneticPr fontId="1" type="noConversion"/>
  </si>
  <si>
    <t>HLCUIT1250314917</t>
  </si>
  <si>
    <t>HDMUSAOA85816600</t>
    <phoneticPr fontId="1" type="noConversion"/>
  </si>
  <si>
    <t>수 입 화 물 품 목 카 드</t>
    <phoneticPr fontId="1" type="noConversion"/>
  </si>
  <si>
    <t>선 명</t>
    <phoneticPr fontId="1" type="noConversion"/>
  </si>
  <si>
    <t>B/L NO</t>
    <phoneticPr fontId="1" type="noConversion"/>
  </si>
  <si>
    <t>수 입 화 물 품 목 카 드</t>
    <phoneticPr fontId="51" type="noConversion"/>
  </si>
  <si>
    <t>화
주</t>
    <phoneticPr fontId="51" type="noConversion"/>
  </si>
  <si>
    <t>이
름</t>
    <phoneticPr fontId="51" type="noConversion"/>
  </si>
  <si>
    <t>원산지</t>
    <phoneticPr fontId="51" type="noConversion"/>
  </si>
  <si>
    <t>수량</t>
    <phoneticPr fontId="51" type="noConversion"/>
  </si>
  <si>
    <t>입
고
층</t>
    <phoneticPr fontId="51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</si>
  <si>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1" type="noConversion"/>
  </si>
  <si>
    <t>입항일</t>
    <phoneticPr fontId="5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</si>
  <si>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1" type="noConversion"/>
  </si>
  <si>
    <t>화물관리</t>
    <phoneticPr fontId="51" type="noConversion"/>
  </si>
  <si>
    <t>중량</t>
    <phoneticPr fontId="51" type="noConversion"/>
  </si>
  <si>
    <t>선명</t>
    <phoneticPr fontId="51" type="noConversion"/>
  </si>
  <si>
    <t>2P</t>
    <phoneticPr fontId="1" type="noConversion"/>
  </si>
  <si>
    <t>3p 삼계</t>
    <phoneticPr fontId="1" type="noConversion"/>
  </si>
  <si>
    <t>Option Explicit</t>
  </si>
  <si>
    <t>Dim 버튼들 As Collection</t>
  </si>
  <si>
    <t>Private Sub T_품명_AfterUpdate()</t>
  </si>
  <si>
    <t>End Sub</t>
  </si>
  <si>
    <t>Private Sub T_화주_AfterUpdate()</t>
  </si>
  <si>
    <t>'클래스에서 입력되는 동작이 있고 먼저 작동되니</t>
  </si>
  <si>
    <t>Private Sub UserForm_Initialize()</t>
  </si>
  <si>
    <t xml:space="preserve">    Dim ctl As Control</t>
  </si>
  <si>
    <t xml:space="preserve">    Dim btnClass As clsBtn 'clsBtn은 클래스모듈 이름</t>
  </si>
  <si>
    <t xml:space="preserve">    </t>
  </si>
  <si>
    <t xml:space="preserve">    Set 버튼들 = New Collection</t>
  </si>
  <si>
    <t xml:space="preserve">    For Each ctl In Me.Controls</t>
  </si>
  <si>
    <t xml:space="preserve">        If TypeName(ctl) = "CommandButton" Then</t>
  </si>
  <si>
    <t xml:space="preserve">            Set btnClass = New clsBtn</t>
  </si>
  <si>
    <t xml:space="preserve">            Set btnClass.cBtn = ctl 'cBtn은 클래스모듈꺼</t>
  </si>
  <si>
    <t xml:space="preserve">            버튼들.Add btnClass</t>
  </si>
  <si>
    <t xml:space="preserve">        End If</t>
  </si>
  <si>
    <t xml:space="preserve">    Next ctl</t>
  </si>
  <si>
    <t xml:space="preserve">    Call 화찰_초기값셑팅</t>
  </si>
  <si>
    <t xml:space="preserve">    Call 화찰기타_연결그림_셑팅된대로가져옴</t>
  </si>
  <si>
    <t>도형기준셀</t>
    <phoneticPr fontId="1" type="noConversion"/>
  </si>
  <si>
    <t>vba</t>
    <phoneticPr fontId="1" type="noConversion"/>
  </si>
  <si>
    <t>확정주소</t>
    <phoneticPr fontId="1" type="noConversion"/>
  </si>
  <si>
    <t>주소사용가능</t>
    <phoneticPr fontId="1" type="noConversion"/>
  </si>
  <si>
    <t>덩어리</t>
    <phoneticPr fontId="1" type="noConversion"/>
  </si>
  <si>
    <t>1.일반화찰 아닌 3페이지면 2페이지로 변경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</si>
  <si>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</si>
  <si>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</si>
  <si>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</si>
  <si>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주소선택용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</si>
  <si>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</si>
  <si>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</si>
  <si>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</si>
  <si>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</si>
  <si>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</si>
  <si>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</si>
  <si>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</si>
  <si>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</si>
  <si>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텍스트</t>
    <phoneticPr fontId="1" type="noConversion"/>
  </si>
  <si>
    <t>도형클릭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</si>
  <si>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</si>
  <si>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</si>
  <si>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기준셀_도형클릭</t>
    <phoneticPr fontId="1" type="noConversion"/>
  </si>
  <si>
    <t>테두리</t>
    <phoneticPr fontId="1" type="noConversion"/>
  </si>
  <si>
    <t>음영(채움)</t>
    <phoneticPr fontId="1" type="noConversion"/>
  </si>
  <si>
    <t>원/사각</t>
    <phoneticPr fontId="1" type="noConversion"/>
  </si>
  <si>
    <t>품명우측도형_채움원</t>
    <phoneticPr fontId="1" type="noConversion"/>
  </si>
  <si>
    <t>품명우측도형_채움없는원</t>
    <phoneticPr fontId="1" type="noConversion"/>
  </si>
  <si>
    <t>품명우측도형_채움사각형</t>
    <phoneticPr fontId="1" type="noConversion"/>
  </si>
  <si>
    <t>품명우측도형_채움없는사각형</t>
    <phoneticPr fontId="1" type="noConversion"/>
  </si>
  <si>
    <t>품명우측도형_사각형글자만</t>
    <phoneticPr fontId="1" type="noConversion"/>
  </si>
  <si>
    <t>원</t>
    <phoneticPr fontId="1" type="noConversion"/>
  </si>
  <si>
    <t>사각</t>
    <phoneticPr fontId="1" type="noConversion"/>
  </si>
  <si>
    <t xml:space="preserve">    If cBtn.Name = "시트이름_수산" Then cls_화찰_입력_작동시트 "수산화찰": Call 폼버튼색칠</t>
  </si>
  <si>
    <t xml:space="preserve">    If cBtn.Name = "시트이름_축산" Then cls_화찰_입력_작동시트 "축산화찰": Call 폼버튼색칠</t>
  </si>
  <si>
    <t xml:space="preserve">    If cBtn.Name = "시트이름_일반" Then cls_화찰_입력_작동시트 "일반화찰": Call 폼버튼색칠</t>
  </si>
  <si>
    <t xml:space="preserve">    If cBtn.Name = "CMD_페이지" Then cls_화찰폼_페이지클릭 리스트화찰폼.CMD_페이지.Caption</t>
  </si>
  <si>
    <t xml:space="preserve">    If cBtn.Name = "센타도형_채움원" Then cls_도형클릭 cBtn.Name</t>
  </si>
  <si>
    <t xml:space="preserve">    If cBtn.Name = "센타도형_채움없는원" Then cls_도형클릭 cBtn.Name</t>
  </si>
  <si>
    <t xml:space="preserve">    If cBtn.Name = "센타도형_채움사각형" Then cls_도형클릭 cBtn.Name</t>
  </si>
  <si>
    <t xml:space="preserve">    If cBtn.Name = "센타도형_채움없는사각형" Then cls_도형클릭 cBtn.Name</t>
  </si>
  <si>
    <t xml:space="preserve">    If cBtn.Name = "센타도형_사각형글자만" Then cls_도형클릭 cBtn.Name</t>
  </si>
  <si>
    <t xml:space="preserve">    If cBtn.Name = "암수도형_채움원" Then cls_도형클릭 cBtn.Name</t>
  </si>
  <si>
    <t xml:space="preserve">    If cBtn.Name = "암수도형_채움없는원" Then cls_도형클릭 cBtn.Name</t>
  </si>
  <si>
    <t xml:space="preserve">    If cBtn.Name = "암수도형_채움사각형" Then cls_도형클릭 cBtn.Name</t>
  </si>
  <si>
    <t xml:space="preserve">    If cBtn.Name = "암수도형_채움없는사각형" Then cls_도형클릭 cBtn.Name</t>
  </si>
  <si>
    <t xml:space="preserve">    If cBtn.Name = "암수도형_사각형글자만" Then cls_도형클릭 cBtn.Name</t>
  </si>
  <si>
    <t xml:space="preserve">    If cBtn.Name = "암수아래도형_채움원" Then cls_도형클릭 cBtn.Name</t>
  </si>
  <si>
    <t xml:space="preserve">    If cBtn.Name = "암수아래도형_채움없는원" Then cls_도형클릭 cBtn.Name</t>
  </si>
  <si>
    <t xml:space="preserve">    If cBtn.Name = "암수아래도형_채움사각형" Then cls_도형클릭 cBtn.Name</t>
  </si>
  <si>
    <t xml:space="preserve">    If cBtn.Name = "암수아래도형_채움없는사각형" Then cls_도형클릭 cBtn.Name</t>
  </si>
  <si>
    <t xml:space="preserve">    If cBtn.Name = "암수아래도형_사각형글자만" Then cls_도형클릭 cBtn.Name</t>
  </si>
  <si>
    <t xml:space="preserve">    If cBtn.Name = "품명우측도형_채움원" Then cls_도형클릭 cBtn.Name</t>
  </si>
  <si>
    <t xml:space="preserve">    If cBtn.Name = "품명우측도형_채움없는원" Then cls_도형클릭 cBtn.Name</t>
  </si>
  <si>
    <t xml:space="preserve">    If cBtn.Name = "품명우측도형_채움사각형" Then cls_도형클릭 cBtn.Name</t>
  </si>
  <si>
    <t xml:space="preserve">    If cBtn.Name = "품명우측도형_채움없는사각형" Then cls_도형클릭 cBtn.Name</t>
  </si>
  <si>
    <t xml:space="preserve">    If cBtn.Name = "품명우측도형_사각형글자만" Then cls_도형클릭 cBtn.Name</t>
  </si>
  <si>
    <t xml:space="preserve">    If cBtn.Name = "삼오백도형_채움원" Then cls_도형클릭 cBtn.Name</t>
  </si>
  <si>
    <t xml:space="preserve">    If cBtn.Name = "삼오백도형_채움없는원" Then cls_도형클릭 cBtn.Name</t>
  </si>
  <si>
    <t xml:space="preserve">    If cBtn.Name = "삼오백도형_채움사각형" Then cls_도형클릭 cBtn.Name</t>
  </si>
  <si>
    <t xml:space="preserve">    If cBtn.Name = "삼오백도형_채움없는사각형" Then cls_도형클릭 cBtn.Name</t>
  </si>
  <si>
    <t xml:space="preserve">    If cBtn.Name = "삼오백도형_사각형글자만" Then cls_도형클릭 cBtn.Name</t>
  </si>
  <si>
    <t>기준셀_화찰정보당겨오기</t>
    <phoneticPr fontId="1" type="noConversion"/>
  </si>
  <si>
    <t>센터도형_채움원</t>
    <phoneticPr fontId="1" type="noConversion"/>
  </si>
  <si>
    <t>센터도형_채움없는원</t>
    <phoneticPr fontId="1" type="noConversion"/>
  </si>
  <si>
    <t>센터도형_채움사각형</t>
    <phoneticPr fontId="1" type="noConversion"/>
  </si>
  <si>
    <t>센터도형_채움없는사각형</t>
    <phoneticPr fontId="1" type="noConversion"/>
  </si>
  <si>
    <t>센터도형_사각형글자만</t>
    <phoneticPr fontId="1" type="noConversion"/>
  </si>
  <si>
    <t>단계</t>
    <phoneticPr fontId="1" type="noConversion"/>
  </si>
  <si>
    <t>단계설정가로이동</t>
    <phoneticPr fontId="1" type="noConversion"/>
  </si>
  <si>
    <t>B-1</t>
    <phoneticPr fontId="1" type="noConversion"/>
  </si>
  <si>
    <t>삼오백중</t>
    <phoneticPr fontId="1" type="noConversion"/>
  </si>
  <si>
    <t>삼오백도형_채움원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</si>
  <si>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</si>
  <si>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</si>
  <si>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</si>
  <si>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삼오백도형_사각형글자만</t>
    <phoneticPr fontId="1" type="noConversion"/>
  </si>
  <si>
    <t>강제단계</t>
    <phoneticPr fontId="1" type="noConversion"/>
  </si>
  <si>
    <t>중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</si>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</sst>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#,##0_ "/>
    <numFmt numFmtId="177" formatCode="#,##0.00_ "/>
    <numFmt numFmtId="178" formatCode="m&quot;/&quot;d;@"/>
    <numFmt numFmtId="179" formatCode="#,##0.00_);[Red]\(#,##0.00\)"/>
    <numFmt numFmtId="180" formatCode="#,##0.0_);[Red]\(#,##0.0\)"/>
    <numFmt numFmtId="181" formatCode="#,##0_);[Red]\(#,##0\)"/>
    <numFmt numFmtId="182" formatCode="General\ &quot;kg&quot;"/>
    <numFmt numFmtId="183" formatCode="#,##0.0_ "/>
    <numFmt numFmtId="184" formatCode="yyyy&quot;년&quot;\ m&quot;월&quot;\ d&quot;일&quot;;@"/>
    <numFmt numFmtId="185" formatCode="yyyy\.mm\.dd"/>
    <numFmt numFmtId="186" formatCode="0_);[Red]\(0\)"/>
    <numFmt numFmtId="187" formatCode="mm\/dd"/>
    <numFmt numFmtId="188" formatCode="General&quot;)&quot;"/>
    <numFmt numFmtId="189" formatCode="General&quot;장&quot;"/>
    <numFmt numFmtId="190" formatCode="General&quot;층&quot;"/>
  </numFmts>
  <fonts count="6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굴림체"/>
      <family val="3"/>
      <charset val="129"/>
    </font>
    <font>
      <sz val="8"/>
      <color theme="1"/>
      <name val="바탕체"/>
      <family val="1"/>
      <charset val="129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sz val="11"/>
      <color theme="1"/>
      <name val="바탕체"/>
      <family val="1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굴림체"/>
      <family val="3"/>
      <charset val="129"/>
    </font>
    <font>
      <sz val="9"/>
      <name val="돋움"/>
      <family val="3"/>
      <charset val="129"/>
    </font>
    <font>
      <sz val="9"/>
      <name val="바탕체"/>
      <family val="1"/>
      <charset val="129"/>
    </font>
    <font>
      <sz val="8"/>
      <name val="돋움"/>
      <family val="3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color theme="1"/>
      <name val="맑은 고딕"/>
      <family val="2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b/>
      <sz val="9"/>
      <name val="바탕"/>
      <family val="1"/>
      <charset val="129"/>
    </font>
    <font>
      <sz val="9"/>
      <color theme="1"/>
      <name val="바탕체"/>
      <family val="1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9"/>
      <color indexed="8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name val="굴림체"/>
      <family val="3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sz val="8"/>
      <name val="맑은 고딕"/>
      <family val="3"/>
      <charset val="129"/>
    </font>
    <font>
      <b/>
      <u/>
      <sz val="16"/>
      <name val="돋움"/>
      <family val="3"/>
      <charset val="129"/>
    </font>
    <font>
      <sz val="9"/>
      <name val="맑은 고딕"/>
      <family val="3"/>
      <charset val="129"/>
      <scheme val="minor"/>
    </font>
    <font>
      <sz val="8"/>
      <name val="새굴림"/>
      <family val="2"/>
      <charset val="129"/>
    </font>
    <font>
      <sz val="9"/>
      <color theme="1"/>
      <name val="맑은 고딕"/>
      <family val="3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12"/>
      <name val="바탕체"/>
      <family val="1"/>
      <charset val="129"/>
    </font>
    <font>
      <b/>
      <u/>
      <sz val="9"/>
      <color theme="1"/>
      <name val="바탕체"/>
      <family val="1"/>
      <charset val="129"/>
    </font>
    <font>
      <sz val="9"/>
      <name val="바탕체"/>
      <family val="1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10"/>
      <color theme="1"/>
      <name val="맑은 고딕"/>
      <family val="3"/>
      <charset val="129"/>
      <scheme val="minor"/>
    </font>
    <font>
      <b/>
      <sz val="9"/>
      <color theme="0"/>
      <name val="굴림체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>
      <alignment vertical="center"/>
    </xf>
  </cellStyleXfs>
  <cellXfs count="4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14" fontId="2" fillId="3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6" borderId="4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6" borderId="1" xfId="0" applyFont="1" applyFill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6" borderId="9" xfId="0" applyFont="1" applyFill="1" applyBorder="1">
      <alignment vertical="center"/>
    </xf>
    <xf numFmtId="0" fontId="2" fillId="3" borderId="9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6" borderId="2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3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5" xfId="0" applyFont="1" applyBorder="1">
      <alignment vertical="center"/>
    </xf>
    <xf numFmtId="0" fontId="5" fillId="7" borderId="19" xfId="0" applyFont="1" applyFill="1" applyBorder="1" applyAlignment="1">
      <alignment vertical="center" shrinkToFit="1"/>
    </xf>
    <xf numFmtId="0" fontId="5" fillId="7" borderId="0" xfId="0" applyFont="1" applyFill="1" applyAlignment="1">
      <alignment vertical="center" shrinkToFit="1"/>
    </xf>
    <xf numFmtId="0" fontId="0" fillId="7" borderId="0" xfId="0" applyFill="1">
      <alignment vertical="center"/>
    </xf>
    <xf numFmtId="0" fontId="0" fillId="7" borderId="19" xfId="0" applyFill="1" applyBorder="1" applyAlignment="1">
      <alignment vertical="center" shrinkToFit="1"/>
    </xf>
    <xf numFmtId="0" fontId="0" fillId="7" borderId="0" xfId="0" applyFill="1" applyAlignment="1">
      <alignment vertical="center" shrinkToFit="1"/>
    </xf>
    <xf numFmtId="0" fontId="0" fillId="7" borderId="24" xfId="0" applyFill="1" applyBorder="1" applyAlignment="1">
      <alignment vertical="center" shrinkToFit="1"/>
    </xf>
    <xf numFmtId="0" fontId="0" fillId="7" borderId="1" xfId="0" applyFill="1" applyBorder="1" applyAlignment="1">
      <alignment vertical="center" shrinkToFit="1"/>
    </xf>
    <xf numFmtId="0" fontId="0" fillId="7" borderId="1" xfId="0" applyFill="1" applyBorder="1" applyAlignment="1">
      <alignment horizontal="center" vertical="center" shrinkToFit="1"/>
    </xf>
    <xf numFmtId="177" fontId="8" fillId="7" borderId="1" xfId="0" applyNumberFormat="1" applyFont="1" applyFill="1" applyBorder="1" applyAlignment="1">
      <alignment horizontal="center" vertical="center" shrinkToFit="1"/>
    </xf>
    <xf numFmtId="176" fontId="8" fillId="7" borderId="1" xfId="0" applyNumberFormat="1" applyFont="1" applyFill="1" applyBorder="1" applyAlignment="1">
      <alignment horizontal="center" vertical="center" shrinkToFit="1"/>
    </xf>
    <xf numFmtId="0" fontId="0" fillId="7" borderId="22" xfId="0" applyFill="1" applyBorder="1" applyAlignment="1">
      <alignment vertical="center" shrinkToFit="1"/>
    </xf>
    <xf numFmtId="0" fontId="0" fillId="7" borderId="21" xfId="0" applyFill="1" applyBorder="1" applyAlignment="1">
      <alignment vertical="center" shrinkToFit="1"/>
    </xf>
    <xf numFmtId="0" fontId="5" fillId="7" borderId="19" xfId="0" applyFont="1" applyFill="1" applyBorder="1" applyAlignment="1">
      <alignment horizontal="center" vertical="center" shrinkToFit="1"/>
    </xf>
    <xf numFmtId="0" fontId="5" fillId="7" borderId="0" xfId="0" applyFont="1" applyFill="1" applyAlignment="1">
      <alignment horizontal="center" vertical="center" shrinkToFit="1"/>
    </xf>
    <xf numFmtId="0" fontId="0" fillId="7" borderId="1" xfId="0" applyFill="1" applyBorder="1" applyAlignment="1">
      <alignment horizontal="center" vertical="center" wrapText="1" shrinkToFit="1"/>
    </xf>
    <xf numFmtId="0" fontId="0" fillId="8" borderId="1" xfId="0" applyFill="1" applyBorder="1" applyAlignment="1">
      <alignment horizontal="center" vertical="center" wrapText="1" shrinkToFit="1"/>
    </xf>
    <xf numFmtId="0" fontId="17" fillId="7" borderId="1" xfId="0" applyFont="1" applyFill="1" applyBorder="1" applyAlignment="1">
      <alignment vertical="center" shrinkToFit="1"/>
    </xf>
    <xf numFmtId="0" fontId="17" fillId="8" borderId="1" xfId="0" applyFont="1" applyFill="1" applyBorder="1" applyAlignment="1">
      <alignment vertical="center" shrinkToFit="1"/>
    </xf>
    <xf numFmtId="0" fontId="0" fillId="8" borderId="1" xfId="0" applyFill="1" applyBorder="1" applyAlignment="1">
      <alignment horizontal="center" vertical="center" shrinkToFit="1"/>
    </xf>
    <xf numFmtId="0" fontId="0" fillId="0" borderId="19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26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9" fillId="0" borderId="16" xfId="0" applyFont="1" applyBorder="1">
      <alignment vertical="center"/>
    </xf>
    <xf numFmtId="180" fontId="30" fillId="0" borderId="1" xfId="0" applyNumberFormat="1" applyFont="1" applyBorder="1" applyAlignment="1">
      <alignment horizontal="right" vertical="center" shrinkToFit="1"/>
    </xf>
    <xf numFmtId="0" fontId="32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left" vertical="center" shrinkToFit="1"/>
    </xf>
    <xf numFmtId="182" fontId="32" fillId="0" borderId="0" xfId="0" applyNumberFormat="1" applyFont="1" applyAlignment="1">
      <alignment horizontal="left" vertical="center" shrinkToFit="1"/>
    </xf>
    <xf numFmtId="176" fontId="32" fillId="0" borderId="0" xfId="0" applyNumberFormat="1" applyFont="1" applyAlignment="1">
      <alignment horizontal="right" vertical="center" shrinkToFit="1"/>
    </xf>
    <xf numFmtId="180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right" vertical="center" shrinkToFit="1"/>
    </xf>
    <xf numFmtId="183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180" fontId="3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0" fontId="29" fillId="0" borderId="20" xfId="0" applyFont="1" applyBorder="1">
      <alignment vertical="center"/>
    </xf>
    <xf numFmtId="0" fontId="32" fillId="0" borderId="21" xfId="0" applyFont="1" applyBorder="1">
      <alignment vertical="center"/>
    </xf>
    <xf numFmtId="0" fontId="32" fillId="0" borderId="21" xfId="0" applyFont="1" applyBorder="1" applyAlignment="1">
      <alignment horizontal="left" vertical="center"/>
    </xf>
    <xf numFmtId="0" fontId="32" fillId="0" borderId="21" xfId="0" applyFont="1" applyBorder="1" applyAlignment="1">
      <alignment horizontal="left" vertical="center" shrinkToFit="1"/>
    </xf>
    <xf numFmtId="0" fontId="32" fillId="0" borderId="21" xfId="0" applyFont="1" applyBorder="1" applyAlignment="1">
      <alignment horizontal="right" vertical="center"/>
    </xf>
    <xf numFmtId="180" fontId="32" fillId="0" borderId="21" xfId="0" applyNumberFormat="1" applyFont="1" applyBorder="1" applyAlignment="1">
      <alignment horizontal="right" vertical="center"/>
    </xf>
    <xf numFmtId="0" fontId="0" fillId="0" borderId="21" xfId="0" applyBorder="1">
      <alignment vertical="center"/>
    </xf>
    <xf numFmtId="0" fontId="33" fillId="0" borderId="21" xfId="0" applyFont="1" applyBorder="1" applyAlignment="1">
      <alignment horizontal="center" vertical="center"/>
    </xf>
    <xf numFmtId="0" fontId="33" fillId="0" borderId="21" xfId="0" applyFont="1" applyBorder="1" applyAlignment="1">
      <alignment horizontal="left" vertical="center"/>
    </xf>
    <xf numFmtId="0" fontId="33" fillId="0" borderId="21" xfId="0" applyFont="1" applyBorder="1" applyAlignment="1">
      <alignment horizontal="left" vertical="center" shrinkToFit="1"/>
    </xf>
    <xf numFmtId="0" fontId="33" fillId="0" borderId="21" xfId="0" applyFont="1" applyBorder="1" applyAlignment="1">
      <alignment horizontal="right" vertical="center"/>
    </xf>
    <xf numFmtId="180" fontId="33" fillId="0" borderId="21" xfId="0" applyNumberFormat="1" applyFont="1" applyBorder="1" applyAlignment="1">
      <alignment horizontal="right" vertical="center"/>
    </xf>
    <xf numFmtId="0" fontId="0" fillId="0" borderId="16" xfId="0" applyBorder="1">
      <alignment vertical="center"/>
    </xf>
    <xf numFmtId="184" fontId="32" fillId="0" borderId="0" xfId="0" applyNumberFormat="1" applyFont="1" applyAlignment="1">
      <alignment horizontal="left" vertical="center" shrinkToFit="1"/>
    </xf>
    <xf numFmtId="0" fontId="30" fillId="7" borderId="1" xfId="0" applyFont="1" applyFill="1" applyBorder="1" applyAlignment="1">
      <alignment horizontal="right" vertical="center"/>
    </xf>
    <xf numFmtId="180" fontId="30" fillId="7" borderId="1" xfId="0" applyNumberFormat="1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left" vertical="center" shrinkToFit="1"/>
    </xf>
    <xf numFmtId="176" fontId="30" fillId="7" borderId="1" xfId="0" applyNumberFormat="1" applyFont="1" applyFill="1" applyBorder="1" applyAlignment="1">
      <alignment horizontal="right" vertical="center" shrinkToFit="1"/>
    </xf>
    <xf numFmtId="177" fontId="30" fillId="7" borderId="1" xfId="0" applyNumberFormat="1" applyFont="1" applyFill="1" applyBorder="1" applyAlignment="1">
      <alignment horizontal="right" vertical="center" shrinkToFit="1"/>
    </xf>
    <xf numFmtId="185" fontId="30" fillId="7" borderId="1" xfId="0" applyNumberFormat="1" applyFont="1" applyFill="1" applyBorder="1" applyAlignment="1">
      <alignment horizontal="center" vertical="center" shrinkToFit="1"/>
    </xf>
    <xf numFmtId="0" fontId="34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 shrinkToFit="1"/>
    </xf>
    <xf numFmtId="178" fontId="35" fillId="0" borderId="1" xfId="0" applyNumberFormat="1" applyFont="1" applyBorder="1" applyAlignment="1">
      <alignment horizontal="center" vertical="center" shrinkToFit="1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0" fontId="34" fillId="2" borderId="0" xfId="0" applyFont="1" applyFill="1">
      <alignment vertical="center"/>
    </xf>
    <xf numFmtId="0" fontId="30" fillId="7" borderId="1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left" vertical="center"/>
    </xf>
    <xf numFmtId="0" fontId="37" fillId="10" borderId="1" xfId="0" applyFont="1" applyFill="1" applyBorder="1" applyAlignment="1">
      <alignment horizontal="left" vertical="center" wrapText="1"/>
    </xf>
    <xf numFmtId="0" fontId="38" fillId="0" borderId="0" xfId="0" applyFont="1">
      <alignment vertical="center"/>
    </xf>
    <xf numFmtId="0" fontId="38" fillId="11" borderId="0" xfId="0" applyFont="1" applyFill="1">
      <alignment vertical="center"/>
    </xf>
    <xf numFmtId="0" fontId="39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12" borderId="0" xfId="0" applyFill="1">
      <alignment vertical="center"/>
    </xf>
    <xf numFmtId="0" fontId="40" fillId="0" borderId="1" xfId="0" applyFont="1" applyBorder="1" applyAlignment="1">
      <alignment horizontal="left" vertical="center"/>
    </xf>
    <xf numFmtId="49" fontId="30" fillId="0" borderId="1" xfId="0" applyNumberFormat="1" applyFont="1" applyBorder="1" applyAlignment="1">
      <alignment horizontal="left" vertical="center"/>
    </xf>
    <xf numFmtId="0" fontId="39" fillId="0" borderId="1" xfId="0" applyFont="1" applyBorder="1" applyAlignment="1">
      <alignment horizontal="center" vertical="center" wrapText="1"/>
    </xf>
    <xf numFmtId="178" fontId="30" fillId="0" borderId="1" xfId="0" applyNumberFormat="1" applyFont="1" applyBorder="1" applyAlignment="1">
      <alignment horizontal="center" vertical="center" wrapText="1" shrinkToFit="1"/>
    </xf>
    <xf numFmtId="0" fontId="30" fillId="0" borderId="1" xfId="0" applyFont="1" applyBorder="1" applyAlignment="1">
      <alignment horizontal="center" vertical="center" wrapText="1"/>
    </xf>
    <xf numFmtId="0" fontId="41" fillId="13" borderId="28" xfId="0" applyFont="1" applyFill="1" applyBorder="1" applyAlignment="1">
      <alignment horizontal="center"/>
    </xf>
    <xf numFmtId="0" fontId="42" fillId="0" borderId="0" xfId="0" applyFont="1">
      <alignment vertical="center"/>
    </xf>
    <xf numFmtId="0" fontId="43" fillId="9" borderId="0" xfId="0" applyFont="1" applyFill="1">
      <alignment vertical="center"/>
    </xf>
    <xf numFmtId="0" fontId="43" fillId="0" borderId="0" xfId="0" applyFont="1">
      <alignment vertical="center"/>
    </xf>
    <xf numFmtId="0" fontId="43" fillId="8" borderId="0" xfId="0" applyFont="1" applyFill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84" fontId="46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left" vertical="center"/>
    </xf>
    <xf numFmtId="0" fontId="44" fillId="0" borderId="0" xfId="0" applyFont="1">
      <alignment vertical="center"/>
    </xf>
    <xf numFmtId="38" fontId="44" fillId="0" borderId="0" xfId="0" applyNumberFormat="1" applyFont="1" applyAlignment="1">
      <alignment horizontal="center" vertical="center"/>
    </xf>
    <xf numFmtId="184" fontId="47" fillId="0" borderId="0" xfId="0" applyNumberFormat="1" applyFont="1" applyAlignment="1">
      <alignment horizontal="center" vertical="center"/>
    </xf>
    <xf numFmtId="38" fontId="44" fillId="0" borderId="0" xfId="0" applyNumberFormat="1" applyFont="1">
      <alignment vertical="center"/>
    </xf>
    <xf numFmtId="0" fontId="0" fillId="0" borderId="0" xfId="0" applyAlignment="1">
      <alignment horizontal="left" vertical="center"/>
    </xf>
    <xf numFmtId="0" fontId="38" fillId="0" borderId="1" xfId="0" applyFont="1" applyBorder="1">
      <alignment vertical="center"/>
    </xf>
    <xf numFmtId="22" fontId="0" fillId="3" borderId="0" xfId="0" applyNumberFormat="1" applyFill="1">
      <alignment vertical="center"/>
    </xf>
    <xf numFmtId="0" fontId="30" fillId="0" borderId="1" xfId="0" applyFont="1" applyBorder="1" applyAlignment="1">
      <alignment horizontal="left" vertical="center"/>
    </xf>
    <xf numFmtId="0" fontId="30" fillId="8" borderId="1" xfId="0" applyFont="1" applyFill="1" applyBorder="1">
      <alignment vertical="center"/>
    </xf>
    <xf numFmtId="0" fontId="30" fillId="8" borderId="1" xfId="0" applyFont="1" applyFill="1" applyBorder="1" applyAlignment="1">
      <alignment horizontal="left" vertical="center"/>
    </xf>
    <xf numFmtId="0" fontId="30" fillId="8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3" fillId="4" borderId="1" xfId="0" applyFont="1" applyFill="1" applyBorder="1">
      <alignment vertical="center"/>
    </xf>
    <xf numFmtId="0" fontId="3" fillId="14" borderId="1" xfId="0" applyFont="1" applyFill="1" applyBorder="1">
      <alignment vertical="center"/>
    </xf>
    <xf numFmtId="176" fontId="3" fillId="14" borderId="1" xfId="0" applyNumberFormat="1" applyFont="1" applyFill="1" applyBorder="1">
      <alignment vertical="center"/>
    </xf>
    <xf numFmtId="177" fontId="3" fillId="14" borderId="1" xfId="0" applyNumberFormat="1" applyFont="1" applyFill="1" applyBorder="1">
      <alignment vertical="center"/>
    </xf>
    <xf numFmtId="178" fontId="30" fillId="0" borderId="1" xfId="0" applyNumberFormat="1" applyFont="1" applyBorder="1" applyAlignment="1">
      <alignment horizontal="center" vertical="center" shrinkToFit="1"/>
    </xf>
    <xf numFmtId="0" fontId="0" fillId="0" borderId="0" xfId="0" applyAlignment="1"/>
    <xf numFmtId="0" fontId="42" fillId="8" borderId="0" xfId="0" applyFont="1" applyFill="1">
      <alignment vertical="center"/>
    </xf>
    <xf numFmtId="0" fontId="42" fillId="2" borderId="0" xfId="0" applyFont="1" applyFill="1">
      <alignment vertical="center"/>
    </xf>
    <xf numFmtId="0" fontId="41" fillId="0" borderId="1" xfId="0" applyFont="1" applyBorder="1" applyAlignment="1"/>
    <xf numFmtId="0" fontId="50" fillId="0" borderId="1" xfId="0" applyFont="1" applyBorder="1" applyAlignment="1">
      <alignment horizontal="center" vertical="center"/>
    </xf>
    <xf numFmtId="0" fontId="52" fillId="0" borderId="1" xfId="0" applyFont="1" applyBorder="1">
      <alignment vertical="center"/>
    </xf>
    <xf numFmtId="0" fontId="52" fillId="3" borderId="1" xfId="0" applyFont="1" applyFill="1" applyBorder="1">
      <alignment vertical="center"/>
    </xf>
    <xf numFmtId="49" fontId="52" fillId="3" borderId="1" xfId="0" applyNumberFormat="1" applyFont="1" applyFill="1" applyBorder="1">
      <alignment vertical="center"/>
    </xf>
    <xf numFmtId="186" fontId="3" fillId="0" borderId="1" xfId="0" applyNumberFormat="1" applyFont="1" applyBorder="1">
      <alignment vertical="center"/>
    </xf>
    <xf numFmtId="186" fontId="3" fillId="0" borderId="0" xfId="0" applyNumberFormat="1" applyFont="1">
      <alignment vertical="center"/>
    </xf>
    <xf numFmtId="0" fontId="38" fillId="2" borderId="0" xfId="0" applyFont="1" applyFill="1">
      <alignment vertical="center"/>
    </xf>
    <xf numFmtId="178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shrinkToFit="1"/>
    </xf>
    <xf numFmtId="49" fontId="53" fillId="0" borderId="0" xfId="0" applyNumberFormat="1" applyFont="1" applyAlignment="1">
      <alignment horizontal="center" vertical="center"/>
    </xf>
    <xf numFmtId="49" fontId="53" fillId="0" borderId="0" xfId="0" applyNumberFormat="1" applyFont="1" applyAlignment="1">
      <alignment horizontal="left" vertical="center"/>
    </xf>
    <xf numFmtId="49" fontId="30" fillId="0" borderId="1" xfId="0" applyNumberFormat="1" applyFont="1" applyBorder="1" applyAlignment="1">
      <alignment horizontal="center" vertical="center" shrinkToFit="1"/>
    </xf>
    <xf numFmtId="49" fontId="30" fillId="0" borderId="1" xfId="0" applyNumberFormat="1" applyFont="1" applyBorder="1" applyAlignment="1">
      <alignment horizontal="left" vertical="center" wrapText="1"/>
    </xf>
    <xf numFmtId="0" fontId="30" fillId="0" borderId="1" xfId="0" applyFont="1" applyBorder="1" applyAlignment="1">
      <alignment vertical="center" wrapText="1" shrinkToFit="1"/>
    </xf>
    <xf numFmtId="187" fontId="52" fillId="3" borderId="1" xfId="0" applyNumberFormat="1" applyFont="1" applyFill="1" applyBorder="1" applyAlignment="1">
      <alignment horizontal="left" vertical="center"/>
    </xf>
    <xf numFmtId="0" fontId="55" fillId="0" borderId="0" xfId="0" applyFont="1">
      <alignment vertical="center"/>
    </xf>
    <xf numFmtId="0" fontId="0" fillId="0" borderId="0" xfId="0" applyAlignment="1">
      <alignment horizontal="center" vertical="center"/>
    </xf>
    <xf numFmtId="18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>
      <alignment vertical="center"/>
    </xf>
    <xf numFmtId="3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 applyAlignment="1">
      <alignment horizontal="center" vertical="center"/>
    </xf>
    <xf numFmtId="184" fontId="47" fillId="0" borderId="25" xfId="0" applyNumberFormat="1" applyFont="1" applyBorder="1" applyAlignment="1">
      <alignment horizontal="center" vertical="center"/>
    </xf>
    <xf numFmtId="189" fontId="44" fillId="0" borderId="25" xfId="0" applyNumberFormat="1" applyFont="1" applyBorder="1">
      <alignment vertical="center"/>
    </xf>
    <xf numFmtId="49" fontId="44" fillId="0" borderId="25" xfId="0" applyNumberFormat="1" applyFont="1" applyBorder="1" applyAlignment="1">
      <alignment horizontal="center" vertical="center"/>
    </xf>
    <xf numFmtId="0" fontId="0" fillId="0" borderId="25" xfId="0" applyBorder="1">
      <alignment vertical="center"/>
    </xf>
    <xf numFmtId="0" fontId="56" fillId="0" borderId="1" xfId="0" applyFont="1" applyBorder="1" applyAlignment="1">
      <alignment horizontal="center" vertical="center" wrapText="1" shrinkToFit="1"/>
    </xf>
    <xf numFmtId="0" fontId="30" fillId="0" borderId="25" xfId="0" applyFont="1" applyBorder="1" applyAlignment="1">
      <alignment horizontal="left" vertical="center"/>
    </xf>
    <xf numFmtId="49" fontId="30" fillId="0" borderId="25" xfId="0" applyNumberFormat="1" applyFont="1" applyBorder="1" applyAlignment="1">
      <alignment horizontal="left" vertical="center"/>
    </xf>
    <xf numFmtId="38" fontId="30" fillId="0" borderId="25" xfId="0" applyNumberFormat="1" applyFont="1" applyBorder="1" applyAlignment="1">
      <alignment horizontal="center" vertical="center"/>
    </xf>
    <xf numFmtId="49" fontId="30" fillId="0" borderId="25" xfId="0" applyNumberFormat="1" applyFont="1" applyBorder="1" applyAlignment="1">
      <alignment horizontal="center" vertical="center" shrinkToFit="1"/>
    </xf>
    <xf numFmtId="49" fontId="30" fillId="0" borderId="25" xfId="0" applyNumberFormat="1" applyFont="1" applyBorder="1" applyAlignment="1">
      <alignment horizontal="left" vertical="center" wrapText="1"/>
    </xf>
    <xf numFmtId="0" fontId="30" fillId="0" borderId="25" xfId="0" applyFont="1" applyBorder="1">
      <alignment vertical="center"/>
    </xf>
    <xf numFmtId="0" fontId="30" fillId="0" borderId="25" xfId="0" applyFont="1" applyBorder="1" applyAlignment="1">
      <alignment horizontal="left" vertical="center" wrapText="1"/>
    </xf>
    <xf numFmtId="38" fontId="30" fillId="0" borderId="25" xfId="0" applyNumberFormat="1" applyFont="1" applyBorder="1">
      <alignment vertical="center"/>
    </xf>
    <xf numFmtId="0" fontId="30" fillId="0" borderId="25" xfId="0" applyFont="1" applyBorder="1" applyAlignment="1">
      <alignment vertical="center" wrapText="1" shrinkToFit="1"/>
    </xf>
    <xf numFmtId="0" fontId="0" fillId="14" borderId="1" xfId="0" applyFill="1" applyBorder="1">
      <alignment vertical="center"/>
    </xf>
    <xf numFmtId="188" fontId="44" fillId="0" borderId="0" xfId="0" applyNumberFormat="1" applyFont="1" applyAlignment="1">
      <alignment horizontal="center" vertical="center"/>
    </xf>
    <xf numFmtId="189" fontId="44" fillId="0" borderId="0" xfId="0" applyNumberFormat="1" applyFont="1">
      <alignment vertical="center"/>
    </xf>
    <xf numFmtId="0" fontId="30" fillId="0" borderId="0" xfId="0" applyFont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38" fontId="30" fillId="0" borderId="0" xfId="0" applyNumberFormat="1" applyFont="1" applyAlignment="1">
      <alignment horizontal="center" vertical="center"/>
    </xf>
    <xf numFmtId="49" fontId="30" fillId="0" borderId="0" xfId="0" applyNumberFormat="1" applyFont="1" applyAlignment="1">
      <alignment horizontal="center" vertical="center" shrinkToFit="1"/>
    </xf>
    <xf numFmtId="49" fontId="30" fillId="0" borderId="0" xfId="0" applyNumberFormat="1" applyFont="1" applyAlignment="1">
      <alignment horizontal="left" vertical="center" wrapText="1"/>
    </xf>
    <xf numFmtId="0" fontId="30" fillId="0" borderId="0" xfId="0" applyFont="1">
      <alignment vertical="center"/>
    </xf>
    <xf numFmtId="0" fontId="30" fillId="0" borderId="0" xfId="0" applyFont="1" applyAlignment="1">
      <alignment horizontal="left" vertical="center" wrapText="1"/>
    </xf>
    <xf numFmtId="38" fontId="30" fillId="0" borderId="0" xfId="0" applyNumberFormat="1" applyFont="1">
      <alignment vertical="center"/>
    </xf>
    <xf numFmtId="0" fontId="30" fillId="0" borderId="0" xfId="0" applyFont="1" applyAlignment="1">
      <alignment vertical="center" wrapText="1" shrinkToFit="1"/>
    </xf>
    <xf numFmtId="22" fontId="0" fillId="0" borderId="0" xfId="0" applyNumberFormat="1">
      <alignment vertical="center"/>
    </xf>
    <xf numFmtId="0" fontId="30" fillId="0" borderId="1" xfId="0" applyFont="1" applyBorder="1">
      <alignment vertical="center"/>
    </xf>
    <xf numFmtId="0" fontId="30" fillId="0" borderId="1" xfId="0" applyFont="1" applyBorder="1" applyAlignment="1">
      <alignment horizontal="left" vertical="center" wrapText="1"/>
    </xf>
    <xf numFmtId="190" fontId="38" fillId="0" borderId="1" xfId="0" applyNumberFormat="1" applyFont="1" applyBorder="1" applyAlignment="1">
      <alignment horizontal="center" vertical="center" wrapText="1"/>
    </xf>
    <xf numFmtId="38" fontId="30" fillId="0" borderId="1" xfId="0" applyNumberFormat="1" applyFont="1" applyBorder="1">
      <alignment vertical="center"/>
    </xf>
    <xf numFmtId="0" fontId="50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38" fillId="6" borderId="0" xfId="0" applyFont="1" applyFill="1">
      <alignment vertical="center"/>
    </xf>
    <xf numFmtId="0" fontId="5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2" borderId="1" xfId="0" applyFont="1" applyFill="1" applyBorder="1">
      <alignment vertical="center"/>
    </xf>
    <xf numFmtId="0" fontId="42" fillId="9" borderId="0" xfId="0" applyFont="1" applyFill="1">
      <alignment vertical="center"/>
    </xf>
    <xf numFmtId="0" fontId="38" fillId="3" borderId="1" xfId="0" applyFont="1" applyFill="1" applyBorder="1" applyAlignment="1">
      <alignment horizontal="center" vertical="center"/>
    </xf>
    <xf numFmtId="189" fontId="44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184" fontId="47" fillId="0" borderId="0" xfId="0" applyNumberFormat="1" applyFont="1" applyAlignment="1">
      <alignment horizontal="center" vertical="center" shrinkToFit="1"/>
    </xf>
    <xf numFmtId="189" fontId="44" fillId="0" borderId="0" xfId="0" applyNumberFormat="1" applyFont="1" applyAlignment="1">
      <alignment horizontal="right" vertical="center"/>
    </xf>
    <xf numFmtId="184" fontId="46" fillId="0" borderId="0" xfId="0" applyNumberFormat="1" applyFont="1" applyAlignment="1">
      <alignment horizontal="center" vertical="center" shrinkToFit="1"/>
    </xf>
    <xf numFmtId="0" fontId="0" fillId="0" borderId="1" xfId="0" applyBorder="1" applyAlignment="1"/>
    <xf numFmtId="0" fontId="0" fillId="2" borderId="0" xfId="0" applyFill="1">
      <alignment vertical="center"/>
    </xf>
    <xf numFmtId="0" fontId="3" fillId="15" borderId="1" xfId="0" applyFont="1" applyFill="1" applyBorder="1">
      <alignment vertical="center"/>
    </xf>
    <xf numFmtId="0" fontId="29" fillId="0" borderId="19" xfId="0" applyFont="1" applyBorder="1">
      <alignment vertical="center"/>
    </xf>
    <xf numFmtId="0" fontId="29" fillId="0" borderId="22" xfId="0" applyFont="1" applyBorder="1">
      <alignment vertical="center"/>
    </xf>
    <xf numFmtId="0" fontId="0" fillId="0" borderId="19" xfId="0" applyBorder="1">
      <alignment vertical="center"/>
    </xf>
    <xf numFmtId="0" fontId="41" fillId="0" borderId="29" xfId="0" applyFont="1" applyBorder="1" applyAlignment="1"/>
    <xf numFmtId="0" fontId="41" fillId="0" borderId="0" xfId="0" applyFont="1" applyAlignment="1"/>
    <xf numFmtId="0" fontId="2" fillId="12" borderId="0" xfId="0" applyFont="1" applyFill="1">
      <alignment vertical="center"/>
    </xf>
    <xf numFmtId="0" fontId="3" fillId="12" borderId="1" xfId="0" applyFont="1" applyFill="1" applyBorder="1">
      <alignment vertical="center"/>
    </xf>
    <xf numFmtId="0" fontId="41" fillId="0" borderId="29" xfId="0" applyFont="1" applyBorder="1" applyAlignment="1">
      <alignment wrapText="1"/>
    </xf>
    <xf numFmtId="178" fontId="3" fillId="12" borderId="1" xfId="0" applyNumberFormat="1" applyFont="1" applyFill="1" applyBorder="1" applyAlignment="1">
      <alignment horizontal="center" vertical="center"/>
    </xf>
    <xf numFmtId="49" fontId="3" fillId="12" borderId="1" xfId="0" applyNumberFormat="1" applyFont="1" applyFill="1" applyBorder="1">
      <alignment vertical="center"/>
    </xf>
    <xf numFmtId="22" fontId="3" fillId="12" borderId="1" xfId="0" applyNumberFormat="1" applyFont="1" applyFill="1" applyBorder="1">
      <alignment vertical="center"/>
    </xf>
    <xf numFmtId="38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shrinkToFit="1"/>
    </xf>
    <xf numFmtId="0" fontId="58" fillId="0" borderId="1" xfId="0" applyFont="1" applyBorder="1" applyAlignment="1">
      <alignment horizontal="left" vertical="center"/>
    </xf>
    <xf numFmtId="49" fontId="58" fillId="0" borderId="1" xfId="0" applyNumberFormat="1" applyFont="1" applyBorder="1" applyAlignment="1">
      <alignment horizontal="left" vertical="center"/>
    </xf>
    <xf numFmtId="38" fontId="58" fillId="0" borderId="1" xfId="0" applyNumberFormat="1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 shrinkToFit="1"/>
    </xf>
    <xf numFmtId="178" fontId="58" fillId="0" borderId="1" xfId="0" applyNumberFormat="1" applyFont="1" applyBorder="1" applyAlignment="1">
      <alignment horizontal="center" vertical="center" shrinkToFit="1"/>
    </xf>
    <xf numFmtId="0" fontId="58" fillId="0" borderId="1" xfId="0" applyFont="1" applyBorder="1">
      <alignment vertical="center"/>
    </xf>
    <xf numFmtId="38" fontId="58" fillId="0" borderId="1" xfId="0" applyNumberFormat="1" applyFont="1" applyBorder="1">
      <alignment vertical="center"/>
    </xf>
    <xf numFmtId="0" fontId="58" fillId="0" borderId="1" xfId="0" applyFont="1" applyBorder="1" applyAlignment="1">
      <alignment horizontal="left" vertical="center" wrapText="1"/>
    </xf>
    <xf numFmtId="0" fontId="30" fillId="2" borderId="1" xfId="0" applyFont="1" applyFill="1" applyBorder="1" applyAlignment="1">
      <alignment horizontal="left" vertical="center"/>
    </xf>
    <xf numFmtId="49" fontId="30" fillId="2" borderId="1" xfId="0" applyNumberFormat="1" applyFont="1" applyFill="1" applyBorder="1" applyAlignment="1">
      <alignment horizontal="left" vertical="center"/>
    </xf>
    <xf numFmtId="3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 shrinkToFit="1"/>
    </xf>
    <xf numFmtId="178" fontId="30" fillId="2" borderId="1" xfId="0" applyNumberFormat="1" applyFont="1" applyFill="1" applyBorder="1" applyAlignment="1">
      <alignment horizontal="center" vertical="center" shrinkToFit="1"/>
    </xf>
    <xf numFmtId="0" fontId="30" fillId="2" borderId="1" xfId="0" applyFont="1" applyFill="1" applyBorder="1">
      <alignment vertical="center"/>
    </xf>
    <xf numFmtId="0" fontId="30" fillId="2" borderId="1" xfId="0" applyFont="1" applyFill="1" applyBorder="1" applyAlignment="1">
      <alignment horizontal="left" vertical="center" wrapText="1"/>
    </xf>
    <xf numFmtId="38" fontId="30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/>
    </xf>
    <xf numFmtId="49" fontId="58" fillId="2" borderId="1" xfId="0" applyNumberFormat="1" applyFont="1" applyFill="1" applyBorder="1" applyAlignment="1">
      <alignment horizontal="left" vertical="center"/>
    </xf>
    <xf numFmtId="38" fontId="58" fillId="2" borderId="1" xfId="0" applyNumberFormat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 shrinkToFit="1"/>
    </xf>
    <xf numFmtId="178" fontId="58" fillId="2" borderId="1" xfId="0" applyNumberFormat="1" applyFont="1" applyFill="1" applyBorder="1" applyAlignment="1">
      <alignment horizontal="center" vertical="center" shrinkToFit="1"/>
    </xf>
    <xf numFmtId="0" fontId="58" fillId="2" borderId="1" xfId="0" applyFont="1" applyFill="1" applyBorder="1">
      <alignment vertical="center"/>
    </xf>
    <xf numFmtId="38" fontId="58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/>
    </xf>
    <xf numFmtId="38" fontId="58" fillId="9" borderId="1" xfId="0" applyNumberFormat="1" applyFont="1" applyFill="1" applyBorder="1" applyAlignment="1">
      <alignment horizontal="center" vertical="center"/>
    </xf>
    <xf numFmtId="0" fontId="60" fillId="0" borderId="1" xfId="0" applyFont="1" applyBorder="1" applyAlignment="1">
      <alignment horizontal="left" vertical="center"/>
    </xf>
    <xf numFmtId="178" fontId="58" fillId="7" borderId="1" xfId="0" applyNumberFormat="1" applyFont="1" applyFill="1" applyBorder="1" applyAlignment="1">
      <alignment horizontal="center" vertical="center" shrinkToFit="1"/>
    </xf>
    <xf numFmtId="178" fontId="30" fillId="7" borderId="1" xfId="0" applyNumberFormat="1" applyFont="1" applyFill="1" applyBorder="1" applyAlignment="1">
      <alignment horizontal="center" vertical="center" shrinkToFit="1"/>
    </xf>
    <xf numFmtId="49" fontId="30" fillId="7" borderId="1" xfId="0" applyNumberFormat="1" applyFont="1" applyFill="1" applyBorder="1" applyAlignment="1">
      <alignment horizontal="left" vertical="center"/>
    </xf>
    <xf numFmtId="49" fontId="58" fillId="7" borderId="1" xfId="0" applyNumberFormat="1" applyFont="1" applyFill="1" applyBorder="1" applyAlignment="1">
      <alignment horizontal="left" vertical="center"/>
    </xf>
    <xf numFmtId="49" fontId="58" fillId="16" borderId="1" xfId="0" applyNumberFormat="1" applyFont="1" applyFill="1" applyBorder="1" applyAlignment="1">
      <alignment horizontal="left" vertical="center"/>
    </xf>
    <xf numFmtId="49" fontId="30" fillId="16" borderId="1" xfId="0" applyNumberFormat="1" applyFont="1" applyFill="1" applyBorder="1" applyAlignment="1">
      <alignment horizontal="left" vertical="center"/>
    </xf>
    <xf numFmtId="49" fontId="58" fillId="0" borderId="1" xfId="0" applyNumberFormat="1" applyFont="1" applyBorder="1" applyAlignment="1">
      <alignment horizontal="center" vertical="center" wrapText="1"/>
    </xf>
    <xf numFmtId="49" fontId="58" fillId="0" borderId="1" xfId="0" applyNumberFormat="1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2" fillId="10" borderId="1" xfId="0" applyFont="1" applyFill="1" applyBorder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8" fillId="9" borderId="0" xfId="0" applyFont="1" applyFill="1">
      <alignment vertical="center"/>
    </xf>
    <xf numFmtId="0" fontId="2" fillId="9" borderId="0" xfId="0" applyFont="1" applyFill="1">
      <alignment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left" vertical="center"/>
    </xf>
    <xf numFmtId="0" fontId="28" fillId="3" borderId="1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9" fontId="30" fillId="0" borderId="19" xfId="0" applyNumberFormat="1" applyFont="1" applyBorder="1" applyAlignment="1">
      <alignment horizontal="center" vertical="center" shrinkToFit="1"/>
    </xf>
    <xf numFmtId="181" fontId="30" fillId="0" borderId="19" xfId="0" applyNumberFormat="1" applyFont="1" applyBorder="1" applyAlignment="1">
      <alignment horizontal="center" vertical="center" shrinkToFit="1"/>
    </xf>
    <xf numFmtId="0" fontId="2" fillId="9" borderId="4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2" fillId="9" borderId="9" xfId="0" applyFont="1" applyFill="1" applyBorder="1">
      <alignment vertical="center"/>
    </xf>
    <xf numFmtId="0" fontId="2" fillId="9" borderId="14" xfId="0" applyFont="1" applyFill="1" applyBorder="1">
      <alignment vertical="center"/>
    </xf>
    <xf numFmtId="0" fontId="2" fillId="0" borderId="9" xfId="0" applyFont="1" applyBorder="1">
      <alignment vertical="center"/>
    </xf>
    <xf numFmtId="0" fontId="2" fillId="0" borderId="14" xfId="0" applyFont="1" applyBorder="1">
      <alignment vertical="center"/>
    </xf>
    <xf numFmtId="0" fontId="30" fillId="7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7" borderId="1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center" vertical="center" shrinkToFit="1"/>
    </xf>
    <xf numFmtId="0" fontId="30" fillId="7" borderId="14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right" vertical="center"/>
    </xf>
    <xf numFmtId="0" fontId="49" fillId="0" borderId="0" xfId="0" applyFont="1" applyAlignment="1">
      <alignment horizontal="right" vertical="center" indent="4"/>
    </xf>
    <xf numFmtId="14" fontId="44" fillId="0" borderId="0" xfId="0" applyNumberFormat="1" applyFont="1" applyAlignment="1">
      <alignment horizontal="center" vertical="center" shrinkToFit="1"/>
    </xf>
    <xf numFmtId="0" fontId="30" fillId="0" borderId="17" xfId="0" applyFont="1" applyBorder="1" applyAlignment="1">
      <alignment horizontal="center" vertical="center" shrinkToFit="1"/>
    </xf>
    <xf numFmtId="0" fontId="30" fillId="0" borderId="18" xfId="0" applyFont="1" applyBorder="1" applyAlignment="1">
      <alignment horizontal="center" vertical="center" shrinkToFit="1"/>
    </xf>
    <xf numFmtId="179" fontId="30" fillId="0" borderId="17" xfId="0" applyNumberFormat="1" applyFont="1" applyBorder="1" applyAlignment="1">
      <alignment horizontal="center" vertical="center" shrinkToFit="1"/>
    </xf>
    <xf numFmtId="179" fontId="30" fillId="0" borderId="18" xfId="0" applyNumberFormat="1" applyFont="1" applyBorder="1" applyAlignment="1">
      <alignment horizontal="center" vertical="center" shrinkToFit="1"/>
    </xf>
    <xf numFmtId="181" fontId="30" fillId="0" borderId="17" xfId="0" applyNumberFormat="1" applyFont="1" applyBorder="1" applyAlignment="1">
      <alignment horizontal="center" vertical="center" shrinkToFit="1"/>
    </xf>
    <xf numFmtId="181" fontId="30" fillId="0" borderId="18" xfId="0" applyNumberFormat="1" applyFont="1" applyBorder="1" applyAlignment="1">
      <alignment horizontal="center" vertical="center" shrinkToFit="1"/>
    </xf>
    <xf numFmtId="184" fontId="32" fillId="0" borderId="0" xfId="0" applyNumberFormat="1" applyFont="1" applyAlignment="1">
      <alignment horizontal="right" vertical="center"/>
    </xf>
    <xf numFmtId="0" fontId="8" fillId="7" borderId="17" xfId="0" applyFont="1" applyFill="1" applyBorder="1" applyAlignment="1">
      <alignment horizontal="left" vertical="center" shrinkToFit="1"/>
    </xf>
    <xf numFmtId="0" fontId="8" fillId="7" borderId="23" xfId="0" applyFont="1" applyFill="1" applyBorder="1" applyAlignment="1">
      <alignment horizontal="left" vertical="center" shrinkToFit="1"/>
    </xf>
    <xf numFmtId="178" fontId="9" fillId="7" borderId="25" xfId="0" applyNumberFormat="1" applyFont="1" applyFill="1" applyBorder="1" applyAlignment="1">
      <alignment horizontal="left" vertical="center" shrinkToFit="1"/>
    </xf>
    <xf numFmtId="0" fontId="10" fillId="7" borderId="25" xfId="0" applyFont="1" applyFill="1" applyBorder="1" applyAlignment="1">
      <alignment horizontal="right" vertical="center" shrinkToFit="1"/>
    </xf>
    <xf numFmtId="0" fontId="7" fillId="7" borderId="0" xfId="0" applyFont="1" applyFill="1" applyAlignment="1">
      <alignment horizontal="center" vertical="center" shrinkToFit="1"/>
    </xf>
    <xf numFmtId="0" fontId="0" fillId="7" borderId="17" xfId="0" applyFill="1" applyBorder="1" applyAlignment="1">
      <alignment horizontal="center" vertical="center" shrinkToFit="1"/>
    </xf>
    <xf numFmtId="0" fontId="0" fillId="7" borderId="23" xfId="0" applyFill="1" applyBorder="1" applyAlignment="1">
      <alignment horizontal="center" vertical="center" shrinkToFit="1"/>
    </xf>
    <xf numFmtId="0" fontId="0" fillId="7" borderId="18" xfId="0" applyFill="1" applyBorder="1" applyAlignment="1">
      <alignment horizontal="center" vertical="center" shrinkToFit="1"/>
    </xf>
    <xf numFmtId="0" fontId="4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center" vertical="center" shrinkToFit="1"/>
    </xf>
    <xf numFmtId="178" fontId="9" fillId="7" borderId="23" xfId="0" applyNumberFormat="1" applyFont="1" applyFill="1" applyBorder="1" applyAlignment="1">
      <alignment horizontal="left" vertical="center" shrinkToFit="1"/>
    </xf>
    <xf numFmtId="0" fontId="10" fillId="7" borderId="23" xfId="0" applyFont="1" applyFill="1" applyBorder="1" applyAlignment="1">
      <alignment horizontal="right" vertical="center" shrinkToFit="1"/>
    </xf>
    <xf numFmtId="0" fontId="7" fillId="7" borderId="21" xfId="0" applyFont="1" applyFill="1" applyBorder="1" applyAlignment="1">
      <alignment horizontal="center" vertical="center" shrinkToFit="1"/>
    </xf>
    <xf numFmtId="177" fontId="0" fillId="7" borderId="1" xfId="0" applyNumberFormat="1" applyFill="1" applyBorder="1" applyAlignment="1">
      <alignment horizontal="center" vertical="center" shrinkToFit="1"/>
    </xf>
    <xf numFmtId="0" fontId="0" fillId="7" borderId="20" xfId="0" applyFill="1" applyBorder="1" applyAlignment="1">
      <alignment horizontal="center" vertical="center" shrinkToFit="1"/>
    </xf>
    <xf numFmtId="0" fontId="0" fillId="7" borderId="22" xfId="0" applyFill="1" applyBorder="1" applyAlignment="1">
      <alignment horizontal="center" vertical="center" shrinkToFit="1"/>
    </xf>
    <xf numFmtId="0" fontId="23" fillId="7" borderId="1" xfId="0" applyFont="1" applyFill="1" applyBorder="1" applyAlignment="1">
      <alignment horizontal="left" vertical="center" shrinkToFit="1"/>
    </xf>
    <xf numFmtId="0" fontId="18" fillId="7" borderId="1" xfId="0" applyFont="1" applyFill="1" applyBorder="1" applyAlignment="1">
      <alignment horizontal="left" vertical="center" shrinkToFit="1"/>
    </xf>
    <xf numFmtId="0" fontId="0" fillId="7" borderId="26" xfId="0" applyFill="1" applyBorder="1" applyAlignment="1">
      <alignment horizontal="center" vertical="center" wrapText="1" shrinkToFit="1"/>
    </xf>
    <xf numFmtId="0" fontId="0" fillId="7" borderId="27" xfId="0" applyFill="1" applyBorder="1" applyAlignment="1">
      <alignment horizontal="center" vertical="center" shrinkToFit="1"/>
    </xf>
    <xf numFmtId="178" fontId="13" fillId="7" borderId="26" xfId="0" applyNumberFormat="1" applyFont="1" applyFill="1" applyBorder="1" applyAlignment="1">
      <alignment horizontal="center" vertical="center" shrinkToFit="1"/>
    </xf>
    <xf numFmtId="178" fontId="13" fillId="7" borderId="25" xfId="0" applyNumberFormat="1" applyFont="1" applyFill="1" applyBorder="1" applyAlignment="1">
      <alignment horizontal="center" vertical="center" shrinkToFit="1"/>
    </xf>
    <xf numFmtId="178" fontId="13" fillId="7" borderId="27" xfId="0" applyNumberFormat="1" applyFont="1" applyFill="1" applyBorder="1" applyAlignment="1">
      <alignment horizontal="center" vertical="center" shrinkToFit="1"/>
    </xf>
    <xf numFmtId="178" fontId="13" fillId="7" borderId="20" xfId="0" applyNumberFormat="1" applyFont="1" applyFill="1" applyBorder="1" applyAlignment="1">
      <alignment horizontal="center" vertical="center" shrinkToFit="1"/>
    </xf>
    <xf numFmtId="178" fontId="13" fillId="7" borderId="21" xfId="0" applyNumberFormat="1" applyFont="1" applyFill="1" applyBorder="1" applyAlignment="1">
      <alignment horizontal="center" vertical="center" shrinkToFit="1"/>
    </xf>
    <xf numFmtId="178" fontId="13" fillId="7" borderId="22" xfId="0" applyNumberFormat="1" applyFont="1" applyFill="1" applyBorder="1" applyAlignment="1">
      <alignment horizontal="center" vertical="center" shrinkToFit="1"/>
    </xf>
    <xf numFmtId="0" fontId="21" fillId="7" borderId="20" xfId="0" applyFont="1" applyFill="1" applyBorder="1" applyAlignment="1">
      <alignment horizontal="center" vertical="center" shrinkToFit="1"/>
    </xf>
    <xf numFmtId="0" fontId="21" fillId="7" borderId="22" xfId="0" applyFont="1" applyFill="1" applyBorder="1" applyAlignment="1">
      <alignment horizontal="center" vertical="center" shrinkToFit="1"/>
    </xf>
    <xf numFmtId="0" fontId="22" fillId="7" borderId="20" xfId="0" applyFont="1" applyFill="1" applyBorder="1" applyAlignment="1">
      <alignment horizontal="center" vertical="center" shrinkToFit="1"/>
    </xf>
    <xf numFmtId="0" fontId="22" fillId="7" borderId="22" xfId="0" applyFont="1" applyFill="1" applyBorder="1" applyAlignment="1">
      <alignment horizontal="center" vertical="center" shrinkToFit="1"/>
    </xf>
    <xf numFmtId="0" fontId="0" fillId="8" borderId="17" xfId="0" applyFill="1" applyBorder="1" applyAlignment="1">
      <alignment horizontal="center" vertical="center" shrinkToFit="1"/>
    </xf>
    <xf numFmtId="0" fontId="0" fillId="8" borderId="18" xfId="0" applyFill="1" applyBorder="1" applyAlignment="1">
      <alignment horizontal="center" vertical="center" shrinkToFit="1"/>
    </xf>
    <xf numFmtId="176" fontId="18" fillId="8" borderId="17" xfId="0" applyNumberFormat="1" applyFont="1" applyFill="1" applyBorder="1" applyAlignment="1">
      <alignment horizontal="center" vertical="center" shrinkToFit="1"/>
    </xf>
    <xf numFmtId="176" fontId="18" fillId="8" borderId="18" xfId="0" applyNumberFormat="1" applyFont="1" applyFill="1" applyBorder="1" applyAlignment="1">
      <alignment horizontal="center" vertical="center" shrinkToFit="1"/>
    </xf>
    <xf numFmtId="176" fontId="18" fillId="7" borderId="17" xfId="0" applyNumberFormat="1" applyFont="1" applyFill="1" applyBorder="1" applyAlignment="1">
      <alignment horizontal="center" vertical="center" shrinkToFit="1"/>
    </xf>
    <xf numFmtId="176" fontId="18" fillId="7" borderId="18" xfId="0" applyNumberFormat="1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vertical="center" wrapText="1" shrinkToFit="1"/>
    </xf>
    <xf numFmtId="0" fontId="0" fillId="7" borderId="1" xfId="0" applyFill="1" applyBorder="1" applyAlignment="1">
      <alignment vertical="center" shrinkToFit="1"/>
    </xf>
    <xf numFmtId="0" fontId="19" fillId="7" borderId="26" xfId="0" applyFont="1" applyFill="1" applyBorder="1" applyAlignment="1">
      <alignment horizontal="center" vertical="center" shrinkToFit="1"/>
    </xf>
    <xf numFmtId="0" fontId="19" fillId="7" borderId="25" xfId="0" applyFont="1" applyFill="1" applyBorder="1" applyAlignment="1">
      <alignment horizontal="center" vertical="center" shrinkToFit="1"/>
    </xf>
    <xf numFmtId="0" fontId="19" fillId="7" borderId="27" xfId="0" applyFont="1" applyFill="1" applyBorder="1" applyAlignment="1">
      <alignment horizontal="center" vertical="center" shrinkToFit="1"/>
    </xf>
    <xf numFmtId="0" fontId="19" fillId="7" borderId="20" xfId="0" applyFont="1" applyFill="1" applyBorder="1" applyAlignment="1">
      <alignment horizontal="center" vertical="center" shrinkToFit="1"/>
    </xf>
    <xf numFmtId="0" fontId="19" fillId="7" borderId="21" xfId="0" applyFont="1" applyFill="1" applyBorder="1" applyAlignment="1">
      <alignment horizontal="center" vertical="center" shrinkToFit="1"/>
    </xf>
    <xf numFmtId="0" fontId="19" fillId="7" borderId="22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vertical="center" wrapText="1" shrinkToFit="1"/>
    </xf>
    <xf numFmtId="0" fontId="0" fillId="8" borderId="1" xfId="0" applyFill="1" applyBorder="1" applyAlignment="1">
      <alignment vertical="center" shrinkToFit="1"/>
    </xf>
    <xf numFmtId="0" fontId="19" fillId="8" borderId="26" xfId="0" applyFont="1" applyFill="1" applyBorder="1" applyAlignment="1">
      <alignment horizontal="center" vertical="center" shrinkToFit="1"/>
    </xf>
    <xf numFmtId="0" fontId="20" fillId="8" borderId="25" xfId="0" applyFont="1" applyFill="1" applyBorder="1" applyAlignment="1">
      <alignment horizontal="center" vertical="center" shrinkToFit="1"/>
    </xf>
    <xf numFmtId="0" fontId="20" fillId="8" borderId="27" xfId="0" applyFont="1" applyFill="1" applyBorder="1" applyAlignment="1">
      <alignment horizontal="center" vertical="center" shrinkToFit="1"/>
    </xf>
    <xf numFmtId="0" fontId="20" fillId="8" borderId="20" xfId="0" applyFont="1" applyFill="1" applyBorder="1" applyAlignment="1">
      <alignment horizontal="center" vertical="center" shrinkToFit="1"/>
    </xf>
    <xf numFmtId="0" fontId="20" fillId="8" borderId="21" xfId="0" applyFont="1" applyFill="1" applyBorder="1" applyAlignment="1">
      <alignment horizontal="center" vertical="center" shrinkToFit="1"/>
    </xf>
    <xf numFmtId="0" fontId="20" fillId="8" borderId="22" xfId="0" applyFont="1" applyFill="1" applyBorder="1" applyAlignment="1">
      <alignment horizontal="center" vertical="center" shrinkToFit="1"/>
    </xf>
    <xf numFmtId="0" fontId="20" fillId="7" borderId="25" xfId="0" applyFont="1" applyFill="1" applyBorder="1" applyAlignment="1">
      <alignment horizontal="center" vertical="center" shrinkToFit="1"/>
    </xf>
    <xf numFmtId="0" fontId="20" fillId="7" borderId="27" xfId="0" applyFont="1" applyFill="1" applyBorder="1" applyAlignment="1">
      <alignment horizontal="center" vertical="center" shrinkToFit="1"/>
    </xf>
    <xf numFmtId="0" fontId="20" fillId="7" borderId="20" xfId="0" applyFont="1" applyFill="1" applyBorder="1" applyAlignment="1">
      <alignment horizontal="center" vertical="center" shrinkToFit="1"/>
    </xf>
    <xf numFmtId="0" fontId="20" fillId="7" borderId="21" xfId="0" applyFont="1" applyFill="1" applyBorder="1" applyAlignment="1">
      <alignment horizontal="center" vertical="center" shrinkToFit="1"/>
    </xf>
    <xf numFmtId="0" fontId="20" fillId="7" borderId="22" xfId="0" applyFont="1" applyFill="1" applyBorder="1" applyAlignment="1">
      <alignment horizontal="center" vertical="center" shrinkToFit="1"/>
    </xf>
    <xf numFmtId="0" fontId="14" fillId="7" borderId="17" xfId="0" applyFont="1" applyFill="1" applyBorder="1" applyAlignment="1">
      <alignment horizontal="center" vertical="center" shrinkToFit="1"/>
    </xf>
    <xf numFmtId="0" fontId="14" fillId="7" borderId="18" xfId="0" applyFont="1" applyFill="1" applyBorder="1" applyAlignment="1">
      <alignment horizontal="center" vertical="center" shrinkToFit="1"/>
    </xf>
    <xf numFmtId="0" fontId="15" fillId="7" borderId="17" xfId="0" applyFont="1" applyFill="1" applyBorder="1" applyAlignment="1">
      <alignment horizontal="left" vertical="center" shrinkToFit="1"/>
    </xf>
    <xf numFmtId="0" fontId="15" fillId="7" borderId="23" xfId="0" applyFont="1" applyFill="1" applyBorder="1" applyAlignment="1">
      <alignment horizontal="left" vertical="center" shrinkToFit="1"/>
    </xf>
    <xf numFmtId="0" fontId="15" fillId="7" borderId="18" xfId="0" applyFont="1" applyFill="1" applyBorder="1" applyAlignment="1">
      <alignment horizontal="left" vertical="center" shrinkToFit="1"/>
    </xf>
    <xf numFmtId="0" fontId="0" fillId="7" borderId="2" xfId="0" applyFill="1" applyBorder="1" applyAlignment="1">
      <alignment horizontal="center" vertical="center" wrapText="1" shrinkToFit="1"/>
    </xf>
    <xf numFmtId="0" fontId="0" fillId="7" borderId="24" xfId="0" applyFill="1" applyBorder="1" applyAlignment="1">
      <alignment horizontal="center" vertical="center" shrinkToFit="1"/>
    </xf>
    <xf numFmtId="0" fontId="16" fillId="7" borderId="26" xfId="0" applyFont="1" applyFill="1" applyBorder="1" applyAlignment="1">
      <alignment horizontal="center" vertical="center" shrinkToFit="1"/>
    </xf>
    <xf numFmtId="0" fontId="16" fillId="7" borderId="25" xfId="0" applyFont="1" applyFill="1" applyBorder="1" applyAlignment="1">
      <alignment horizontal="center" vertical="center" shrinkToFit="1"/>
    </xf>
    <xf numFmtId="0" fontId="16" fillId="7" borderId="16" xfId="0" applyFont="1" applyFill="1" applyBorder="1" applyAlignment="1">
      <alignment horizontal="center" vertical="center" shrinkToFit="1"/>
    </xf>
    <xf numFmtId="0" fontId="16" fillId="7" borderId="0" xfId="0" applyFont="1" applyFill="1" applyAlignment="1">
      <alignment horizontal="center" vertical="center" shrinkToFit="1"/>
    </xf>
    <xf numFmtId="0" fontId="16" fillId="7" borderId="21" xfId="0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horizontal="center" vertical="center" shrinkToFit="1"/>
    </xf>
    <xf numFmtId="0" fontId="0" fillId="8" borderId="2" xfId="0" applyFill="1" applyBorder="1" applyAlignment="1">
      <alignment horizontal="center" vertical="center" wrapText="1" shrinkToFit="1"/>
    </xf>
    <xf numFmtId="0" fontId="0" fillId="8" borderId="24" xfId="0" applyFill="1" applyBorder="1" applyAlignment="1">
      <alignment horizontal="center" vertical="center" shrinkToFit="1"/>
    </xf>
    <xf numFmtId="0" fontId="24" fillId="8" borderId="26" xfId="0" applyFont="1" applyFill="1" applyBorder="1" applyAlignment="1">
      <alignment horizontal="center" vertical="center" shrinkToFit="1"/>
    </xf>
    <xf numFmtId="0" fontId="24" fillId="8" borderId="25" xfId="0" applyFont="1" applyFill="1" applyBorder="1" applyAlignment="1">
      <alignment horizontal="center" vertical="center" shrinkToFit="1"/>
    </xf>
    <xf numFmtId="0" fontId="24" fillId="8" borderId="16" xfId="0" applyFont="1" applyFill="1" applyBorder="1" applyAlignment="1">
      <alignment horizontal="center" vertical="center" shrinkToFit="1"/>
    </xf>
    <xf numFmtId="0" fontId="24" fillId="8" borderId="0" xfId="0" applyFont="1" applyFill="1" applyAlignment="1">
      <alignment horizontal="center" vertical="center" shrinkToFit="1"/>
    </xf>
    <xf numFmtId="0" fontId="24" fillId="8" borderId="21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horizontal="center" vertical="center" shrinkToFit="1"/>
    </xf>
    <xf numFmtId="0" fontId="11" fillId="7" borderId="17" xfId="0" applyFont="1" applyFill="1" applyBorder="1" applyAlignment="1">
      <alignment horizontal="center" vertical="center" shrinkToFit="1"/>
    </xf>
    <xf numFmtId="0" fontId="12" fillId="7" borderId="23" xfId="0" applyFont="1" applyFill="1" applyBorder="1" applyAlignment="1">
      <alignment horizontal="center" vertical="center" shrinkToFit="1"/>
    </xf>
    <xf numFmtId="0" fontId="12" fillId="7" borderId="18" xfId="0" applyFont="1" applyFill="1" applyBorder="1" applyAlignment="1">
      <alignment horizontal="center" vertical="center" shrinkToFit="1"/>
    </xf>
    <xf numFmtId="0" fontId="13" fillId="7" borderId="17" xfId="0" applyFont="1" applyFill="1" applyBorder="1" applyAlignment="1">
      <alignment horizontal="center" vertical="center" shrinkToFit="1"/>
    </xf>
    <xf numFmtId="0" fontId="13" fillId="7" borderId="23" xfId="0" applyFont="1" applyFill="1" applyBorder="1" applyAlignment="1">
      <alignment horizontal="center" vertical="center" shrinkToFit="1"/>
    </xf>
    <xf numFmtId="0" fontId="13" fillId="7" borderId="18" xfId="0" applyFont="1" applyFill="1" applyBorder="1" applyAlignment="1">
      <alignment horizontal="center" vertical="center" shrinkToFit="1"/>
    </xf>
    <xf numFmtId="177" fontId="0" fillId="8" borderId="1" xfId="0" applyNumberFormat="1" applyFill="1" applyBorder="1" applyAlignment="1">
      <alignment horizontal="center" vertical="center" shrinkToFit="1"/>
    </xf>
    <xf numFmtId="0" fontId="0" fillId="8" borderId="23" xfId="0" applyFill="1" applyBorder="1" applyAlignment="1">
      <alignment horizontal="center" vertical="center" shrinkToFit="1"/>
    </xf>
    <xf numFmtId="0" fontId="0" fillId="8" borderId="20" xfId="0" applyFill="1" applyBorder="1" applyAlignment="1">
      <alignment horizontal="center" vertical="center" shrinkToFit="1"/>
    </xf>
    <xf numFmtId="0" fontId="0" fillId="8" borderId="22" xfId="0" applyFill="1" applyBorder="1" applyAlignment="1">
      <alignment horizontal="center" vertical="center" shrinkToFit="1"/>
    </xf>
    <xf numFmtId="0" fontId="23" fillId="8" borderId="1" xfId="0" applyFont="1" applyFill="1" applyBorder="1" applyAlignment="1">
      <alignment horizontal="left" vertical="center" shrinkToFit="1"/>
    </xf>
    <xf numFmtId="0" fontId="18" fillId="8" borderId="1" xfId="0" applyFont="1" applyFill="1" applyBorder="1" applyAlignment="1">
      <alignment horizontal="left" vertical="center" shrinkToFit="1"/>
    </xf>
    <xf numFmtId="0" fontId="0" fillId="8" borderId="26" xfId="0" applyFill="1" applyBorder="1" applyAlignment="1">
      <alignment horizontal="center" vertical="center" wrapText="1" shrinkToFit="1"/>
    </xf>
    <xf numFmtId="0" fontId="0" fillId="8" borderId="27" xfId="0" applyFill="1" applyBorder="1" applyAlignment="1">
      <alignment horizontal="center" vertical="center" shrinkToFit="1"/>
    </xf>
    <xf numFmtId="178" fontId="13" fillId="8" borderId="26" xfId="0" applyNumberFormat="1" applyFont="1" applyFill="1" applyBorder="1" applyAlignment="1">
      <alignment horizontal="center" vertical="center" shrinkToFit="1"/>
    </xf>
    <xf numFmtId="178" fontId="13" fillId="8" borderId="25" xfId="0" applyNumberFormat="1" applyFont="1" applyFill="1" applyBorder="1" applyAlignment="1">
      <alignment horizontal="center" vertical="center" shrinkToFit="1"/>
    </xf>
    <xf numFmtId="178" fontId="13" fillId="8" borderId="27" xfId="0" applyNumberFormat="1" applyFont="1" applyFill="1" applyBorder="1" applyAlignment="1">
      <alignment horizontal="center" vertical="center" shrinkToFit="1"/>
    </xf>
    <xf numFmtId="178" fontId="13" fillId="8" borderId="20" xfId="0" applyNumberFormat="1" applyFont="1" applyFill="1" applyBorder="1" applyAlignment="1">
      <alignment horizontal="center" vertical="center" shrinkToFit="1"/>
    </xf>
    <xf numFmtId="178" fontId="13" fillId="8" borderId="21" xfId="0" applyNumberFormat="1" applyFont="1" applyFill="1" applyBorder="1" applyAlignment="1">
      <alignment horizontal="center" vertical="center" shrinkToFit="1"/>
    </xf>
    <xf numFmtId="178" fontId="13" fillId="8" borderId="22" xfId="0" applyNumberFormat="1" applyFont="1" applyFill="1" applyBorder="1" applyAlignment="1">
      <alignment horizontal="center" vertical="center" shrinkToFit="1"/>
    </xf>
    <xf numFmtId="0" fontId="21" fillId="8" borderId="20" xfId="0" applyFont="1" applyFill="1" applyBorder="1" applyAlignment="1">
      <alignment horizontal="center" vertical="center" shrinkToFit="1"/>
    </xf>
    <xf numFmtId="0" fontId="21" fillId="8" borderId="22" xfId="0" applyFont="1" applyFill="1" applyBorder="1" applyAlignment="1">
      <alignment horizontal="center" vertical="center" shrinkToFit="1"/>
    </xf>
    <xf numFmtId="0" fontId="22" fillId="8" borderId="20" xfId="0" applyFont="1" applyFill="1" applyBorder="1" applyAlignment="1">
      <alignment horizontal="center" vertical="center" shrinkToFit="1"/>
    </xf>
    <xf numFmtId="0" fontId="22" fillId="8" borderId="22" xfId="0" applyFont="1" applyFill="1" applyBorder="1" applyAlignment="1">
      <alignment horizontal="center" vertical="center" shrinkToFit="1"/>
    </xf>
    <xf numFmtId="0" fontId="16" fillId="8" borderId="26" xfId="0" applyFont="1" applyFill="1" applyBorder="1" applyAlignment="1">
      <alignment horizontal="center" vertical="center" shrinkToFit="1"/>
    </xf>
    <xf numFmtId="0" fontId="16" fillId="8" borderId="25" xfId="0" applyFont="1" applyFill="1" applyBorder="1" applyAlignment="1">
      <alignment horizontal="center" vertical="center" shrinkToFit="1"/>
    </xf>
    <xf numFmtId="0" fontId="16" fillId="8" borderId="16" xfId="0" applyFont="1" applyFill="1" applyBorder="1" applyAlignment="1">
      <alignment horizontal="center" vertical="center" shrinkToFit="1"/>
    </xf>
    <xf numFmtId="0" fontId="16" fillId="8" borderId="0" xfId="0" applyFont="1" applyFill="1" applyAlignment="1">
      <alignment horizontal="center" vertical="center" shrinkToFit="1"/>
    </xf>
    <xf numFmtId="0" fontId="16" fillId="8" borderId="21" xfId="0" applyFont="1" applyFill="1" applyBorder="1" applyAlignment="1">
      <alignment horizontal="center" vertical="center" shrinkToFit="1"/>
    </xf>
    <xf numFmtId="0" fontId="19" fillId="8" borderId="25" xfId="0" applyFont="1" applyFill="1" applyBorder="1" applyAlignment="1">
      <alignment horizontal="center" vertical="center" shrinkToFit="1"/>
    </xf>
    <xf numFmtId="0" fontId="19" fillId="8" borderId="27" xfId="0" applyFont="1" applyFill="1" applyBorder="1" applyAlignment="1">
      <alignment horizontal="center" vertical="center" shrinkToFit="1"/>
    </xf>
    <xf numFmtId="0" fontId="19" fillId="8" borderId="20" xfId="0" applyFont="1" applyFill="1" applyBorder="1" applyAlignment="1">
      <alignment horizontal="center" vertical="center" shrinkToFit="1"/>
    </xf>
    <xf numFmtId="0" fontId="19" fillId="8" borderId="21" xfId="0" applyFont="1" applyFill="1" applyBorder="1" applyAlignment="1">
      <alignment horizontal="center" vertical="center" shrinkToFit="1"/>
    </xf>
    <xf numFmtId="0" fontId="19" fillId="8" borderId="22" xfId="0" applyFont="1" applyFill="1" applyBorder="1" applyAlignment="1">
      <alignment horizontal="center" vertical="center" shrinkToFit="1"/>
    </xf>
    <xf numFmtId="0" fontId="14" fillId="8" borderId="17" xfId="0" applyFont="1" applyFill="1" applyBorder="1" applyAlignment="1">
      <alignment horizontal="center" vertical="center" shrinkToFit="1"/>
    </xf>
    <xf numFmtId="0" fontId="14" fillId="8" borderId="18" xfId="0" applyFont="1" applyFill="1" applyBorder="1" applyAlignment="1">
      <alignment horizontal="center" vertical="center" shrinkToFit="1"/>
    </xf>
    <xf numFmtId="0" fontId="15" fillId="8" borderId="17" xfId="0" applyFont="1" applyFill="1" applyBorder="1" applyAlignment="1">
      <alignment horizontal="left" vertical="center" shrinkToFit="1"/>
    </xf>
    <xf numFmtId="0" fontId="15" fillId="8" borderId="23" xfId="0" applyFont="1" applyFill="1" applyBorder="1" applyAlignment="1">
      <alignment horizontal="left" vertical="center" shrinkToFit="1"/>
    </xf>
    <xf numFmtId="0" fontId="15" fillId="8" borderId="18" xfId="0" applyFont="1" applyFill="1" applyBorder="1" applyAlignment="1">
      <alignment horizontal="left" vertical="center" shrinkToFit="1"/>
    </xf>
    <xf numFmtId="0" fontId="11" fillId="8" borderId="17" xfId="0" applyFont="1" applyFill="1" applyBorder="1" applyAlignment="1">
      <alignment horizontal="center" vertical="center" shrinkToFit="1"/>
    </xf>
    <xf numFmtId="0" fontId="12" fillId="8" borderId="23" xfId="0" applyFont="1" applyFill="1" applyBorder="1" applyAlignment="1">
      <alignment horizontal="center" vertical="center" shrinkToFit="1"/>
    </xf>
    <xf numFmtId="0" fontId="12" fillId="8" borderId="18" xfId="0" applyFont="1" applyFill="1" applyBorder="1" applyAlignment="1">
      <alignment horizontal="center" vertical="center" shrinkToFit="1"/>
    </xf>
    <xf numFmtId="0" fontId="13" fillId="8" borderId="17" xfId="0" applyFont="1" applyFill="1" applyBorder="1" applyAlignment="1">
      <alignment horizontal="center" vertical="center" shrinkToFit="1"/>
    </xf>
    <xf numFmtId="0" fontId="13" fillId="8" borderId="23" xfId="0" applyFont="1" applyFill="1" applyBorder="1" applyAlignment="1">
      <alignment horizontal="center" vertical="center" shrinkToFit="1"/>
    </xf>
    <xf numFmtId="0" fontId="13" fillId="8" borderId="18" xfId="0" applyFont="1" applyFill="1" applyBorder="1" applyAlignment="1">
      <alignment horizontal="center" vertical="center" shrinkToFit="1"/>
    </xf>
    <xf numFmtId="0" fontId="25" fillId="7" borderId="0" xfId="0" applyFont="1" applyFill="1" applyAlignment="1">
      <alignment horizontal="center" vertical="center" shrinkToFit="1"/>
    </xf>
    <xf numFmtId="178" fontId="9" fillId="7" borderId="0" xfId="0" applyNumberFormat="1" applyFont="1" applyFill="1" applyAlignment="1">
      <alignment horizontal="center" vertical="center" shrinkToFit="1"/>
    </xf>
    <xf numFmtId="0" fontId="10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left" vertical="center" shrinkToFit="1"/>
    </xf>
    <xf numFmtId="178" fontId="9" fillId="7" borderId="21" xfId="0" applyNumberFormat="1" applyFont="1" applyFill="1" applyBorder="1" applyAlignment="1">
      <alignment horizontal="center" vertical="center" shrinkToFit="1"/>
    </xf>
    <xf numFmtId="0" fontId="10" fillId="7" borderId="21" xfId="0" applyFont="1" applyFill="1" applyBorder="1" applyAlignment="1">
      <alignment horizontal="center" vertical="center" shrinkToFi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180975</xdr:rowOff>
    </xdr:from>
    <xdr:to>
      <xdr:col>5</xdr:col>
      <xdr:colOff>57150</xdr:colOff>
      <xdr:row>4</xdr:row>
      <xdr:rowOff>28575</xdr:rowOff>
    </xdr:to>
    <xdr:sp macro="[0]!폼_리스트화찰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219450" y="600075"/>
          <a:ext cx="13335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리스트화찰폼</a:t>
          </a:r>
        </a:p>
      </xdr:txBody>
    </xdr:sp>
    <xdr:clientData/>
  </xdr:twoCellAnchor>
  <xdr:twoCellAnchor editAs="oneCell">
    <xdr:from>
      <xdr:col>0</xdr:col>
      <xdr:colOff>76200</xdr:colOff>
      <xdr:row>11</xdr:row>
      <xdr:rowOff>28575</xdr:rowOff>
    </xdr:from>
    <xdr:to>
      <xdr:col>6</xdr:col>
      <xdr:colOff>210292</xdr:colOff>
      <xdr:row>33</xdr:row>
      <xdr:rowOff>10166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39F8173-FE9F-35D0-FFFE-CE8BA5F69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2333625"/>
          <a:ext cx="5315692" cy="45916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21</xdr:col>
          <xdr:colOff>165100</xdr:colOff>
          <xdr:row>37</xdr:row>
          <xdr:rowOff>5196</xdr:rowOff>
        </xdr:to>
        <xdr:pic>
          <xdr:nvPicPr>
            <xdr:cNvPr id="1054" name="화찰연결">
              <a:extLst>
                <a:ext uri="{FF2B5EF4-FFF2-40B4-BE49-F238E27FC236}">
                  <a16:creationId xmlns:a16="http://schemas.microsoft.com/office/drawing/2014/main" id="{19A60924-948F-29C2-4FD9-629B89049F7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수산화찰!$A$20:$M$40" spid="_x0000_s111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201275" y="628650"/>
              <a:ext cx="4965700" cy="712989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100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id="{EEE1E0A7-CF92-4725-99B8-26DE4D995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131</xdr:col>
      <xdr:colOff>28575</xdr:colOff>
      <xdr:row>2</xdr:row>
      <xdr:rowOff>66675</xdr:rowOff>
    </xdr:from>
    <xdr:to>
      <xdr:col>131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id="{6C2917D6-D6F1-4B07-9188-C4EDD8AEC89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8363425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139</xdr:col>
      <xdr:colOff>0</xdr:colOff>
      <xdr:row>2</xdr:row>
      <xdr:rowOff>0</xdr:rowOff>
    </xdr:from>
    <xdr:to>
      <xdr:col>139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id="{431D5145-D838-4517-A2F5-E131BB04413F}"/>
            </a:ext>
          </a:extLst>
        </xdr:cNvPr>
        <xdr:cNvSpPr/>
      </xdr:nvSpPr>
      <xdr:spPr>
        <a:xfrm>
          <a:off x="95764350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67</xdr:col>
      <xdr:colOff>0</xdr:colOff>
      <xdr:row>1</xdr:row>
      <xdr:rowOff>0</xdr:rowOff>
    </xdr:from>
    <xdr:to>
      <xdr:col>67</xdr:col>
      <xdr:colOff>1524000</xdr:colOff>
      <xdr:row>4</xdr:row>
      <xdr:rowOff>38100</xdr:rowOff>
    </xdr:to>
    <xdr:sp macro="빽업관련_모듈BP전체시트이름과숨길시트빽업할시트" textlink="">
      <xdr:nvSpPr>
        <xdr:cNvPr id="8" name="TextBox 7">
          <a:extLst>
            <a:ext uri="{FF2B5EF4-FFF2-40B4-BE49-F238E27FC236}">
              <a16:creationId xmlns:a16="http://schemas.microsoft.com/office/drawing/2014/main" id="{9045C194-9E5A-4AEF-896F-4A9E232387F5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0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9D0F5397-7FCF-4D04-B409-CF877873C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1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9F927F6B-2E17-4FFF-B9B9-0DA2282C6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2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3F8D0091-DFC6-49B3-A76E-F0A669EB3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3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EC375736-D037-44C0-892C-40668A3D8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4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3DF55A5C-75DF-4F7D-B7CB-4BA9B3B01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5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13572AFB-BD86-4C26-94B2-BB2BB31924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6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4C1A9BF-267F-4EE1-8784-9EE5DE4B61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34</xdr:col>
      <xdr:colOff>38100</xdr:colOff>
      <xdr:row>0</xdr:row>
      <xdr:rowOff>152400</xdr:rowOff>
    </xdr:from>
    <xdr:to>
      <xdr:col>37</xdr:col>
      <xdr:colOff>200025</xdr:colOff>
      <xdr:row>2</xdr:row>
      <xdr:rowOff>28575</xdr:rowOff>
    </xdr:to>
    <xdr:sp macro="[0]!화찰_초기값셑팅" textlink="">
      <xdr:nvSpPr>
        <xdr:cNvPr id="17" name="TextBox 16">
          <a:extLst>
            <a:ext uri="{FF2B5EF4-FFF2-40B4-BE49-F238E27FC236}">
              <a16:creationId xmlns:a16="http://schemas.microsoft.com/office/drawing/2014/main" id="{7118C3D2-78F3-9D29-B87B-948FBC4DC38C}"/>
            </a:ext>
          </a:extLst>
        </xdr:cNvPr>
        <xdr:cNvSpPr txBox="1"/>
      </xdr:nvSpPr>
      <xdr:spPr>
        <a:xfrm>
          <a:off x="27241500" y="15240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초기값셑팅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34</xdr:col>
      <xdr:colOff>47625</xdr:colOff>
      <xdr:row>2</xdr:row>
      <xdr:rowOff>95250</xdr:rowOff>
    </xdr:from>
    <xdr:to>
      <xdr:col>37</xdr:col>
      <xdr:colOff>209550</xdr:colOff>
      <xdr:row>3</xdr:row>
      <xdr:rowOff>180975</xdr:rowOff>
    </xdr:to>
    <xdr:sp macro="[0]!화찰_주소관련정보셑팅" textlink="">
      <xdr:nvSpPr>
        <xdr:cNvPr id="5" name="TextBox 4">
          <a:extLst>
            <a:ext uri="{FF2B5EF4-FFF2-40B4-BE49-F238E27FC236}">
              <a16:creationId xmlns:a16="http://schemas.microsoft.com/office/drawing/2014/main" id="{D327DE06-0462-4A07-8040-EBEE37B91721}"/>
            </a:ext>
          </a:extLst>
        </xdr:cNvPr>
        <xdr:cNvSpPr txBox="1"/>
      </xdr:nvSpPr>
      <xdr:spPr>
        <a:xfrm>
          <a:off x="27251025" y="51435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주소관련정보셑팅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35</xdr:col>
      <xdr:colOff>0</xdr:colOff>
      <xdr:row>9</xdr:row>
      <xdr:rowOff>0</xdr:rowOff>
    </xdr:from>
    <xdr:to>
      <xdr:col>36</xdr:col>
      <xdr:colOff>495300</xdr:colOff>
      <xdr:row>10</xdr:row>
      <xdr:rowOff>57150</xdr:rowOff>
    </xdr:to>
    <xdr:sp macro="[0]!폼_리스트화찰폼" textlink="">
      <xdr:nvSpPr>
        <xdr:cNvPr id="6" name="TextBox 5">
          <a:extLst>
            <a:ext uri="{FF2B5EF4-FFF2-40B4-BE49-F238E27FC236}">
              <a16:creationId xmlns:a16="http://schemas.microsoft.com/office/drawing/2014/main" id="{EE54D097-4F4E-4AB3-B532-39DDE8694537}"/>
            </a:ext>
          </a:extLst>
        </xdr:cNvPr>
        <xdr:cNvSpPr txBox="1"/>
      </xdr:nvSpPr>
      <xdr:spPr>
        <a:xfrm>
          <a:off x="27908250" y="188595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리스트화찰폼</a:t>
          </a:r>
        </a:p>
      </xdr:txBody>
    </xdr:sp>
    <xdr:clientData/>
  </xdr:twoCellAnchor>
  <xdr:twoCellAnchor>
    <xdr:from>
      <xdr:col>35</xdr:col>
      <xdr:colOff>19050</xdr:colOff>
      <xdr:row>11</xdr:row>
      <xdr:rowOff>57150</xdr:rowOff>
    </xdr:from>
    <xdr:to>
      <xdr:col>36</xdr:col>
      <xdr:colOff>514350</xdr:colOff>
      <xdr:row>12</xdr:row>
      <xdr:rowOff>114300</xdr:rowOff>
    </xdr:to>
    <xdr:sp macro="[0]!코드집합_도형생성" textlink="">
      <xdr:nvSpPr>
        <xdr:cNvPr id="7" name="TextBox 6">
          <a:extLst>
            <a:ext uri="{FF2B5EF4-FFF2-40B4-BE49-F238E27FC236}">
              <a16:creationId xmlns:a16="http://schemas.microsoft.com/office/drawing/2014/main" id="{E2049FB2-A45A-41D3-95F3-A3B44328FFEB}"/>
            </a:ext>
          </a:extLst>
        </xdr:cNvPr>
        <xdr:cNvSpPr txBox="1"/>
      </xdr:nvSpPr>
      <xdr:spPr>
        <a:xfrm>
          <a:off x="27927300" y="236220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도형생성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276225</xdr:colOff>
          <xdr:row>2</xdr:row>
          <xdr:rowOff>114300</xdr:rowOff>
        </xdr:from>
        <xdr:to>
          <xdr:col>42</xdr:col>
          <xdr:colOff>155575</xdr:colOff>
          <xdr:row>36</xdr:row>
          <xdr:rowOff>119496</xdr:rowOff>
        </xdr:to>
        <xdr:pic>
          <xdr:nvPicPr>
            <xdr:cNvPr id="9" name="화찰연결">
              <a:extLst>
                <a:ext uri="{FF2B5EF4-FFF2-40B4-BE49-F238E27FC236}">
                  <a16:creationId xmlns:a16="http://schemas.microsoft.com/office/drawing/2014/main" id="{CB61E63D-DF31-4470-A2E5-055D8B790E6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수산화찰!$A$20:$M$40" spid="_x0000_s208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9632275" y="533400"/>
              <a:ext cx="4965700" cy="712989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  <xdr:twoCellAnchor>
    <xdr:from>
      <xdr:col>33</xdr:col>
      <xdr:colOff>695325</xdr:colOff>
      <xdr:row>6</xdr:row>
      <xdr:rowOff>28575</xdr:rowOff>
    </xdr:from>
    <xdr:to>
      <xdr:col>37</xdr:col>
      <xdr:colOff>152400</xdr:colOff>
      <xdr:row>7</xdr:row>
      <xdr:rowOff>114300</xdr:rowOff>
    </xdr:to>
    <xdr:sp macro="[0]!화찰_해당시트도형모두삭제" textlink="">
      <xdr:nvSpPr>
        <xdr:cNvPr id="18" name="TextBox 17">
          <a:extLst>
            <a:ext uri="{FF2B5EF4-FFF2-40B4-BE49-F238E27FC236}">
              <a16:creationId xmlns:a16="http://schemas.microsoft.com/office/drawing/2014/main" id="{65374500-0773-41A6-B4AB-990167EF021A}"/>
            </a:ext>
          </a:extLst>
        </xdr:cNvPr>
        <xdr:cNvSpPr txBox="1"/>
      </xdr:nvSpPr>
      <xdr:spPr>
        <a:xfrm>
          <a:off x="27193875" y="1285875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해당시트도형모두삭제</a:t>
          </a:r>
        </a:p>
      </xdr:txBody>
    </xdr:sp>
    <xdr:clientData/>
  </xdr:twoCellAnchor>
  <xdr:twoCellAnchor>
    <xdr:from>
      <xdr:col>46</xdr:col>
      <xdr:colOff>304800</xdr:colOff>
      <xdr:row>27</xdr:row>
      <xdr:rowOff>152400</xdr:rowOff>
    </xdr:from>
    <xdr:to>
      <xdr:col>48</xdr:col>
      <xdr:colOff>752475</xdr:colOff>
      <xdr:row>29</xdr:row>
      <xdr:rowOff>28575</xdr:rowOff>
    </xdr:to>
    <xdr:sp macro="[0]!화찰_해당시트도형모두삭제" textlink="">
      <xdr:nvSpPr>
        <xdr:cNvPr id="21" name="TextBox 20">
          <a:extLst>
            <a:ext uri="{FF2B5EF4-FFF2-40B4-BE49-F238E27FC236}">
              <a16:creationId xmlns:a16="http://schemas.microsoft.com/office/drawing/2014/main" id="{91F97110-4465-47CE-AFE0-5410E7CABDA8}"/>
            </a:ext>
          </a:extLst>
        </xdr:cNvPr>
        <xdr:cNvSpPr txBox="1"/>
      </xdr:nvSpPr>
      <xdr:spPr>
        <a:xfrm>
          <a:off x="38481000" y="581025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해당시트도형모두삭제</a:t>
          </a:r>
        </a:p>
      </xdr:txBody>
    </xdr:sp>
    <xdr:clientData/>
  </xdr:twoCellAnchor>
  <xdr:twoCellAnchor>
    <xdr:from>
      <xdr:col>46</xdr:col>
      <xdr:colOff>704850</xdr:colOff>
      <xdr:row>31</xdr:row>
      <xdr:rowOff>66675</xdr:rowOff>
    </xdr:from>
    <xdr:to>
      <xdr:col>48</xdr:col>
      <xdr:colOff>57150</xdr:colOff>
      <xdr:row>32</xdr:row>
      <xdr:rowOff>123825</xdr:rowOff>
    </xdr:to>
    <xdr:sp macro="[0]!코드집합_도형생성" textlink="">
      <xdr:nvSpPr>
        <xdr:cNvPr id="22" name="TextBox 21">
          <a:extLst>
            <a:ext uri="{FF2B5EF4-FFF2-40B4-BE49-F238E27FC236}">
              <a16:creationId xmlns:a16="http://schemas.microsoft.com/office/drawing/2014/main" id="{456CE73F-E6DC-4D95-9EB8-8D31C59A78D6}"/>
            </a:ext>
          </a:extLst>
        </xdr:cNvPr>
        <xdr:cNvSpPr txBox="1"/>
      </xdr:nvSpPr>
      <xdr:spPr>
        <a:xfrm>
          <a:off x="38881050" y="6562725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도형생성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5"/>
  <sheetViews>
    <sheetView workbookViewId="0">
      <selection activeCell="I12" sqref="I12"/>
    </sheetView>
  </sheetViews>
  <sheetFormatPr defaultRowHeight="16.5" x14ac:dyDescent="0.3"/>
  <cols>
    <col min="1" max="1" width="12.5" customWidth="1"/>
  </cols>
  <sheetData>
    <row r="1" spans="1:13" x14ac:dyDescent="0.3">
      <c r="A1" s="1" t="s">
        <v>0</v>
      </c>
      <c r="B1" s="1"/>
      <c r="C1" s="1" t="s">
        <v>45</v>
      </c>
      <c r="D1" s="1"/>
      <c r="E1" s="1"/>
      <c r="F1" s="1"/>
      <c r="G1" s="1"/>
      <c r="H1" s="1"/>
      <c r="M1" t="s">
        <v>2846</v>
      </c>
    </row>
    <row r="2" spans="1:13" x14ac:dyDescent="0.3">
      <c r="A2" s="5" t="s">
        <v>1</v>
      </c>
      <c r="B2" s="5" t="s">
        <v>2</v>
      </c>
      <c r="C2" s="5" t="s">
        <v>47</v>
      </c>
      <c r="D2" s="5" t="s">
        <v>46</v>
      </c>
      <c r="E2" s="5" t="s">
        <v>55</v>
      </c>
      <c r="F2" s="5" t="s">
        <v>49</v>
      </c>
      <c r="G2" s="5" t="s">
        <v>48</v>
      </c>
      <c r="H2" s="6" t="s">
        <v>50</v>
      </c>
      <c r="I2" s="6" t="s">
        <v>51</v>
      </c>
      <c r="M2" t="s">
        <v>2847</v>
      </c>
    </row>
    <row r="3" spans="1:13" x14ac:dyDescent="0.3">
      <c r="A3" s="5" t="s">
        <v>58</v>
      </c>
      <c r="B3" s="5">
        <v>2</v>
      </c>
      <c r="C3" s="5" t="s">
        <v>59</v>
      </c>
      <c r="D3" s="5" t="s">
        <v>57</v>
      </c>
      <c r="E3" s="5" t="b">
        <v>1</v>
      </c>
      <c r="F3" s="5">
        <v>0</v>
      </c>
      <c r="G3" s="5" t="s">
        <v>56</v>
      </c>
      <c r="H3" s="7"/>
      <c r="I3" s="7"/>
    </row>
    <row r="4" spans="1:13" x14ac:dyDescent="0.3">
      <c r="A4" s="55">
        <v>1</v>
      </c>
      <c r="B4" s="55">
        <v>2</v>
      </c>
      <c r="C4" s="55">
        <v>3</v>
      </c>
      <c r="D4" s="55">
        <v>4</v>
      </c>
      <c r="E4" s="55">
        <v>5</v>
      </c>
      <c r="F4" s="55">
        <v>6</v>
      </c>
      <c r="G4" s="55">
        <v>7</v>
      </c>
      <c r="H4" s="55">
        <v>8</v>
      </c>
      <c r="I4" s="55">
        <v>9</v>
      </c>
      <c r="M4" t="s">
        <v>2848</v>
      </c>
    </row>
    <row r="5" spans="1:13" x14ac:dyDescent="0.3">
      <c r="A5" s="56" t="s">
        <v>66</v>
      </c>
      <c r="B5" s="55"/>
      <c r="C5" s="55"/>
      <c r="D5" s="55"/>
      <c r="E5" s="55"/>
      <c r="F5" s="55"/>
      <c r="G5" s="55"/>
      <c r="H5" s="55"/>
      <c r="I5" s="55"/>
    </row>
    <row r="6" spans="1:13" x14ac:dyDescent="0.3">
      <c r="A6" s="5" t="s">
        <v>47</v>
      </c>
      <c r="B6" t="s">
        <v>61</v>
      </c>
      <c r="M6" t="s">
        <v>2849</v>
      </c>
    </row>
    <row r="7" spans="1:13" x14ac:dyDescent="0.3">
      <c r="A7" s="5" t="s">
        <v>55</v>
      </c>
      <c r="B7" t="s">
        <v>62</v>
      </c>
      <c r="M7" t="s">
        <v>2850</v>
      </c>
    </row>
    <row r="8" spans="1:13" x14ac:dyDescent="0.3">
      <c r="M8" t="s">
        <v>2851</v>
      </c>
    </row>
    <row r="9" spans="1:13" x14ac:dyDescent="0.3">
      <c r="A9" s="5" t="s">
        <v>49</v>
      </c>
      <c r="M9" t="s">
        <v>2849</v>
      </c>
    </row>
    <row r="10" spans="1:13" x14ac:dyDescent="0.3">
      <c r="A10" s="5">
        <v>0</v>
      </c>
      <c r="B10" t="s">
        <v>67</v>
      </c>
      <c r="M10" t="s">
        <v>2852</v>
      </c>
    </row>
    <row r="11" spans="1:13" x14ac:dyDescent="0.3">
      <c r="A11" s="1" t="s">
        <v>63</v>
      </c>
      <c r="M11" t="s">
        <v>2853</v>
      </c>
    </row>
    <row r="12" spans="1:13" x14ac:dyDescent="0.3">
      <c r="A12" s="5" t="s">
        <v>1</v>
      </c>
      <c r="B12" s="5" t="s">
        <v>2</v>
      </c>
      <c r="C12" s="5" t="s">
        <v>47</v>
      </c>
      <c r="D12" s="5" t="s">
        <v>46</v>
      </c>
      <c r="E12" s="5" t="s">
        <v>55</v>
      </c>
      <c r="M12" t="s">
        <v>2854</v>
      </c>
    </row>
    <row r="13" spans="1:13" x14ac:dyDescent="0.3">
      <c r="A13" s="5" t="s">
        <v>58</v>
      </c>
      <c r="B13" s="5">
        <v>2</v>
      </c>
      <c r="C13" s="5" t="s">
        <v>59</v>
      </c>
      <c r="D13" s="5" t="s">
        <v>57</v>
      </c>
      <c r="E13" s="5" t="b">
        <v>1</v>
      </c>
      <c r="M13" t="s">
        <v>2855</v>
      </c>
    </row>
    <row r="14" spans="1:13" x14ac:dyDescent="0.3">
      <c r="A14" s="1" t="s">
        <v>64</v>
      </c>
      <c r="M14" t="s">
        <v>2856</v>
      </c>
    </row>
    <row r="15" spans="1:13" x14ac:dyDescent="0.3">
      <c r="A15" s="1" t="s">
        <v>65</v>
      </c>
      <c r="M15" t="s">
        <v>2855</v>
      </c>
    </row>
    <row r="16" spans="1:13" x14ac:dyDescent="0.3">
      <c r="M16" t="s">
        <v>2857</v>
      </c>
    </row>
    <row r="17" spans="13:13" x14ac:dyDescent="0.3">
      <c r="M17" t="s">
        <v>2858</v>
      </c>
    </row>
    <row r="18" spans="13:13" x14ac:dyDescent="0.3">
      <c r="M18" t="s">
        <v>2859</v>
      </c>
    </row>
    <row r="19" spans="13:13" x14ac:dyDescent="0.3">
      <c r="M19" t="s">
        <v>2860</v>
      </c>
    </row>
    <row r="20" spans="13:13" x14ac:dyDescent="0.3">
      <c r="M20" t="s">
        <v>2861</v>
      </c>
    </row>
    <row r="21" spans="13:13" x14ac:dyDescent="0.3">
      <c r="M21" t="s">
        <v>2862</v>
      </c>
    </row>
    <row r="22" spans="13:13" x14ac:dyDescent="0.3">
      <c r="M22" t="s">
        <v>2863</v>
      </c>
    </row>
    <row r="23" spans="13:13" x14ac:dyDescent="0.3">
      <c r="M23" t="s">
        <v>2864</v>
      </c>
    </row>
    <row r="24" spans="13:13" x14ac:dyDescent="0.3">
      <c r="M24" t="s">
        <v>2865</v>
      </c>
    </row>
    <row r="25" spans="13:13" x14ac:dyDescent="0.3">
      <c r="M25" t="s">
        <v>2849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87"/>
  <sheetViews>
    <sheetView workbookViewId="0">
      <selection activeCell="F9" sqref="F9"/>
    </sheetView>
  </sheetViews>
  <sheetFormatPr defaultRowHeight="16.5" x14ac:dyDescent="0.3"/>
  <cols>
    <col min="1" max="1" width="23" customWidth="1"/>
    <col min="9" max="9" width="2.875" customWidth="1"/>
  </cols>
  <sheetData>
    <row r="1" spans="1:20" x14ac:dyDescent="0.3">
      <c r="I1" s="1"/>
      <c r="J1" s="1" t="s">
        <v>0</v>
      </c>
      <c r="K1" s="1"/>
      <c r="L1" s="270" t="s">
        <v>2875</v>
      </c>
      <c r="M1" s="266" t="s">
        <v>2867</v>
      </c>
      <c r="N1" s="266" t="s">
        <v>2867</v>
      </c>
      <c r="O1" s="1"/>
      <c r="P1" s="1" t="s">
        <v>2884</v>
      </c>
      <c r="Q1" s="1" t="s">
        <v>2884</v>
      </c>
      <c r="R1" s="1"/>
      <c r="S1" s="1"/>
      <c r="T1" s="1"/>
    </row>
    <row r="2" spans="1:20" x14ac:dyDescent="0.3">
      <c r="A2" t="s">
        <v>156</v>
      </c>
      <c r="B2" t="s">
        <v>150</v>
      </c>
      <c r="I2" s="1"/>
      <c r="J2" s="267" t="s">
        <v>1</v>
      </c>
      <c r="K2" s="268" t="s">
        <v>2</v>
      </c>
      <c r="L2" s="268" t="s">
        <v>2885</v>
      </c>
      <c r="M2" s="268" t="s">
        <v>2879</v>
      </c>
      <c r="N2" s="268" t="s">
        <v>2880</v>
      </c>
      <c r="O2" s="57" t="s">
        <v>2881</v>
      </c>
      <c r="P2" s="5" t="s">
        <v>2882</v>
      </c>
      <c r="Q2" s="5" t="s">
        <v>2883</v>
      </c>
      <c r="R2" s="279" t="s">
        <v>2934</v>
      </c>
      <c r="S2" s="1"/>
      <c r="T2" s="1"/>
    </row>
    <row r="3" spans="1:20" x14ac:dyDescent="0.3">
      <c r="A3" t="s">
        <v>147</v>
      </c>
      <c r="B3" t="s">
        <v>151</v>
      </c>
      <c r="I3" s="1"/>
      <c r="J3" s="267" t="str">
        <f>모듈!AM3</f>
        <v>수산화찰</v>
      </c>
      <c r="K3" s="268">
        <f>모듈!AN3</f>
        <v>2</v>
      </c>
      <c r="L3" s="268" t="str">
        <f>모듈!AO3</f>
        <v>센터도형_채움원</v>
      </c>
      <c r="M3" s="277" t="str">
        <f>모듈!AP3</f>
        <v>A23:E24,H23:L24,A34:E35,H34:L35</v>
      </c>
      <c r="N3" s="268" t="b">
        <f>모듈!AQ3</f>
        <v>1</v>
      </c>
      <c r="O3" s="57">
        <f>모듈!AR3</f>
        <v>0</v>
      </c>
      <c r="P3" s="5">
        <f>모듈!AS3</f>
        <v>0</v>
      </c>
      <c r="Q3" s="5">
        <f>모듈!AT3</f>
        <v>0</v>
      </c>
      <c r="R3" s="5">
        <f>모듈!AU3</f>
        <v>1</v>
      </c>
      <c r="S3" s="1"/>
      <c r="T3" s="1"/>
    </row>
    <row r="4" spans="1:20" x14ac:dyDescent="0.3">
      <c r="A4" t="s">
        <v>158</v>
      </c>
      <c r="B4" t="s">
        <v>152</v>
      </c>
    </row>
    <row r="5" spans="1:20" x14ac:dyDescent="0.3">
      <c r="A5" t="s">
        <v>159</v>
      </c>
      <c r="B5" t="s">
        <v>153</v>
      </c>
      <c r="I5" s="1" t="s">
        <v>52</v>
      </c>
    </row>
    <row r="6" spans="1:20" x14ac:dyDescent="0.3">
      <c r="A6" s="216" t="s">
        <v>144</v>
      </c>
      <c r="B6" t="s">
        <v>154</v>
      </c>
      <c r="J6" s="1" t="s">
        <v>54</v>
      </c>
    </row>
    <row r="7" spans="1:20" x14ac:dyDescent="0.3">
      <c r="A7" s="216" t="s">
        <v>145</v>
      </c>
      <c r="B7" t="s">
        <v>155</v>
      </c>
      <c r="J7" s="1" t="s">
        <v>53</v>
      </c>
    </row>
    <row r="8" spans="1:20" x14ac:dyDescent="0.3">
      <c r="A8" s="216" t="s">
        <v>146</v>
      </c>
      <c r="B8" t="s">
        <v>157</v>
      </c>
    </row>
    <row r="9" spans="1:20" x14ac:dyDescent="0.3">
      <c r="A9" t="s">
        <v>161</v>
      </c>
      <c r="B9" t="s">
        <v>160</v>
      </c>
    </row>
    <row r="10" spans="1:20" x14ac:dyDescent="0.3">
      <c r="A10" t="s">
        <v>164</v>
      </c>
      <c r="B10" t="s">
        <v>162</v>
      </c>
    </row>
    <row r="11" spans="1:20" x14ac:dyDescent="0.3">
      <c r="A11" t="s">
        <v>165</v>
      </c>
      <c r="B11" t="s">
        <v>163</v>
      </c>
    </row>
    <row r="12" spans="1:20" x14ac:dyDescent="0.3">
      <c r="A12" t="s">
        <v>166</v>
      </c>
      <c r="B12" t="s">
        <v>181</v>
      </c>
    </row>
    <row r="13" spans="1:20" x14ac:dyDescent="0.3">
      <c r="A13" t="s">
        <v>167</v>
      </c>
      <c r="B13" t="s">
        <v>188</v>
      </c>
    </row>
    <row r="14" spans="1:20" x14ac:dyDescent="0.3">
      <c r="A14" t="s">
        <v>168</v>
      </c>
      <c r="B14" t="s">
        <v>189</v>
      </c>
    </row>
    <row r="15" spans="1:20" x14ac:dyDescent="0.3">
      <c r="A15" t="s">
        <v>169</v>
      </c>
      <c r="B15" t="s">
        <v>199</v>
      </c>
    </row>
    <row r="16" spans="1:20" ht="16.5" customHeight="1" x14ac:dyDescent="0.3">
      <c r="A16" t="s">
        <v>170</v>
      </c>
      <c r="B16" t="s">
        <v>206</v>
      </c>
    </row>
    <row r="17" spans="1:2" ht="16.5" customHeight="1" x14ac:dyDescent="0.3">
      <c r="A17" t="s">
        <v>171</v>
      </c>
      <c r="B17" t="s">
        <v>220</v>
      </c>
    </row>
    <row r="18" spans="1:2" x14ac:dyDescent="0.3">
      <c r="A18" t="s">
        <v>172</v>
      </c>
      <c r="B18" t="s">
        <v>221</v>
      </c>
    </row>
    <row r="19" spans="1:2" x14ac:dyDescent="0.3">
      <c r="A19" t="s">
        <v>173</v>
      </c>
      <c r="B19" t="s">
        <v>227</v>
      </c>
    </row>
    <row r="20" spans="1:2" x14ac:dyDescent="0.3">
      <c r="A20" t="s">
        <v>174</v>
      </c>
      <c r="B20" t="s">
        <v>228</v>
      </c>
    </row>
    <row r="21" spans="1:2" x14ac:dyDescent="0.3">
      <c r="A21" t="s">
        <v>175</v>
      </c>
      <c r="B21" t="s">
        <v>229</v>
      </c>
    </row>
    <row r="22" spans="1:2" x14ac:dyDescent="0.3">
      <c r="A22" t="s">
        <v>176</v>
      </c>
      <c r="B22" t="s">
        <v>232</v>
      </c>
    </row>
    <row r="23" spans="1:2" x14ac:dyDescent="0.3">
      <c r="A23" t="s">
        <v>177</v>
      </c>
      <c r="B23" t="s">
        <v>233</v>
      </c>
    </row>
    <row r="24" spans="1:2" x14ac:dyDescent="0.3">
      <c r="A24" t="s">
        <v>178</v>
      </c>
      <c r="B24" t="s">
        <v>242</v>
      </c>
    </row>
    <row r="25" spans="1:2" x14ac:dyDescent="0.3">
      <c r="A25" t="s">
        <v>179</v>
      </c>
      <c r="B25" t="s">
        <v>243</v>
      </c>
    </row>
    <row r="26" spans="1:2" x14ac:dyDescent="0.3">
      <c r="A26" t="s">
        <v>180</v>
      </c>
      <c r="B26" t="s">
        <v>148</v>
      </c>
    </row>
    <row r="27" spans="1:2" ht="16.5" customHeight="1" x14ac:dyDescent="0.3">
      <c r="A27" t="s">
        <v>182</v>
      </c>
      <c r="B27" t="s">
        <v>149</v>
      </c>
    </row>
    <row r="28" spans="1:2" ht="16.5" customHeight="1" x14ac:dyDescent="0.3">
      <c r="A28" t="s">
        <v>183</v>
      </c>
    </row>
    <row r="29" spans="1:2" x14ac:dyDescent="0.3">
      <c r="A29" t="s">
        <v>184</v>
      </c>
    </row>
    <row r="30" spans="1:2" x14ac:dyDescent="0.3">
      <c r="A30" t="s">
        <v>185</v>
      </c>
      <c r="B30" t="s">
        <v>2899</v>
      </c>
    </row>
    <row r="31" spans="1:2" x14ac:dyDescent="0.3">
      <c r="A31" t="s">
        <v>186</v>
      </c>
      <c r="B31" t="s">
        <v>2900</v>
      </c>
    </row>
    <row r="32" spans="1:2" x14ac:dyDescent="0.3">
      <c r="A32" t="s">
        <v>187</v>
      </c>
      <c r="B32" t="s">
        <v>2901</v>
      </c>
    </row>
    <row r="33" spans="1:2" x14ac:dyDescent="0.3">
      <c r="A33" t="s">
        <v>190</v>
      </c>
      <c r="B33" t="s">
        <v>2902</v>
      </c>
    </row>
    <row r="34" spans="1:2" x14ac:dyDescent="0.3">
      <c r="A34" t="s">
        <v>191</v>
      </c>
      <c r="B34" t="s">
        <v>2855</v>
      </c>
    </row>
    <row r="35" spans="1:2" x14ac:dyDescent="0.3">
      <c r="A35" t="s">
        <v>192</v>
      </c>
      <c r="B35" t="s">
        <v>2903</v>
      </c>
    </row>
    <row r="36" spans="1:2" x14ac:dyDescent="0.3">
      <c r="A36" t="s">
        <v>193</v>
      </c>
      <c r="B36" t="s">
        <v>2904</v>
      </c>
    </row>
    <row r="37" spans="1:2" x14ac:dyDescent="0.3">
      <c r="A37" t="s">
        <v>194</v>
      </c>
      <c r="B37" t="s">
        <v>2905</v>
      </c>
    </row>
    <row r="38" spans="1:2" x14ac:dyDescent="0.3">
      <c r="A38" t="s">
        <v>195</v>
      </c>
      <c r="B38" t="s">
        <v>2906</v>
      </c>
    </row>
    <row r="39" spans="1:2" x14ac:dyDescent="0.3">
      <c r="A39" t="s">
        <v>196</v>
      </c>
      <c r="B39" t="s">
        <v>2907</v>
      </c>
    </row>
    <row r="40" spans="1:2" x14ac:dyDescent="0.3">
      <c r="A40" t="s">
        <v>197</v>
      </c>
      <c r="B40" t="s">
        <v>2855</v>
      </c>
    </row>
    <row r="41" spans="1:2" x14ac:dyDescent="0.3">
      <c r="A41" t="s">
        <v>198</v>
      </c>
      <c r="B41" t="s">
        <v>2908</v>
      </c>
    </row>
    <row r="42" spans="1:2" x14ac:dyDescent="0.3">
      <c r="A42" t="s">
        <v>200</v>
      </c>
      <c r="B42" t="s">
        <v>2909</v>
      </c>
    </row>
    <row r="43" spans="1:2" x14ac:dyDescent="0.3">
      <c r="A43" t="s">
        <v>201</v>
      </c>
      <c r="B43" t="s">
        <v>2910</v>
      </c>
    </row>
    <row r="44" spans="1:2" x14ac:dyDescent="0.3">
      <c r="A44" t="s">
        <v>202</v>
      </c>
      <c r="B44" t="s">
        <v>2911</v>
      </c>
    </row>
    <row r="45" spans="1:2" x14ac:dyDescent="0.3">
      <c r="A45" t="s">
        <v>203</v>
      </c>
      <c r="B45" t="s">
        <v>2912</v>
      </c>
    </row>
    <row r="46" spans="1:2" x14ac:dyDescent="0.3">
      <c r="A46" t="s">
        <v>204</v>
      </c>
      <c r="B46" t="s">
        <v>2855</v>
      </c>
    </row>
    <row r="47" spans="1:2" x14ac:dyDescent="0.3">
      <c r="A47" t="s">
        <v>205</v>
      </c>
      <c r="B47" t="s">
        <v>2913</v>
      </c>
    </row>
    <row r="48" spans="1:2" x14ac:dyDescent="0.3">
      <c r="A48" t="s">
        <v>207</v>
      </c>
      <c r="B48" t="s">
        <v>2914</v>
      </c>
    </row>
    <row r="49" spans="1:2" x14ac:dyDescent="0.3">
      <c r="A49" t="s">
        <v>208</v>
      </c>
      <c r="B49" t="s">
        <v>2915</v>
      </c>
    </row>
    <row r="50" spans="1:2" x14ac:dyDescent="0.3">
      <c r="A50" t="s">
        <v>209</v>
      </c>
      <c r="B50" t="s">
        <v>2916</v>
      </c>
    </row>
    <row r="51" spans="1:2" x14ac:dyDescent="0.3">
      <c r="A51" t="s">
        <v>210</v>
      </c>
      <c r="B51" t="s">
        <v>2917</v>
      </c>
    </row>
    <row r="52" spans="1:2" x14ac:dyDescent="0.3">
      <c r="A52" t="s">
        <v>211</v>
      </c>
    </row>
    <row r="53" spans="1:2" x14ac:dyDescent="0.3">
      <c r="A53" t="s">
        <v>212</v>
      </c>
      <c r="B53" t="s">
        <v>2918</v>
      </c>
    </row>
    <row r="54" spans="1:2" x14ac:dyDescent="0.3">
      <c r="A54" t="s">
        <v>213</v>
      </c>
      <c r="B54" t="s">
        <v>2919</v>
      </c>
    </row>
    <row r="55" spans="1:2" x14ac:dyDescent="0.3">
      <c r="A55" t="s">
        <v>214</v>
      </c>
      <c r="B55" t="s">
        <v>2920</v>
      </c>
    </row>
    <row r="56" spans="1:2" x14ac:dyDescent="0.3">
      <c r="A56" t="s">
        <v>215</v>
      </c>
      <c r="B56" t="s">
        <v>2921</v>
      </c>
    </row>
    <row r="57" spans="1:2" x14ac:dyDescent="0.3">
      <c r="A57" t="s">
        <v>216</v>
      </c>
      <c r="B57" t="s">
        <v>2922</v>
      </c>
    </row>
    <row r="58" spans="1:2" x14ac:dyDescent="0.3">
      <c r="A58" t="s">
        <v>217</v>
      </c>
      <c r="B58" t="s">
        <v>2855</v>
      </c>
    </row>
    <row r="59" spans="1:2" x14ac:dyDescent="0.3">
      <c r="A59" t="s">
        <v>218</v>
      </c>
      <c r="B59" t="s">
        <v>2923</v>
      </c>
    </row>
    <row r="60" spans="1:2" x14ac:dyDescent="0.3">
      <c r="A60" t="s">
        <v>219</v>
      </c>
      <c r="B60" t="s">
        <v>2924</v>
      </c>
    </row>
    <row r="61" spans="1:2" x14ac:dyDescent="0.3">
      <c r="A61" t="s">
        <v>222</v>
      </c>
      <c r="B61" t="s">
        <v>2925</v>
      </c>
    </row>
    <row r="62" spans="1:2" x14ac:dyDescent="0.3">
      <c r="A62" t="s">
        <v>223</v>
      </c>
      <c r="B62" t="s">
        <v>2926</v>
      </c>
    </row>
    <row r="63" spans="1:2" x14ac:dyDescent="0.3">
      <c r="A63" t="s">
        <v>224</v>
      </c>
      <c r="B63" t="s">
        <v>2927</v>
      </c>
    </row>
    <row r="64" spans="1:2" x14ac:dyDescent="0.3">
      <c r="A64" t="s">
        <v>225</v>
      </c>
    </row>
    <row r="65" spans="1:1" x14ac:dyDescent="0.3">
      <c r="A65" t="s">
        <v>226</v>
      </c>
    </row>
    <row r="66" spans="1:1" x14ac:dyDescent="0.3">
      <c r="A66" t="s">
        <v>230</v>
      </c>
    </row>
    <row r="67" spans="1:1" x14ac:dyDescent="0.3">
      <c r="A67" t="s">
        <v>231</v>
      </c>
    </row>
    <row r="68" spans="1:1" x14ac:dyDescent="0.3">
      <c r="A68" t="s">
        <v>234</v>
      </c>
    </row>
    <row r="69" spans="1:1" x14ac:dyDescent="0.3">
      <c r="A69" t="s">
        <v>235</v>
      </c>
    </row>
    <row r="70" spans="1:1" x14ac:dyDescent="0.3">
      <c r="A70" t="s">
        <v>236</v>
      </c>
    </row>
    <row r="71" spans="1:1" x14ac:dyDescent="0.3">
      <c r="A71" t="s">
        <v>237</v>
      </c>
    </row>
    <row r="72" spans="1:1" x14ac:dyDescent="0.3">
      <c r="A72" t="s">
        <v>238</v>
      </c>
    </row>
    <row r="73" spans="1:1" x14ac:dyDescent="0.3">
      <c r="A73" t="s">
        <v>239</v>
      </c>
    </row>
    <row r="74" spans="1:1" x14ac:dyDescent="0.3">
      <c r="A74" t="s">
        <v>240</v>
      </c>
    </row>
    <row r="75" spans="1:1" x14ac:dyDescent="0.3">
      <c r="A75" t="s">
        <v>241</v>
      </c>
    </row>
    <row r="76" spans="1:1" x14ac:dyDescent="0.3">
      <c r="A76" t="s">
        <v>244</v>
      </c>
    </row>
    <row r="77" spans="1:1" x14ac:dyDescent="0.3">
      <c r="A77" t="s">
        <v>245</v>
      </c>
    </row>
    <row r="78" spans="1:1" x14ac:dyDescent="0.3">
      <c r="A78" t="s">
        <v>246</v>
      </c>
    </row>
    <row r="79" spans="1:1" x14ac:dyDescent="0.3">
      <c r="A79" t="s">
        <v>247</v>
      </c>
    </row>
    <row r="80" spans="1:1" x14ac:dyDescent="0.3">
      <c r="A80" t="s">
        <v>248</v>
      </c>
    </row>
    <row r="81" spans="1:1" x14ac:dyDescent="0.3">
      <c r="A81" t="s">
        <v>249</v>
      </c>
    </row>
    <row r="82" spans="1:1" x14ac:dyDescent="0.3">
      <c r="A82" t="s">
        <v>250</v>
      </c>
    </row>
    <row r="83" spans="1:1" x14ac:dyDescent="0.3">
      <c r="A83" t="s">
        <v>251</v>
      </c>
    </row>
    <row r="84" spans="1:1" x14ac:dyDescent="0.3">
      <c r="A84" t="s">
        <v>252</v>
      </c>
    </row>
    <row r="85" spans="1:1" x14ac:dyDescent="0.3">
      <c r="A85" t="s">
        <v>253</v>
      </c>
    </row>
    <row r="86" spans="1:1" x14ac:dyDescent="0.3">
      <c r="A86" t="s">
        <v>254</v>
      </c>
    </row>
    <row r="87" spans="1:1" x14ac:dyDescent="0.3">
      <c r="A87" t="s">
        <v>255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E878E-4776-4F18-B92B-C007FB870618}">
  <sheetPr codeName="Sheet29">
    <tabColor rgb="FFFF0000"/>
  </sheetPr>
  <dimension ref="A1:FJ802"/>
  <sheetViews>
    <sheetView tabSelected="1" topLeftCell="L1" workbookViewId="0">
      <selection activeCell="P5" sqref="P5:X8"/>
    </sheetView>
  </sheetViews>
  <sheetFormatPr defaultRowHeight="16.5" customHeight="1" x14ac:dyDescent="0.3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3" width="4.75" customWidth="1"/>
    <col min="34" max="35" width="9.25" customWidth="1"/>
    <col min="36" max="37" width="9.5" customWidth="1"/>
    <col min="38" max="38" width="4.625" customWidth="1"/>
    <col min="39" max="39" width="22.875" customWidth="1"/>
    <col min="40" max="40" width="12.25" customWidth="1"/>
    <col min="41" max="41" width="14.75" customWidth="1"/>
    <col min="42" max="53" width="12.25" customWidth="1"/>
    <col min="54" max="54" width="2.25" customWidth="1"/>
    <col min="55" max="55" width="18.625" customWidth="1"/>
    <col min="56" max="56" width="19.5" customWidth="1"/>
    <col min="57" max="57" width="15" customWidth="1"/>
    <col min="58" max="58" width="5.5" customWidth="1"/>
    <col min="59" max="59" width="6.25" customWidth="1"/>
    <col min="61" max="61" width="5" customWidth="1"/>
    <col min="62" max="62" width="8.875" customWidth="1"/>
    <col min="63" max="63" width="8.375" customWidth="1"/>
    <col min="67" max="67" width="1.625" customWidth="1"/>
    <col min="68" max="68" width="53.75" customWidth="1"/>
    <col min="69" max="69" width="17.25" customWidth="1"/>
    <col min="70" max="70" width="15.875" customWidth="1"/>
    <col min="71" max="71" width="12.625" customWidth="1"/>
    <col min="72" max="72" width="7.5" customWidth="1"/>
    <col min="73" max="73" width="12.625" customWidth="1"/>
    <col min="74" max="74" width="7.5" customWidth="1"/>
    <col min="75" max="75" width="2.125" customWidth="1"/>
    <col min="76" max="76" width="12.625" customWidth="1"/>
    <col min="77" max="77" width="7.5" customWidth="1"/>
    <col min="78" max="78" width="13.75" customWidth="1"/>
    <col min="79" max="79" width="7.5" customWidth="1"/>
    <col min="80" max="80" width="2.125" customWidth="1"/>
    <col min="81" max="81" width="1.625" customWidth="1"/>
    <col min="82" max="82" width="3.875" customWidth="1"/>
    <col min="83" max="100" width="1.875" customWidth="1"/>
    <col min="109" max="109" width="3.5" customWidth="1"/>
    <col min="110" max="110" width="1.625" customWidth="1"/>
    <col min="114" max="114" width="10.75" style="131" customWidth="1"/>
    <col min="117" max="117" width="10.75" customWidth="1"/>
    <col min="120" max="120" width="10.75" customWidth="1"/>
    <col min="124" max="124" width="10.75" style="131" customWidth="1"/>
    <col min="127" max="127" width="10.75" customWidth="1"/>
    <col min="130" max="130" width="10.75" customWidth="1"/>
    <col min="131" max="131" width="1.625" customWidth="1"/>
    <col min="132" max="132" width="9" style="1"/>
    <col min="133" max="133" width="22.125" style="1" customWidth="1"/>
    <col min="134" max="134" width="19.375" style="1" customWidth="1"/>
    <col min="135" max="135" width="18" style="1" customWidth="1"/>
    <col min="136" max="137" width="11.25" style="1" customWidth="1"/>
    <col min="138" max="138" width="4.875" style="1" customWidth="1"/>
    <col min="139" max="139" width="1.625" customWidth="1"/>
    <col min="140" max="140" width="9" style="1"/>
    <col min="141" max="141" width="41.375" style="1" customWidth="1"/>
    <col min="142" max="142" width="13.25" style="1" customWidth="1"/>
    <col min="143" max="145" width="9" style="1"/>
    <col min="146" max="146" width="1.625" customWidth="1"/>
    <col min="147" max="147" width="8.125" customWidth="1"/>
    <col min="148" max="148" width="4.375" customWidth="1"/>
    <col min="149" max="149" width="17.625" customWidth="1"/>
    <col min="150" max="150" width="8.5" customWidth="1"/>
    <col min="151" max="151" width="5.5" customWidth="1"/>
    <col min="152" max="152" width="5.125" customWidth="1"/>
    <col min="153" max="154" width="12.25" customWidth="1"/>
    <col min="155" max="155" width="5.375" customWidth="1"/>
    <col min="156" max="156" width="14.875" customWidth="1"/>
    <col min="157" max="157" width="11" customWidth="1"/>
    <col min="158" max="158" width="11.625" customWidth="1"/>
    <col min="159" max="159" width="14.375" customWidth="1"/>
    <col min="160" max="160" width="17.375" customWidth="1"/>
    <col min="161" max="161" width="11.625" customWidth="1"/>
    <col min="162" max="162" width="14.375" customWidth="1"/>
    <col min="163" max="163" width="17.375" customWidth="1"/>
    <col min="165" max="165" width="1.625" customWidth="1"/>
    <col min="166" max="166" width="18.25" customWidth="1"/>
  </cols>
  <sheetData>
    <row r="1" spans="1:166" ht="16.5" customHeight="1" x14ac:dyDescent="0.15">
      <c r="A1" s="103" t="s">
        <v>256</v>
      </c>
      <c r="B1" s="104" t="s">
        <v>257</v>
      </c>
      <c r="C1" s="105" t="s">
        <v>258</v>
      </c>
      <c r="D1" s="106" t="s">
        <v>259</v>
      </c>
      <c r="E1" s="105" t="s">
        <v>260</v>
      </c>
      <c r="F1" s="105"/>
      <c r="G1" s="107" t="s">
        <v>261</v>
      </c>
      <c r="H1" s="108" t="s">
        <v>262</v>
      </c>
      <c r="I1" s="102" t="s">
        <v>263</v>
      </c>
      <c r="K1" s="109" t="s">
        <v>264</v>
      </c>
      <c r="L1" t="s">
        <v>265</v>
      </c>
      <c r="N1" t="s">
        <v>266</v>
      </c>
      <c r="O1" s="110"/>
      <c r="P1" s="2" t="s">
        <v>267</v>
      </c>
      <c r="R1" s="94" t="s">
        <v>268</v>
      </c>
      <c r="S1" s="1"/>
      <c r="AD1" t="s">
        <v>269</v>
      </c>
      <c r="AH1" s="2" t="s">
        <v>71</v>
      </c>
      <c r="AI1" s="1"/>
      <c r="AL1" s="110"/>
      <c r="AM1" s="1" t="s">
        <v>0</v>
      </c>
      <c r="AN1" s="1"/>
      <c r="AO1" s="270" t="s">
        <v>2875</v>
      </c>
      <c r="AP1" s="266" t="s">
        <v>2867</v>
      </c>
      <c r="AQ1" s="266" t="s">
        <v>2867</v>
      </c>
      <c r="AR1" s="1"/>
      <c r="AS1" s="1" t="s">
        <v>2884</v>
      </c>
      <c r="AT1" s="1" t="s">
        <v>2884</v>
      </c>
      <c r="AU1" s="1"/>
      <c r="AV1" s="4"/>
      <c r="AW1" s="4"/>
      <c r="AX1" s="4"/>
      <c r="AY1" s="4"/>
      <c r="BA1" s="4"/>
      <c r="BB1" s="3" t="s">
        <v>270</v>
      </c>
      <c r="BC1" s="2" t="s">
        <v>271</v>
      </c>
      <c r="BD1" s="112" t="s">
        <v>272</v>
      </c>
      <c r="BE1" s="113" t="s">
        <v>273</v>
      </c>
      <c r="BF1" s="114" t="s">
        <v>274</v>
      </c>
      <c r="BG1" s="114" t="s">
        <v>275</v>
      </c>
      <c r="BH1" s="115" t="s">
        <v>276</v>
      </c>
      <c r="BI1" s="107" t="s">
        <v>261</v>
      </c>
      <c r="BJ1" s="116" t="s">
        <v>104</v>
      </c>
      <c r="BK1" s="107" t="s">
        <v>277</v>
      </c>
      <c r="BL1" s="117" t="s">
        <v>278</v>
      </c>
      <c r="BM1" s="1"/>
      <c r="BN1" s="1"/>
      <c r="BO1" s="3" t="s">
        <v>74</v>
      </c>
      <c r="BP1" s="2" t="s">
        <v>279</v>
      </c>
      <c r="BQ1" s="118" t="s">
        <v>280</v>
      </c>
      <c r="BR1" s="118" t="s">
        <v>281</v>
      </c>
      <c r="BS1" s="119" t="s">
        <v>282</v>
      </c>
      <c r="BT1" s="120" t="s">
        <v>283</v>
      </c>
      <c r="BU1" s="121" t="s">
        <v>284</v>
      </c>
      <c r="BV1" s="120" t="s">
        <v>283</v>
      </c>
      <c r="BW1" s="118" t="s">
        <v>285</v>
      </c>
      <c r="BX1" s="119" t="s">
        <v>286</v>
      </c>
      <c r="BY1" s="120" t="s">
        <v>283</v>
      </c>
      <c r="BZ1" s="121" t="s">
        <v>287</v>
      </c>
      <c r="CA1" s="120" t="s">
        <v>283</v>
      </c>
      <c r="CB1" s="118"/>
      <c r="CC1" s="110"/>
      <c r="CD1" s="122"/>
      <c r="CE1" s="123"/>
      <c r="CF1" s="122"/>
      <c r="CG1" s="122"/>
      <c r="CH1" s="124"/>
      <c r="CI1" s="125"/>
      <c r="CJ1" s="126"/>
      <c r="CM1" s="127"/>
      <c r="CN1" s="128"/>
      <c r="CO1" s="122"/>
      <c r="CP1" s="129"/>
      <c r="CQ1" s="130"/>
      <c r="CR1" s="127"/>
      <c r="CW1" t="s">
        <v>288</v>
      </c>
      <c r="DF1" s="110"/>
      <c r="DG1" s="2" t="s">
        <v>289</v>
      </c>
      <c r="DH1" t="s">
        <v>290</v>
      </c>
      <c r="DI1" t="s">
        <v>291</v>
      </c>
      <c r="DJ1" s="131" t="s">
        <v>292</v>
      </c>
      <c r="DK1" t="s">
        <v>293</v>
      </c>
      <c r="DL1" t="s">
        <v>291</v>
      </c>
      <c r="DM1" t="s">
        <v>292</v>
      </c>
      <c r="DN1" t="s">
        <v>294</v>
      </c>
      <c r="DO1" t="s">
        <v>291</v>
      </c>
      <c r="DP1" t="s">
        <v>292</v>
      </c>
      <c r="DQ1" s="2" t="s">
        <v>295</v>
      </c>
      <c r="DR1" t="s">
        <v>290</v>
      </c>
      <c r="DS1" t="s">
        <v>291</v>
      </c>
      <c r="DT1" s="131" t="s">
        <v>292</v>
      </c>
      <c r="DU1" t="s">
        <v>293</v>
      </c>
      <c r="DV1" t="s">
        <v>291</v>
      </c>
      <c r="DW1" t="s">
        <v>292</v>
      </c>
      <c r="DX1" t="s">
        <v>294</v>
      </c>
      <c r="DY1" t="s">
        <v>291</v>
      </c>
      <c r="DZ1" t="s">
        <v>292</v>
      </c>
      <c r="EA1" s="110"/>
      <c r="EB1" s="2" t="s">
        <v>296</v>
      </c>
      <c r="EC1" s="132" t="s">
        <v>297</v>
      </c>
      <c r="ED1" s="132" t="s">
        <v>298</v>
      </c>
      <c r="EE1" s="132" t="s">
        <v>299</v>
      </c>
      <c r="EF1" s="132" t="s">
        <v>300</v>
      </c>
      <c r="EG1" s="132" t="s">
        <v>301</v>
      </c>
      <c r="EH1" s="132" t="s">
        <v>139</v>
      </c>
      <c r="EI1" s="110"/>
      <c r="EJ1" s="2" t="s">
        <v>302</v>
      </c>
      <c r="EK1" s="5" t="s">
        <v>303</v>
      </c>
      <c r="EL1" s="5" t="s">
        <v>304</v>
      </c>
      <c r="EM1" s="5" t="s">
        <v>305</v>
      </c>
      <c r="EN1" s="5" t="s">
        <v>139</v>
      </c>
      <c r="EP1" s="110"/>
      <c r="EQ1" s="1" t="s">
        <v>306</v>
      </c>
      <c r="FI1" s="133">
        <v>45717.204861111109</v>
      </c>
      <c r="FJ1" t="s">
        <v>307</v>
      </c>
    </row>
    <row r="2" spans="1:166" ht="16.5" customHeight="1" x14ac:dyDescent="0.3">
      <c r="A2" s="134" t="s">
        <v>308</v>
      </c>
      <c r="B2" s="134" t="s">
        <v>309</v>
      </c>
      <c r="C2" s="105" t="s">
        <v>310</v>
      </c>
      <c r="D2" s="132" t="s">
        <v>311</v>
      </c>
      <c r="E2" s="132"/>
      <c r="F2" s="105"/>
      <c r="G2" s="135" t="s">
        <v>312</v>
      </c>
      <c r="H2" s="136" t="s">
        <v>313</v>
      </c>
      <c r="I2" s="137" t="s">
        <v>314</v>
      </c>
      <c r="K2">
        <v>3</v>
      </c>
      <c r="L2" s="138" t="s">
        <v>315</v>
      </c>
      <c r="N2" s="138" t="s">
        <v>316</v>
      </c>
      <c r="O2" s="110"/>
      <c r="P2" s="139" t="s">
        <v>120</v>
      </c>
      <c r="Q2" s="139" t="s">
        <v>317</v>
      </c>
      <c r="R2" s="139" t="s">
        <v>59</v>
      </c>
      <c r="S2" s="139" t="s">
        <v>318</v>
      </c>
      <c r="T2" s="139" t="s">
        <v>82</v>
      </c>
      <c r="U2" s="139" t="s">
        <v>319</v>
      </c>
      <c r="V2" s="139" t="s">
        <v>320</v>
      </c>
      <c r="W2" s="95" t="s">
        <v>118</v>
      </c>
      <c r="X2" s="95" t="s">
        <v>321</v>
      </c>
      <c r="Y2" s="95"/>
      <c r="Z2" s="95"/>
      <c r="AA2" s="140" t="s">
        <v>322</v>
      </c>
      <c r="AB2" s="140" t="s">
        <v>323</v>
      </c>
      <c r="AC2" s="140" t="s">
        <v>324</v>
      </c>
      <c r="AD2" s="141" t="s">
        <v>325</v>
      </c>
      <c r="AE2" s="142" t="s">
        <v>326</v>
      </c>
      <c r="AF2" s="140" t="s">
        <v>327</v>
      </c>
      <c r="AH2" s="1" t="s">
        <v>72</v>
      </c>
      <c r="AI2" s="1" t="s">
        <v>73</v>
      </c>
      <c r="AJ2" t="s">
        <v>478</v>
      </c>
      <c r="AL2" s="110"/>
      <c r="AM2" s="267" t="s">
        <v>1</v>
      </c>
      <c r="AN2" s="268" t="s">
        <v>2</v>
      </c>
      <c r="AO2" s="268" t="s">
        <v>2885</v>
      </c>
      <c r="AP2" s="268" t="s">
        <v>2879</v>
      </c>
      <c r="AQ2" s="268" t="s">
        <v>2880</v>
      </c>
      <c r="AR2" s="57" t="s">
        <v>2881</v>
      </c>
      <c r="AS2" s="5" t="s">
        <v>2882</v>
      </c>
      <c r="AT2" s="5" t="s">
        <v>2883</v>
      </c>
      <c r="AU2" s="279" t="s">
        <v>2934</v>
      </c>
      <c r="AV2" s="279" t="s">
        <v>2943</v>
      </c>
      <c r="AW2" s="4"/>
      <c r="AX2" s="4"/>
      <c r="AY2" s="4"/>
      <c r="BA2" s="4"/>
      <c r="BB2" s="3" t="s">
        <v>328</v>
      </c>
      <c r="BC2" s="1" t="s">
        <v>329</v>
      </c>
      <c r="BD2" s="112" t="s">
        <v>330</v>
      </c>
      <c r="BE2" s="90" t="s">
        <v>331</v>
      </c>
      <c r="BF2" s="107">
        <v>1828</v>
      </c>
      <c r="BG2" s="107">
        <v>24131.45</v>
      </c>
      <c r="BH2" s="143">
        <v>44522</v>
      </c>
      <c r="BI2" s="107" t="s">
        <v>332</v>
      </c>
      <c r="BJ2" s="108" t="s">
        <v>332</v>
      </c>
      <c r="BK2" s="107" t="s">
        <v>333</v>
      </c>
      <c r="BL2" s="144">
        <v>1</v>
      </c>
      <c r="BM2" s="1"/>
      <c r="BN2" s="1"/>
      <c r="BO2" s="3"/>
      <c r="BP2" s="1"/>
      <c r="BQ2" s="145" t="s">
        <v>334</v>
      </c>
      <c r="BR2" s="146" t="s">
        <v>334</v>
      </c>
      <c r="BS2" s="118"/>
      <c r="BT2" s="118"/>
      <c r="BU2" s="118" t="s">
        <v>334</v>
      </c>
      <c r="BV2" s="118" t="s">
        <v>335</v>
      </c>
      <c r="BW2" s="118" t="s">
        <v>336</v>
      </c>
      <c r="BX2" s="118"/>
      <c r="BY2" s="118"/>
      <c r="BZ2" s="118" t="s">
        <v>334</v>
      </c>
      <c r="CA2" s="118" t="s">
        <v>335</v>
      </c>
      <c r="CB2" s="118"/>
      <c r="CC2" s="110"/>
      <c r="CD2" s="302" t="s">
        <v>337</v>
      </c>
      <c r="CE2" s="302"/>
      <c r="CF2" s="302"/>
      <c r="CG2" s="302"/>
      <c r="CH2" s="302"/>
      <c r="CI2" s="303">
        <f ca="1">NOW()</f>
        <v>46007.44044421296</v>
      </c>
      <c r="CJ2" s="303"/>
      <c r="CM2" t="s">
        <v>338</v>
      </c>
      <c r="CP2" s="94" t="s">
        <v>339</v>
      </c>
      <c r="CR2" t="s">
        <v>340</v>
      </c>
      <c r="DF2" s="110"/>
      <c r="DG2" t="s">
        <v>341</v>
      </c>
      <c r="DH2" t="s">
        <v>342</v>
      </c>
      <c r="DI2" t="s">
        <v>343</v>
      </c>
      <c r="DJ2" s="131" t="s">
        <v>344</v>
      </c>
      <c r="DK2" t="s">
        <v>345</v>
      </c>
      <c r="DL2" t="s">
        <v>343</v>
      </c>
      <c r="DM2" t="s">
        <v>344</v>
      </c>
      <c r="DN2" t="s">
        <v>346</v>
      </c>
      <c r="DO2" t="s">
        <v>343</v>
      </c>
      <c r="DP2" t="s">
        <v>344</v>
      </c>
      <c r="DR2" t="s">
        <v>342</v>
      </c>
      <c r="DS2" t="s">
        <v>343</v>
      </c>
      <c r="DT2" s="131" t="s">
        <v>344</v>
      </c>
      <c r="DU2" t="s">
        <v>345</v>
      </c>
      <c r="DV2" t="s">
        <v>343</v>
      </c>
      <c r="DW2" t="s">
        <v>344</v>
      </c>
      <c r="DX2" t="s">
        <v>346</v>
      </c>
      <c r="DY2" t="s">
        <v>343</v>
      </c>
      <c r="DZ2" t="s">
        <v>344</v>
      </c>
      <c r="EA2" s="110"/>
      <c r="EB2" s="1" t="s">
        <v>347</v>
      </c>
      <c r="EC2" s="147" t="s">
        <v>348</v>
      </c>
      <c r="ED2" s="5" t="s">
        <v>349</v>
      </c>
      <c r="EE2" s="5" t="s">
        <v>350</v>
      </c>
      <c r="EF2" s="5" t="s">
        <v>351</v>
      </c>
      <c r="EG2" s="5" t="s">
        <v>352</v>
      </c>
      <c r="EH2" s="5">
        <v>1</v>
      </c>
      <c r="EI2" s="110"/>
      <c r="EJ2" s="1" t="s">
        <v>353</v>
      </c>
      <c r="EK2" s="147" t="s">
        <v>354</v>
      </c>
      <c r="EL2" s="5" t="s">
        <v>355</v>
      </c>
      <c r="EM2" s="5" t="s">
        <v>356</v>
      </c>
      <c r="EN2" s="5">
        <v>1</v>
      </c>
      <c r="EP2" s="110"/>
      <c r="EQ2" s="148" t="s">
        <v>357</v>
      </c>
      <c r="ER2" s="149" t="s">
        <v>358</v>
      </c>
      <c r="ES2" s="149" t="s">
        <v>359</v>
      </c>
      <c r="ET2" s="149" t="s">
        <v>360</v>
      </c>
      <c r="EU2" s="149" t="s">
        <v>361</v>
      </c>
      <c r="EV2" s="149" t="s">
        <v>82</v>
      </c>
      <c r="EW2" s="149" t="s">
        <v>362</v>
      </c>
      <c r="EX2" s="150" t="s">
        <v>363</v>
      </c>
      <c r="EY2" s="151" t="s">
        <v>364</v>
      </c>
      <c r="EZ2" s="151" t="s">
        <v>365</v>
      </c>
      <c r="FA2" s="151" t="s">
        <v>366</v>
      </c>
      <c r="FB2" s="151" t="s">
        <v>367</v>
      </c>
      <c r="FC2" s="152" t="s">
        <v>368</v>
      </c>
      <c r="FD2" s="152" t="s">
        <v>369</v>
      </c>
      <c r="FE2" s="152" t="s">
        <v>370</v>
      </c>
      <c r="FF2" s="152" t="s">
        <v>371</v>
      </c>
      <c r="FG2" s="152" t="s">
        <v>372</v>
      </c>
      <c r="FI2" s="110"/>
      <c r="FJ2" s="153" t="s">
        <v>373</v>
      </c>
    </row>
    <row r="3" spans="1:166" ht="16.5" customHeight="1" x14ac:dyDescent="0.3">
      <c r="A3" s="134" t="s">
        <v>374</v>
      </c>
      <c r="B3" s="134" t="s">
        <v>375</v>
      </c>
      <c r="C3" s="154" t="s">
        <v>310</v>
      </c>
      <c r="D3" s="132" t="s">
        <v>376</v>
      </c>
      <c r="E3" s="132" t="s">
        <v>377</v>
      </c>
      <c r="F3" s="105"/>
      <c r="G3" s="135" t="s">
        <v>312</v>
      </c>
      <c r="H3" s="136" t="s">
        <v>378</v>
      </c>
      <c r="I3" s="137" t="s">
        <v>314</v>
      </c>
      <c r="L3" s="138" t="s">
        <v>379</v>
      </c>
      <c r="N3" s="138" t="s">
        <v>380</v>
      </c>
      <c r="O3" s="110"/>
      <c r="P3" s="95"/>
      <c r="Q3" s="95"/>
      <c r="R3" s="95"/>
      <c r="S3" s="95"/>
      <c r="T3" s="96"/>
      <c r="U3" s="95"/>
      <c r="V3" s="97"/>
      <c r="W3" s="95"/>
      <c r="X3" s="155"/>
      <c r="Y3" s="156"/>
      <c r="Z3" s="152"/>
      <c r="AA3" s="140"/>
      <c r="AB3" s="140"/>
      <c r="AC3" s="140"/>
      <c r="AD3" s="141"/>
      <c r="AE3" s="142"/>
      <c r="AF3" s="140"/>
      <c r="AH3" s="1" t="s">
        <v>75</v>
      </c>
      <c r="AI3" s="1" t="s">
        <v>76</v>
      </c>
      <c r="AJ3" t="s">
        <v>478</v>
      </c>
      <c r="AL3" s="110"/>
      <c r="AM3" s="267" t="s">
        <v>58</v>
      </c>
      <c r="AN3" s="268">
        <v>2</v>
      </c>
      <c r="AO3" s="280" t="s">
        <v>2929</v>
      </c>
      <c r="AP3" s="277" t="s">
        <v>57</v>
      </c>
      <c r="AQ3" s="268" t="b">
        <v>1</v>
      </c>
      <c r="AR3" s="57">
        <v>0</v>
      </c>
      <c r="AS3" s="57"/>
      <c r="AT3" s="57"/>
      <c r="AU3" s="279">
        <v>1</v>
      </c>
      <c r="AV3" s="279"/>
      <c r="AW3" s="4"/>
      <c r="AX3" s="4"/>
      <c r="AY3" s="4"/>
      <c r="BA3" s="4"/>
      <c r="BB3" s="3" t="s">
        <v>381</v>
      </c>
      <c r="BC3" s="1" t="s">
        <v>382</v>
      </c>
      <c r="BD3" s="112" t="s">
        <v>383</v>
      </c>
      <c r="BE3" s="113" t="s">
        <v>384</v>
      </c>
      <c r="BF3" s="107">
        <v>1300</v>
      </c>
      <c r="BG3" s="107">
        <v>23587</v>
      </c>
      <c r="BH3" s="143">
        <v>44628</v>
      </c>
      <c r="BI3" s="107" t="s">
        <v>385</v>
      </c>
      <c r="BJ3" s="108" t="s">
        <v>386</v>
      </c>
      <c r="BK3" s="107" t="s">
        <v>387</v>
      </c>
      <c r="BL3" s="144">
        <v>1</v>
      </c>
      <c r="BM3" s="1"/>
      <c r="BN3" s="1"/>
      <c r="BO3" s="3"/>
      <c r="BP3" s="1"/>
      <c r="BQ3" s="145" t="s">
        <v>388</v>
      </c>
      <c r="BR3" s="146" t="s">
        <v>388</v>
      </c>
      <c r="BS3" s="118"/>
      <c r="BT3" s="118"/>
      <c r="BU3" s="118" t="s">
        <v>388</v>
      </c>
      <c r="BV3" s="118" t="s">
        <v>335</v>
      </c>
      <c r="BW3" t="s">
        <v>389</v>
      </c>
      <c r="BX3" s="118"/>
      <c r="BY3" s="118"/>
      <c r="BZ3" s="118" t="s">
        <v>388</v>
      </c>
      <c r="CA3" s="118" t="s">
        <v>335</v>
      </c>
      <c r="CB3" s="118"/>
      <c r="CC3" s="110"/>
      <c r="CD3" s="157" t="s">
        <v>390</v>
      </c>
      <c r="CE3" s="157" t="s">
        <v>391</v>
      </c>
      <c r="CF3" s="157" t="s">
        <v>392</v>
      </c>
      <c r="CG3" s="157" t="s">
        <v>393</v>
      </c>
      <c r="CH3" s="158" t="s">
        <v>394</v>
      </c>
      <c r="CI3" s="159" t="s">
        <v>88</v>
      </c>
      <c r="CJ3" s="160" t="s">
        <v>395</v>
      </c>
      <c r="CL3" s="112" t="s">
        <v>396</v>
      </c>
      <c r="CM3" s="112" t="s">
        <v>272</v>
      </c>
      <c r="CN3" s="113" t="s">
        <v>397</v>
      </c>
      <c r="CO3" s="114" t="s">
        <v>274</v>
      </c>
      <c r="CP3" s="161" t="s">
        <v>398</v>
      </c>
      <c r="CQ3" s="162" t="s">
        <v>399</v>
      </c>
      <c r="CR3" s="107" t="s">
        <v>261</v>
      </c>
      <c r="CS3" s="116" t="s">
        <v>104</v>
      </c>
      <c r="CT3" s="107" t="s">
        <v>277</v>
      </c>
      <c r="CU3" s="163" t="s">
        <v>68</v>
      </c>
      <c r="DF3" s="110"/>
      <c r="DG3" t="s">
        <v>400</v>
      </c>
      <c r="DH3" t="s">
        <v>401</v>
      </c>
      <c r="DI3" t="s">
        <v>402</v>
      </c>
      <c r="DJ3" s="131" t="s">
        <v>403</v>
      </c>
      <c r="DK3" t="s">
        <v>404</v>
      </c>
      <c r="DL3" t="s">
        <v>402</v>
      </c>
      <c r="DM3" t="s">
        <v>403</v>
      </c>
      <c r="DN3" t="s">
        <v>405</v>
      </c>
      <c r="DO3" t="s">
        <v>402</v>
      </c>
      <c r="DP3" t="s">
        <v>403</v>
      </c>
      <c r="DR3" t="s">
        <v>401</v>
      </c>
      <c r="DS3" t="s">
        <v>402</v>
      </c>
      <c r="DT3" s="131" t="s">
        <v>403</v>
      </c>
      <c r="DU3" t="s">
        <v>404</v>
      </c>
      <c r="DV3" t="s">
        <v>402</v>
      </c>
      <c r="DW3" t="s">
        <v>403</v>
      </c>
      <c r="DX3" t="s">
        <v>405</v>
      </c>
      <c r="DY3" t="s">
        <v>402</v>
      </c>
      <c r="DZ3" t="s">
        <v>403</v>
      </c>
      <c r="EA3" s="110"/>
      <c r="EC3" s="147" t="s">
        <v>406</v>
      </c>
      <c r="ED3" s="5" t="s">
        <v>407</v>
      </c>
      <c r="EE3" s="5" t="s">
        <v>350</v>
      </c>
      <c r="EF3" s="5" t="s">
        <v>351</v>
      </c>
      <c r="EG3" s="5" t="s">
        <v>352</v>
      </c>
      <c r="EH3" s="5">
        <v>1</v>
      </c>
      <c r="EI3" s="110"/>
      <c r="EK3" s="147" t="s">
        <v>408</v>
      </c>
      <c r="EL3" s="5" t="s">
        <v>409</v>
      </c>
      <c r="EM3" s="5" t="s">
        <v>410</v>
      </c>
      <c r="EN3" s="5">
        <v>1</v>
      </c>
      <c r="EP3" s="110"/>
      <c r="EQ3" s="148">
        <v>20240130</v>
      </c>
      <c r="ER3" s="149">
        <v>140</v>
      </c>
      <c r="ES3" s="149" t="s">
        <v>411</v>
      </c>
      <c r="ET3" s="149" t="s">
        <v>412</v>
      </c>
      <c r="EU3" s="149">
        <v>1980</v>
      </c>
      <c r="EV3" s="149" t="s">
        <v>413</v>
      </c>
      <c r="EW3" s="149" t="s">
        <v>414</v>
      </c>
      <c r="EX3" s="150" t="s">
        <v>415</v>
      </c>
      <c r="EY3" s="164">
        <v>45321</v>
      </c>
      <c r="EZ3" s="151" t="s">
        <v>416</v>
      </c>
      <c r="FA3" s="151" t="s">
        <v>417</v>
      </c>
      <c r="FB3" s="152" t="s">
        <v>418</v>
      </c>
      <c r="FC3" s="152" t="s">
        <v>419</v>
      </c>
      <c r="FD3" s="152" t="s">
        <v>420</v>
      </c>
      <c r="FE3" s="152" t="s">
        <v>421</v>
      </c>
      <c r="FF3" s="152"/>
      <c r="FG3" s="152" t="s">
        <v>422</v>
      </c>
      <c r="FI3" s="133">
        <v>45717.491666666669</v>
      </c>
    </row>
    <row r="4" spans="1:166" ht="16.5" customHeight="1" x14ac:dyDescent="0.3">
      <c r="A4" s="134" t="s">
        <v>423</v>
      </c>
      <c r="B4" s="134"/>
      <c r="C4" s="154" t="s">
        <v>310</v>
      </c>
      <c r="D4" s="132" t="s">
        <v>424</v>
      </c>
      <c r="E4" s="132"/>
      <c r="F4" s="105"/>
      <c r="G4" s="135" t="s">
        <v>312</v>
      </c>
      <c r="H4" s="136" t="s">
        <v>314</v>
      </c>
      <c r="I4" s="137" t="s">
        <v>314</v>
      </c>
      <c r="L4" s="138" t="s">
        <v>425</v>
      </c>
      <c r="N4" s="138" t="s">
        <v>426</v>
      </c>
      <c r="O4" s="110"/>
      <c r="P4" s="2" t="s">
        <v>427</v>
      </c>
      <c r="R4" s="165" t="s">
        <v>428</v>
      </c>
      <c r="S4" s="166"/>
      <c r="T4" s="166"/>
      <c r="U4" s="166"/>
      <c r="V4" s="166"/>
      <c r="W4" s="166"/>
      <c r="X4" s="166"/>
      <c r="Y4" s="166"/>
      <c r="Z4" s="166"/>
      <c r="AH4" s="1" t="s">
        <v>77</v>
      </c>
      <c r="AI4" s="1" t="s">
        <v>78</v>
      </c>
      <c r="AJ4" t="s">
        <v>478</v>
      </c>
      <c r="AL4" s="110"/>
      <c r="AM4" s="274" t="s">
        <v>2876</v>
      </c>
      <c r="AN4" s="271"/>
      <c r="AO4" s="271"/>
      <c r="AP4" s="271"/>
      <c r="AQ4" s="271"/>
      <c r="AR4" s="271"/>
      <c r="AS4" s="271"/>
      <c r="AT4" s="271"/>
      <c r="AU4" s="1"/>
      <c r="AV4" s="1"/>
      <c r="AW4" s="1"/>
      <c r="AX4" s="1"/>
      <c r="AY4" s="4"/>
      <c r="BA4" s="4"/>
      <c r="BB4" s="3" t="s">
        <v>429</v>
      </c>
      <c r="BC4" s="1" t="s">
        <v>430</v>
      </c>
      <c r="BD4" s="112" t="s">
        <v>383</v>
      </c>
      <c r="BE4" s="113" t="s">
        <v>384</v>
      </c>
      <c r="BF4" s="107">
        <v>1300</v>
      </c>
      <c r="BG4" s="107">
        <v>23587</v>
      </c>
      <c r="BH4" s="143">
        <v>44628</v>
      </c>
      <c r="BI4" s="107" t="s">
        <v>385</v>
      </c>
      <c r="BJ4" s="108" t="s">
        <v>386</v>
      </c>
      <c r="BK4" s="107" t="s">
        <v>387</v>
      </c>
      <c r="BL4" s="144">
        <v>1</v>
      </c>
      <c r="BM4" s="1"/>
      <c r="BN4" s="1"/>
      <c r="BO4" s="3"/>
      <c r="BP4" s="1"/>
      <c r="BQ4" s="145" t="s">
        <v>431</v>
      </c>
      <c r="BR4" s="146" t="s">
        <v>431</v>
      </c>
      <c r="BS4" s="118"/>
      <c r="BT4" s="118"/>
      <c r="BU4" s="118" t="s">
        <v>431</v>
      </c>
      <c r="BV4" s="118" t="s">
        <v>335</v>
      </c>
      <c r="BW4" s="118" t="s">
        <v>432</v>
      </c>
      <c r="BX4" s="118"/>
      <c r="BY4" s="118"/>
      <c r="BZ4" s="118" t="s">
        <v>431</v>
      </c>
      <c r="CA4" s="118" t="s">
        <v>335</v>
      </c>
      <c r="CB4" s="118"/>
      <c r="CC4" s="110"/>
      <c r="CD4" s="167"/>
      <c r="CE4" s="168"/>
      <c r="CF4" s="169"/>
      <c r="CG4" s="170"/>
      <c r="CH4" s="171"/>
      <c r="CI4" s="172"/>
      <c r="CJ4" s="173"/>
      <c r="CK4" s="174"/>
      <c r="CL4" s="175">
        <v>4</v>
      </c>
      <c r="CM4" s="176"/>
      <c r="CN4" s="177"/>
      <c r="CO4" s="178"/>
      <c r="CP4" s="179"/>
      <c r="CQ4" s="180"/>
      <c r="CR4" s="181"/>
      <c r="CS4" s="182"/>
      <c r="CT4" s="183"/>
      <c r="CU4" s="184"/>
      <c r="DF4" s="110"/>
      <c r="DG4" t="s">
        <v>433</v>
      </c>
      <c r="DH4" t="s">
        <v>346</v>
      </c>
      <c r="DI4" t="s">
        <v>434</v>
      </c>
      <c r="DJ4" s="131" t="s">
        <v>435</v>
      </c>
      <c r="DK4" t="s">
        <v>436</v>
      </c>
      <c r="DL4" t="s">
        <v>343</v>
      </c>
      <c r="DM4" t="s">
        <v>344</v>
      </c>
      <c r="DN4" t="s">
        <v>437</v>
      </c>
      <c r="DO4" t="s">
        <v>434</v>
      </c>
      <c r="DP4" t="s">
        <v>435</v>
      </c>
      <c r="DR4" t="s">
        <v>346</v>
      </c>
      <c r="DS4" t="s">
        <v>434</v>
      </c>
      <c r="DT4" s="131" t="s">
        <v>435</v>
      </c>
      <c r="DU4" t="s">
        <v>436</v>
      </c>
      <c r="DV4" t="s">
        <v>343</v>
      </c>
      <c r="DW4" t="s">
        <v>344</v>
      </c>
      <c r="DX4" t="s">
        <v>437</v>
      </c>
      <c r="DY4" t="s">
        <v>434</v>
      </c>
      <c r="DZ4" t="s">
        <v>435</v>
      </c>
      <c r="EA4" s="110"/>
      <c r="EC4" s="147" t="s">
        <v>438</v>
      </c>
      <c r="ED4" s="5" t="s">
        <v>439</v>
      </c>
      <c r="EE4" s="5" t="s">
        <v>330</v>
      </c>
      <c r="EF4" s="5" t="s">
        <v>440</v>
      </c>
      <c r="EG4" s="5" t="s">
        <v>441</v>
      </c>
      <c r="EH4" s="5">
        <v>1</v>
      </c>
      <c r="EI4" s="110"/>
      <c r="EK4" s="147" t="s">
        <v>442</v>
      </c>
      <c r="EL4" s="5" t="s">
        <v>443</v>
      </c>
      <c r="EM4" s="5" t="s">
        <v>410</v>
      </c>
      <c r="EN4" s="5">
        <v>1</v>
      </c>
      <c r="EP4" s="110"/>
      <c r="EQ4" t="s">
        <v>444</v>
      </c>
      <c r="FI4" s="110"/>
    </row>
    <row r="5" spans="1:166" ht="16.5" customHeight="1" x14ac:dyDescent="0.3">
      <c r="A5" s="134" t="s">
        <v>445</v>
      </c>
      <c r="B5" s="134" t="s">
        <v>446</v>
      </c>
      <c r="C5" s="154" t="s">
        <v>310</v>
      </c>
      <c r="D5" s="132" t="s">
        <v>447</v>
      </c>
      <c r="E5" s="132" t="s">
        <v>448</v>
      </c>
      <c r="F5" s="105"/>
      <c r="G5" s="135" t="s">
        <v>312</v>
      </c>
      <c r="H5" s="136" t="s">
        <v>449</v>
      </c>
      <c r="I5" s="137" t="s">
        <v>314</v>
      </c>
      <c r="L5" s="138" t="s">
        <v>450</v>
      </c>
      <c r="N5" s="185" t="s">
        <v>451</v>
      </c>
      <c r="O5" s="110"/>
      <c r="P5" s="139" t="s">
        <v>120</v>
      </c>
      <c r="Q5" s="139" t="s">
        <v>317</v>
      </c>
      <c r="R5" s="139" t="s">
        <v>59</v>
      </c>
      <c r="S5" s="139" t="s">
        <v>318</v>
      </c>
      <c r="T5" s="139" t="s">
        <v>82</v>
      </c>
      <c r="U5" s="139" t="s">
        <v>319</v>
      </c>
      <c r="V5" s="139" t="s">
        <v>320</v>
      </c>
      <c r="W5" s="95" t="s">
        <v>118</v>
      </c>
      <c r="X5" s="95" t="s">
        <v>321</v>
      </c>
      <c r="Y5" s="95"/>
      <c r="Z5" s="95"/>
      <c r="AA5" s="140" t="s">
        <v>322</v>
      </c>
      <c r="AB5" s="140" t="s">
        <v>323</v>
      </c>
      <c r="AC5" s="140" t="s">
        <v>324</v>
      </c>
      <c r="AD5" s="141" t="s">
        <v>325</v>
      </c>
      <c r="AE5" s="142" t="s">
        <v>326</v>
      </c>
      <c r="AF5" s="140" t="s">
        <v>327</v>
      </c>
      <c r="AH5" s="1" t="s">
        <v>79</v>
      </c>
      <c r="AI5" s="1" t="s">
        <v>80</v>
      </c>
      <c r="AJ5" t="s">
        <v>478</v>
      </c>
      <c r="AL5" s="110"/>
      <c r="AM5" s="274" t="s">
        <v>2886</v>
      </c>
      <c r="AN5" s="271"/>
      <c r="AO5" s="271"/>
      <c r="AP5" s="271"/>
      <c r="AQ5" s="271"/>
      <c r="AR5" s="271"/>
      <c r="AS5" s="271"/>
      <c r="AT5" s="271"/>
      <c r="AU5" s="1"/>
      <c r="AV5" s="1"/>
      <c r="AW5" s="1"/>
      <c r="AX5" s="1"/>
      <c r="AY5" s="4"/>
      <c r="BA5" s="4"/>
      <c r="BB5" s="3" t="s">
        <v>452</v>
      </c>
      <c r="BC5" s="1"/>
      <c r="BD5" s="112" t="s">
        <v>453</v>
      </c>
      <c r="BE5" s="113" t="s">
        <v>454</v>
      </c>
      <c r="BF5" s="107">
        <v>1568</v>
      </c>
      <c r="BG5" s="107">
        <v>23520</v>
      </c>
      <c r="BH5" s="143">
        <v>44635</v>
      </c>
      <c r="BI5" s="107" t="s">
        <v>385</v>
      </c>
      <c r="BJ5" s="108" t="s">
        <v>455</v>
      </c>
      <c r="BK5" s="107" t="s">
        <v>456</v>
      </c>
      <c r="BL5" s="144">
        <v>1</v>
      </c>
      <c r="BM5" s="1"/>
      <c r="BN5" s="1"/>
      <c r="BO5" s="3"/>
      <c r="BP5" s="1"/>
      <c r="BQ5" s="145" t="s">
        <v>457</v>
      </c>
      <c r="BR5" s="146" t="s">
        <v>457</v>
      </c>
      <c r="BS5" s="118"/>
      <c r="BT5" s="118"/>
      <c r="BU5" s="118" t="s">
        <v>457</v>
      </c>
      <c r="BV5" s="118" t="s">
        <v>335</v>
      </c>
      <c r="BW5" s="118" t="s">
        <v>458</v>
      </c>
      <c r="BX5" s="118"/>
      <c r="BY5" s="118"/>
      <c r="BZ5" s="118" t="s">
        <v>459</v>
      </c>
      <c r="CA5" s="118" t="s">
        <v>335</v>
      </c>
      <c r="CB5" s="118"/>
      <c r="CC5" s="110"/>
      <c r="CD5" s="186"/>
      <c r="CE5" s="127"/>
      <c r="CF5" s="128"/>
      <c r="CG5" s="122"/>
      <c r="CH5" s="129"/>
      <c r="CI5" s="187"/>
      <c r="CJ5" s="125"/>
      <c r="CL5" s="175">
        <v>5</v>
      </c>
      <c r="CM5" s="188"/>
      <c r="CN5" s="189"/>
      <c r="CO5" s="190"/>
      <c r="CP5" s="191"/>
      <c r="CQ5" s="192"/>
      <c r="CR5" s="193"/>
      <c r="CS5" s="194"/>
      <c r="CT5" s="195"/>
      <c r="CU5" s="196"/>
      <c r="DF5" s="110"/>
      <c r="DG5" t="s">
        <v>460</v>
      </c>
      <c r="DH5" t="s">
        <v>405</v>
      </c>
      <c r="DI5" t="s">
        <v>461</v>
      </c>
      <c r="DJ5" s="131" t="s">
        <v>462</v>
      </c>
      <c r="DK5" t="s">
        <v>463</v>
      </c>
      <c r="DL5" t="s">
        <v>402</v>
      </c>
      <c r="DM5" t="s">
        <v>403</v>
      </c>
      <c r="DN5" t="s">
        <v>464</v>
      </c>
      <c r="DO5" t="s">
        <v>461</v>
      </c>
      <c r="DP5" t="s">
        <v>462</v>
      </c>
      <c r="DR5" t="s">
        <v>405</v>
      </c>
      <c r="DS5" t="s">
        <v>461</v>
      </c>
      <c r="DT5" s="131" t="s">
        <v>462</v>
      </c>
      <c r="DU5" t="s">
        <v>463</v>
      </c>
      <c r="DV5" t="s">
        <v>402</v>
      </c>
      <c r="DW5" t="s">
        <v>403</v>
      </c>
      <c r="DX5" t="s">
        <v>464</v>
      </c>
      <c r="DY5" t="s">
        <v>461</v>
      </c>
      <c r="DZ5" t="s">
        <v>462</v>
      </c>
      <c r="EA5" s="110"/>
      <c r="EB5" s="1" t="s">
        <v>465</v>
      </c>
      <c r="EC5" s="147" t="s">
        <v>466</v>
      </c>
      <c r="ED5" s="5" t="s">
        <v>467</v>
      </c>
      <c r="EE5" s="5" t="s">
        <v>468</v>
      </c>
      <c r="EF5" s="5" t="s">
        <v>469</v>
      </c>
      <c r="EG5" s="5" t="s">
        <v>470</v>
      </c>
      <c r="EH5" s="5">
        <v>1</v>
      </c>
      <c r="EI5" s="110"/>
      <c r="EK5" s="147" t="s">
        <v>471</v>
      </c>
      <c r="EL5" s="5" t="s">
        <v>472</v>
      </c>
      <c r="EM5" s="5" t="s">
        <v>410</v>
      </c>
      <c r="EN5" s="5">
        <v>1</v>
      </c>
      <c r="EP5" s="110"/>
      <c r="EQ5" s="148" t="s">
        <v>357</v>
      </c>
      <c r="ER5" s="148" t="s">
        <v>357</v>
      </c>
      <c r="ES5" s="149" t="s">
        <v>359</v>
      </c>
      <c r="ET5" s="149" t="s">
        <v>360</v>
      </c>
      <c r="EU5" s="149" t="s">
        <v>362</v>
      </c>
      <c r="EV5" s="150" t="s">
        <v>363</v>
      </c>
      <c r="EW5" s="151" t="s">
        <v>367</v>
      </c>
      <c r="EX5" s="152" t="s">
        <v>368</v>
      </c>
      <c r="EY5" s="152" t="s">
        <v>369</v>
      </c>
      <c r="EZ5" s="152" t="s">
        <v>370</v>
      </c>
      <c r="FA5" s="152" t="s">
        <v>371</v>
      </c>
      <c r="FB5" s="152" t="s">
        <v>372</v>
      </c>
      <c r="FC5" s="149" t="s">
        <v>82</v>
      </c>
      <c r="FG5" s="197"/>
      <c r="FH5" s="197"/>
      <c r="FI5" s="133"/>
    </row>
    <row r="6" spans="1:166" ht="16.5" customHeight="1" x14ac:dyDescent="0.3">
      <c r="A6" s="134" t="s">
        <v>473</v>
      </c>
      <c r="B6" s="134" t="s">
        <v>474</v>
      </c>
      <c r="C6" s="105" t="s">
        <v>310</v>
      </c>
      <c r="D6" s="132"/>
      <c r="E6" s="132"/>
      <c r="F6" s="105"/>
      <c r="G6" s="198" t="s">
        <v>312</v>
      </c>
      <c r="H6" s="134" t="s">
        <v>475</v>
      </c>
      <c r="I6" s="102" t="s">
        <v>475</v>
      </c>
      <c r="L6" s="138" t="s">
        <v>476</v>
      </c>
      <c r="N6" s="185" t="s">
        <v>477</v>
      </c>
      <c r="O6" s="110"/>
      <c r="P6" s="134" t="s">
        <v>1355</v>
      </c>
      <c r="Q6" s="143">
        <v>46013</v>
      </c>
      <c r="R6" s="199" t="s">
        <v>2945</v>
      </c>
      <c r="S6" s="200" t="s">
        <v>2936</v>
      </c>
      <c r="T6" s="198" t="s">
        <v>1321</v>
      </c>
      <c r="U6" s="199" t="s">
        <v>498</v>
      </c>
      <c r="V6" s="201"/>
      <c r="W6" s="134"/>
      <c r="X6" s="162"/>
      <c r="Y6" s="140"/>
      <c r="Z6" s="141"/>
      <c r="AA6" s="140" t="s">
        <v>479</v>
      </c>
      <c r="AB6" s="140" t="s">
        <v>480</v>
      </c>
      <c r="AC6" s="140" t="s">
        <v>481</v>
      </c>
      <c r="AD6" s="141">
        <v>1800</v>
      </c>
      <c r="AE6" s="142">
        <v>21600</v>
      </c>
      <c r="AF6" s="140" t="s">
        <v>482</v>
      </c>
      <c r="AH6" s="2" t="s">
        <v>2928</v>
      </c>
      <c r="AL6" s="110"/>
      <c r="AM6" s="274" t="s">
        <v>2887</v>
      </c>
      <c r="AN6" s="271"/>
      <c r="AO6" s="271"/>
      <c r="AP6" s="271"/>
      <c r="AQ6" s="271"/>
      <c r="AR6" s="271"/>
      <c r="AS6" s="271"/>
      <c r="AT6" s="271"/>
      <c r="AU6" s="1"/>
      <c r="AV6" s="1"/>
      <c r="AW6" s="1"/>
      <c r="AX6" s="1"/>
      <c r="AY6" s="4"/>
      <c r="BA6" s="4"/>
      <c r="BB6" s="3" t="s">
        <v>328</v>
      </c>
      <c r="BC6" s="1"/>
      <c r="BD6" s="112" t="s">
        <v>483</v>
      </c>
      <c r="BE6" s="113" t="s">
        <v>484</v>
      </c>
      <c r="BF6" s="107">
        <v>1600</v>
      </c>
      <c r="BG6" s="107">
        <v>24000</v>
      </c>
      <c r="BH6" s="143">
        <v>44803</v>
      </c>
      <c r="BI6" s="107" t="s">
        <v>385</v>
      </c>
      <c r="BJ6" s="108" t="s">
        <v>485</v>
      </c>
      <c r="BK6" s="107" t="s">
        <v>456</v>
      </c>
      <c r="BL6" s="144">
        <v>1</v>
      </c>
      <c r="BM6" s="1"/>
      <c r="BN6" s="1"/>
      <c r="BO6" s="3"/>
      <c r="BP6" s="1" t="s">
        <v>486</v>
      </c>
      <c r="BQ6" s="145" t="s">
        <v>459</v>
      </c>
      <c r="BR6" s="146" t="s">
        <v>459</v>
      </c>
      <c r="BS6" s="118"/>
      <c r="BT6" s="118"/>
      <c r="BU6" s="118" t="s">
        <v>459</v>
      </c>
      <c r="BV6" s="118" t="s">
        <v>335</v>
      </c>
      <c r="BW6" s="118"/>
      <c r="BX6" s="118"/>
      <c r="BY6" s="118"/>
      <c r="BZ6" s="118" t="s">
        <v>457</v>
      </c>
      <c r="CA6" s="118" t="s">
        <v>335</v>
      </c>
      <c r="CB6" s="118"/>
      <c r="CC6" s="110"/>
      <c r="CD6" s="186"/>
      <c r="CE6" s="127"/>
      <c r="CF6" s="128"/>
      <c r="CG6" s="122"/>
      <c r="CH6" s="129"/>
      <c r="CI6" s="187"/>
      <c r="CJ6" s="125"/>
      <c r="CL6" s="175">
        <v>6</v>
      </c>
      <c r="CM6" s="188"/>
      <c r="CN6" s="189"/>
      <c r="CO6" s="190"/>
      <c r="CP6" s="191"/>
      <c r="CQ6" s="192"/>
      <c r="CR6" s="193"/>
      <c r="CS6" s="188"/>
      <c r="CT6" s="195"/>
      <c r="CU6" s="196"/>
      <c r="DF6" s="110"/>
      <c r="DH6" t="s">
        <v>437</v>
      </c>
      <c r="DI6" t="s">
        <v>73</v>
      </c>
      <c r="DJ6" s="131" t="s">
        <v>487</v>
      </c>
      <c r="DK6" t="s">
        <v>437</v>
      </c>
      <c r="DL6" t="s">
        <v>434</v>
      </c>
      <c r="DM6" t="s">
        <v>435</v>
      </c>
      <c r="DN6" t="s">
        <v>488</v>
      </c>
      <c r="DO6" t="s">
        <v>73</v>
      </c>
      <c r="DP6" t="s">
        <v>487</v>
      </c>
      <c r="DR6" t="s">
        <v>437</v>
      </c>
      <c r="DS6" t="s">
        <v>73</v>
      </c>
      <c r="DT6" s="131" t="s">
        <v>487</v>
      </c>
      <c r="DU6" t="s">
        <v>437</v>
      </c>
      <c r="DV6" t="s">
        <v>434</v>
      </c>
      <c r="DW6" t="s">
        <v>435</v>
      </c>
      <c r="DX6" t="s">
        <v>488</v>
      </c>
      <c r="DY6" t="s">
        <v>73</v>
      </c>
      <c r="DZ6" t="s">
        <v>487</v>
      </c>
      <c r="EA6" s="110"/>
      <c r="EB6" s="1" t="s">
        <v>489</v>
      </c>
      <c r="EC6" s="147" t="s">
        <v>490</v>
      </c>
      <c r="ED6" s="5" t="s">
        <v>490</v>
      </c>
      <c r="EE6" s="5" t="s">
        <v>468</v>
      </c>
      <c r="EF6" s="5" t="s">
        <v>469</v>
      </c>
      <c r="EG6" s="5" t="s">
        <v>470</v>
      </c>
      <c r="EH6" s="5">
        <v>1</v>
      </c>
      <c r="EI6" s="110"/>
      <c r="EJ6" s="1">
        <v>65</v>
      </c>
      <c r="EK6" s="147" t="s">
        <v>491</v>
      </c>
      <c r="EL6" s="5" t="s">
        <v>492</v>
      </c>
      <c r="EM6" s="5" t="s">
        <v>410</v>
      </c>
      <c r="EN6" s="5">
        <v>1</v>
      </c>
      <c r="EP6" s="110"/>
      <c r="EQ6" s="148"/>
      <c r="ER6" s="148"/>
      <c r="ES6" s="149"/>
      <c r="ET6" s="149"/>
      <c r="EU6" s="149"/>
      <c r="EV6" s="150"/>
      <c r="EW6" s="152"/>
      <c r="EX6" s="152"/>
      <c r="EY6" s="152"/>
      <c r="EZ6" s="152"/>
      <c r="FA6" s="152"/>
      <c r="FB6" s="152"/>
      <c r="FC6" s="152"/>
      <c r="FI6" s="110"/>
    </row>
    <row r="7" spans="1:166" ht="16.5" customHeight="1" x14ac:dyDescent="0.3">
      <c r="A7" s="134" t="s">
        <v>493</v>
      </c>
      <c r="B7" s="134" t="s">
        <v>494</v>
      </c>
      <c r="C7" s="105" t="s">
        <v>310</v>
      </c>
      <c r="D7" s="132"/>
      <c r="E7" s="132"/>
      <c r="F7" s="105"/>
      <c r="G7" s="198" t="s">
        <v>312</v>
      </c>
      <c r="H7" s="134" t="s">
        <v>495</v>
      </c>
      <c r="I7" s="102" t="s">
        <v>496</v>
      </c>
      <c r="L7" s="138" t="s">
        <v>497</v>
      </c>
      <c r="N7" s="185">
        <v>139</v>
      </c>
      <c r="O7" s="110"/>
      <c r="P7" s="134" t="s">
        <v>1355</v>
      </c>
      <c r="Q7" s="143">
        <v>46013</v>
      </c>
      <c r="R7" s="199" t="s">
        <v>2946</v>
      </c>
      <c r="S7" s="200" t="s">
        <v>2936</v>
      </c>
      <c r="T7" s="198" t="s">
        <v>1321</v>
      </c>
      <c r="U7" s="199" t="s">
        <v>498</v>
      </c>
      <c r="V7" s="201"/>
      <c r="W7" s="134"/>
      <c r="X7" s="162"/>
      <c r="Y7" s="140"/>
      <c r="Z7" s="141"/>
      <c r="AA7" s="140" t="s">
        <v>479</v>
      </c>
      <c r="AB7" s="140" t="s">
        <v>480</v>
      </c>
      <c r="AC7" s="140" t="s">
        <v>481</v>
      </c>
      <c r="AD7" s="141">
        <v>1800</v>
      </c>
      <c r="AE7" s="142">
        <v>21600</v>
      </c>
      <c r="AF7" s="140" t="s">
        <v>482</v>
      </c>
      <c r="AH7" s="278">
        <v>0</v>
      </c>
      <c r="AL7" s="110"/>
      <c r="AM7" s="8" t="s">
        <v>2888</v>
      </c>
      <c r="AN7" s="57" t="s">
        <v>2891</v>
      </c>
      <c r="AO7" s="57" t="s">
        <v>2889</v>
      </c>
      <c r="AP7" s="57" t="s">
        <v>2890</v>
      </c>
      <c r="AQ7" s="57" t="s">
        <v>2935</v>
      </c>
      <c r="AR7" s="271"/>
      <c r="AS7" s="271"/>
      <c r="AT7" s="271"/>
      <c r="AU7" s="1"/>
      <c r="AV7" s="1"/>
      <c r="AW7" s="1"/>
      <c r="AX7" s="1"/>
      <c r="AY7" s="4"/>
      <c r="BA7" s="4"/>
      <c r="BB7" s="3" t="s">
        <v>499</v>
      </c>
      <c r="BC7" s="1"/>
      <c r="BD7" s="112" t="s">
        <v>500</v>
      </c>
      <c r="BE7" s="113" t="s">
        <v>501</v>
      </c>
      <c r="BF7" s="107">
        <v>1728</v>
      </c>
      <c r="BG7" s="107">
        <v>24192</v>
      </c>
      <c r="BH7" s="143">
        <v>44831</v>
      </c>
      <c r="BI7" s="107" t="s">
        <v>385</v>
      </c>
      <c r="BJ7" s="108" t="s">
        <v>502</v>
      </c>
      <c r="BK7" s="107" t="s">
        <v>503</v>
      </c>
      <c r="BL7" s="144">
        <v>1</v>
      </c>
      <c r="BM7" s="1"/>
      <c r="BN7" s="1"/>
      <c r="BO7" s="3"/>
      <c r="BP7" s="1"/>
      <c r="BQ7" s="145" t="s">
        <v>504</v>
      </c>
      <c r="BR7" s="146" t="s">
        <v>504</v>
      </c>
      <c r="BS7" s="118"/>
      <c r="BT7" s="118"/>
      <c r="BU7" s="118" t="s">
        <v>504</v>
      </c>
      <c r="BV7" s="118" t="s">
        <v>335</v>
      </c>
      <c r="BW7" s="118"/>
      <c r="BX7" s="118"/>
      <c r="BY7" s="118"/>
      <c r="BZ7" s="118" t="s">
        <v>505</v>
      </c>
      <c r="CA7" s="118" t="s">
        <v>335</v>
      </c>
      <c r="CB7" s="118"/>
      <c r="CC7" s="110"/>
      <c r="CD7" s="186"/>
      <c r="CE7" s="127"/>
      <c r="CF7" s="128"/>
      <c r="CG7" s="122"/>
      <c r="CH7" s="129"/>
      <c r="CI7" s="187"/>
      <c r="CJ7" s="125"/>
      <c r="CL7" s="175">
        <v>7</v>
      </c>
      <c r="CM7" s="188"/>
      <c r="CN7" s="189"/>
      <c r="CO7" s="190"/>
      <c r="CP7" s="191"/>
      <c r="CQ7" s="192"/>
      <c r="CR7" s="193"/>
      <c r="CS7" s="194"/>
      <c r="CT7" s="195"/>
      <c r="CU7" s="196"/>
      <c r="DD7" s="131"/>
      <c r="DE7" s="131"/>
      <c r="DF7" s="110"/>
      <c r="DH7" t="s">
        <v>464</v>
      </c>
      <c r="DI7" t="s">
        <v>76</v>
      </c>
      <c r="DJ7" s="131" t="s">
        <v>506</v>
      </c>
      <c r="DK7" t="s">
        <v>507</v>
      </c>
      <c r="DL7" t="s">
        <v>508</v>
      </c>
      <c r="DM7" t="s">
        <v>509</v>
      </c>
      <c r="DN7" t="s">
        <v>510</v>
      </c>
      <c r="DO7" t="s">
        <v>76</v>
      </c>
      <c r="DP7" t="s">
        <v>506</v>
      </c>
      <c r="DR7" t="s">
        <v>464</v>
      </c>
      <c r="DS7" t="s">
        <v>76</v>
      </c>
      <c r="DT7" s="131" t="s">
        <v>506</v>
      </c>
      <c r="DU7" t="s">
        <v>507</v>
      </c>
      <c r="DV7" t="s">
        <v>508</v>
      </c>
      <c r="DW7" t="s">
        <v>509</v>
      </c>
      <c r="DX7" t="s">
        <v>510</v>
      </c>
      <c r="DY7" t="s">
        <v>76</v>
      </c>
      <c r="DZ7" t="s">
        <v>506</v>
      </c>
      <c r="EA7" s="110"/>
      <c r="EC7" s="147" t="s">
        <v>511</v>
      </c>
      <c r="ED7" s="5" t="s">
        <v>511</v>
      </c>
      <c r="EE7" s="5" t="s">
        <v>512</v>
      </c>
      <c r="EF7" s="5" t="s">
        <v>512</v>
      </c>
      <c r="EG7" s="5" t="s">
        <v>512</v>
      </c>
      <c r="EH7" s="5">
        <v>1</v>
      </c>
      <c r="EI7" s="110"/>
      <c r="EK7" s="147" t="s">
        <v>513</v>
      </c>
      <c r="EL7" s="5" t="s">
        <v>514</v>
      </c>
      <c r="EM7" s="5" t="s">
        <v>410</v>
      </c>
      <c r="EN7" s="5">
        <v>1</v>
      </c>
      <c r="EP7" s="110"/>
      <c r="EQ7" s="202" t="s">
        <v>515</v>
      </c>
      <c r="FG7" s="197"/>
      <c r="FH7" s="197"/>
      <c r="FI7" s="133"/>
    </row>
    <row r="8" spans="1:166" ht="16.5" customHeight="1" x14ac:dyDescent="0.3">
      <c r="A8" s="134" t="s">
        <v>516</v>
      </c>
      <c r="B8" s="134" t="s">
        <v>517</v>
      </c>
      <c r="C8" s="154" t="s">
        <v>310</v>
      </c>
      <c r="D8" s="132"/>
      <c r="E8" s="132"/>
      <c r="F8" s="105"/>
      <c r="G8" s="135" t="s">
        <v>312</v>
      </c>
      <c r="H8" s="136" t="s">
        <v>518</v>
      </c>
      <c r="I8" s="137" t="s">
        <v>519</v>
      </c>
      <c r="L8" s="138" t="s">
        <v>520</v>
      </c>
      <c r="N8" s="138" t="s">
        <v>521</v>
      </c>
      <c r="O8" s="110"/>
      <c r="P8" s="134" t="s">
        <v>1355</v>
      </c>
      <c r="Q8" s="143">
        <v>46013</v>
      </c>
      <c r="R8" s="199" t="s">
        <v>429</v>
      </c>
      <c r="S8" s="200" t="s">
        <v>2936</v>
      </c>
      <c r="T8" s="198" t="s">
        <v>1321</v>
      </c>
      <c r="U8" s="199" t="s">
        <v>498</v>
      </c>
      <c r="V8" s="201"/>
      <c r="W8" s="134"/>
      <c r="X8" s="162"/>
      <c r="Y8" s="140"/>
      <c r="Z8" s="141"/>
      <c r="AA8" s="140" t="s">
        <v>479</v>
      </c>
      <c r="AB8" s="140" t="s">
        <v>480</v>
      </c>
      <c r="AC8" s="140" t="s">
        <v>481</v>
      </c>
      <c r="AD8" s="141">
        <v>1800</v>
      </c>
      <c r="AE8" s="142">
        <v>21600</v>
      </c>
      <c r="AF8" s="140" t="s">
        <v>482</v>
      </c>
      <c r="AL8" s="110"/>
      <c r="AM8" s="280" t="s">
        <v>2929</v>
      </c>
      <c r="AN8" s="57" t="s">
        <v>2897</v>
      </c>
      <c r="AO8" s="57" t="b">
        <v>1</v>
      </c>
      <c r="AP8" s="57" t="b">
        <v>1</v>
      </c>
      <c r="AQ8" s="57">
        <v>2</v>
      </c>
      <c r="AR8" s="271"/>
      <c r="AS8" s="271"/>
      <c r="AT8" s="271"/>
      <c r="AU8" s="1"/>
      <c r="AV8" s="1"/>
      <c r="AW8" s="1"/>
      <c r="AX8" s="1"/>
      <c r="AY8" s="4"/>
      <c r="BA8" s="4"/>
      <c r="BB8" s="3" t="s">
        <v>522</v>
      </c>
      <c r="BC8" s="1"/>
      <c r="BD8" s="112" t="s">
        <v>500</v>
      </c>
      <c r="BE8" s="113" t="s">
        <v>523</v>
      </c>
      <c r="BF8" s="107">
        <v>2300</v>
      </c>
      <c r="BG8" s="107">
        <v>23000</v>
      </c>
      <c r="BH8" s="143">
        <v>44833</v>
      </c>
      <c r="BI8" s="107" t="s">
        <v>385</v>
      </c>
      <c r="BJ8" s="108" t="s">
        <v>502</v>
      </c>
      <c r="BK8" s="107" t="s">
        <v>524</v>
      </c>
      <c r="BL8" s="144">
        <v>1</v>
      </c>
      <c r="BM8" s="1"/>
      <c r="BN8" s="1"/>
      <c r="BO8" s="3"/>
      <c r="BP8" s="1"/>
      <c r="BQ8" s="145" t="s">
        <v>505</v>
      </c>
      <c r="BR8" s="146" t="s">
        <v>505</v>
      </c>
      <c r="BS8" s="118"/>
      <c r="BT8" s="118"/>
      <c r="BU8" s="118" t="s">
        <v>505</v>
      </c>
      <c r="BV8" s="118" t="s">
        <v>335</v>
      </c>
      <c r="BW8" s="118"/>
      <c r="BX8" s="118"/>
      <c r="BY8" s="118"/>
      <c r="BZ8" s="118" t="s">
        <v>504</v>
      </c>
      <c r="CA8" s="118" t="s">
        <v>335</v>
      </c>
      <c r="CB8" s="118"/>
      <c r="CC8" s="110"/>
      <c r="CD8" s="186"/>
      <c r="CE8" s="127"/>
      <c r="CF8" s="128"/>
      <c r="CG8" s="122"/>
      <c r="CH8" s="129"/>
      <c r="CI8" s="187"/>
      <c r="CJ8" s="125"/>
      <c r="CL8" s="175">
        <v>8</v>
      </c>
      <c r="CM8" s="188"/>
      <c r="CN8" s="189"/>
      <c r="CO8" s="190"/>
      <c r="CP8" s="191"/>
      <c r="CQ8" s="192"/>
      <c r="CR8" s="193"/>
      <c r="CS8" s="194"/>
      <c r="CT8" s="195"/>
      <c r="CU8" s="196"/>
      <c r="DF8" s="110"/>
      <c r="DH8" t="s">
        <v>525</v>
      </c>
      <c r="DI8" t="s">
        <v>526</v>
      </c>
      <c r="DJ8" s="131" t="s">
        <v>527</v>
      </c>
      <c r="DK8" t="s">
        <v>528</v>
      </c>
      <c r="DL8" t="s">
        <v>461</v>
      </c>
      <c r="DM8" t="s">
        <v>462</v>
      </c>
      <c r="DN8" t="s">
        <v>529</v>
      </c>
      <c r="DO8" t="s">
        <v>530</v>
      </c>
      <c r="DP8" s="203" t="s">
        <v>531</v>
      </c>
      <c r="DR8" t="s">
        <v>525</v>
      </c>
      <c r="DS8" t="s">
        <v>526</v>
      </c>
      <c r="DT8" s="131" t="s">
        <v>527</v>
      </c>
      <c r="DU8" t="s">
        <v>528</v>
      </c>
      <c r="DV8" t="s">
        <v>461</v>
      </c>
      <c r="DW8" t="s">
        <v>462</v>
      </c>
      <c r="DX8" t="s">
        <v>529</v>
      </c>
      <c r="DY8" t="s">
        <v>530</v>
      </c>
      <c r="DZ8" s="203" t="s">
        <v>531</v>
      </c>
      <c r="EA8" s="110"/>
      <c r="EC8" s="147" t="s">
        <v>532</v>
      </c>
      <c r="ED8" s="5" t="s">
        <v>533</v>
      </c>
      <c r="EE8" s="5" t="s">
        <v>493</v>
      </c>
      <c r="EF8" s="5" t="s">
        <v>534</v>
      </c>
      <c r="EG8" s="5" t="s">
        <v>494</v>
      </c>
      <c r="EH8" s="5">
        <v>1</v>
      </c>
      <c r="EI8" s="110"/>
      <c r="EK8" s="147" t="s">
        <v>535</v>
      </c>
      <c r="EL8" s="5" t="s">
        <v>536</v>
      </c>
      <c r="EM8" s="5" t="s">
        <v>410</v>
      </c>
      <c r="EN8" s="5">
        <v>1</v>
      </c>
      <c r="EP8" s="110"/>
      <c r="EQ8" s="148" t="s">
        <v>357</v>
      </c>
      <c r="ER8" s="149" t="s">
        <v>358</v>
      </c>
      <c r="ES8" s="149" t="s">
        <v>359</v>
      </c>
      <c r="ET8" s="149" t="s">
        <v>360</v>
      </c>
      <c r="EU8" s="149" t="s">
        <v>361</v>
      </c>
      <c r="EV8" s="149" t="s">
        <v>82</v>
      </c>
      <c r="EW8" s="149" t="s">
        <v>362</v>
      </c>
      <c r="EX8" s="150" t="s">
        <v>363</v>
      </c>
      <c r="EY8" s="151" t="s">
        <v>367</v>
      </c>
      <c r="EZ8" s="152" t="s">
        <v>368</v>
      </c>
      <c r="FA8" s="152" t="s">
        <v>369</v>
      </c>
      <c r="FB8" s="152" t="s">
        <v>370</v>
      </c>
      <c r="FC8" s="152" t="s">
        <v>371</v>
      </c>
      <c r="FD8" s="152" t="s">
        <v>372</v>
      </c>
      <c r="FI8" s="110"/>
    </row>
    <row r="9" spans="1:166" ht="16.5" customHeight="1" x14ac:dyDescent="0.3">
      <c r="A9" s="134" t="s">
        <v>537</v>
      </c>
      <c r="B9" s="134" t="s">
        <v>538</v>
      </c>
      <c r="C9" s="105" t="s">
        <v>310</v>
      </c>
      <c r="D9" s="132" t="s">
        <v>539</v>
      </c>
      <c r="E9" s="132" t="s">
        <v>540</v>
      </c>
      <c r="F9" s="105"/>
      <c r="G9" s="135" t="s">
        <v>312</v>
      </c>
      <c r="H9" s="136" t="s">
        <v>541</v>
      </c>
      <c r="I9" s="137" t="s">
        <v>519</v>
      </c>
      <c r="L9" s="138" t="s">
        <v>542</v>
      </c>
      <c r="N9" s="138" t="s">
        <v>543</v>
      </c>
      <c r="O9" s="110"/>
      <c r="P9" s="134" t="s">
        <v>1355</v>
      </c>
      <c r="Q9" s="143">
        <v>46013</v>
      </c>
      <c r="R9" s="199" t="s">
        <v>2947</v>
      </c>
      <c r="S9" s="200" t="s">
        <v>2936</v>
      </c>
      <c r="T9" s="198" t="s">
        <v>1321</v>
      </c>
      <c r="U9" s="199" t="s">
        <v>498</v>
      </c>
      <c r="V9" s="201"/>
      <c r="W9" s="134"/>
      <c r="X9" s="162"/>
      <c r="Y9" s="140"/>
      <c r="Z9" s="141"/>
      <c r="AA9" s="140" t="s">
        <v>479</v>
      </c>
      <c r="AB9" s="140" t="s">
        <v>480</v>
      </c>
      <c r="AC9" s="140" t="s">
        <v>481</v>
      </c>
      <c r="AD9" s="141">
        <v>1800</v>
      </c>
      <c r="AE9" s="142">
        <v>21600</v>
      </c>
      <c r="AF9" s="140" t="s">
        <v>482</v>
      </c>
      <c r="AL9" s="110"/>
      <c r="AM9" s="280" t="s">
        <v>2930</v>
      </c>
      <c r="AN9" s="57" t="s">
        <v>2897</v>
      </c>
      <c r="AO9" s="57" t="b">
        <v>1</v>
      </c>
      <c r="AP9" s="57" t="b">
        <v>0</v>
      </c>
      <c r="AQ9" s="57">
        <v>2</v>
      </c>
      <c r="AR9" s="271"/>
      <c r="AS9" s="271"/>
      <c r="AT9" s="271"/>
      <c r="AU9" s="1"/>
      <c r="AV9" s="1"/>
      <c r="AW9" s="1"/>
      <c r="AX9" s="1"/>
      <c r="AY9" s="4"/>
      <c r="BA9" s="4"/>
      <c r="BB9" s="3" t="s">
        <v>544</v>
      </c>
      <c r="BC9" s="1"/>
      <c r="BD9" s="112" t="s">
        <v>453</v>
      </c>
      <c r="BE9" s="113" t="s">
        <v>545</v>
      </c>
      <c r="BF9" s="107">
        <v>1568</v>
      </c>
      <c r="BG9" s="107">
        <v>23520</v>
      </c>
      <c r="BH9" s="143">
        <v>44833</v>
      </c>
      <c r="BI9" s="107" t="s">
        <v>385</v>
      </c>
      <c r="BJ9" s="108" t="s">
        <v>455</v>
      </c>
      <c r="BK9" s="107" t="s">
        <v>456</v>
      </c>
      <c r="BL9" s="144">
        <v>1</v>
      </c>
      <c r="BM9" s="1"/>
      <c r="BN9" s="1"/>
      <c r="BO9" s="3"/>
      <c r="BP9" s="1"/>
      <c r="BQ9" s="145" t="s">
        <v>546</v>
      </c>
      <c r="BR9" s="146" t="s">
        <v>546</v>
      </c>
      <c r="BS9" s="118"/>
      <c r="BT9" s="118"/>
      <c r="BU9" s="118" t="s">
        <v>546</v>
      </c>
      <c r="BV9" s="118" t="s">
        <v>335</v>
      </c>
      <c r="BW9" s="118"/>
      <c r="BX9" s="118"/>
      <c r="BY9" s="118"/>
      <c r="BZ9" s="118" t="s">
        <v>547</v>
      </c>
      <c r="CA9" s="118" t="s">
        <v>335</v>
      </c>
      <c r="CB9" s="118"/>
      <c r="CC9" s="110"/>
      <c r="CD9" s="186"/>
      <c r="CE9" s="127"/>
      <c r="CF9" s="128"/>
      <c r="CG9" s="122"/>
      <c r="CH9" s="129"/>
      <c r="CI9" s="187"/>
      <c r="CJ9" s="125"/>
      <c r="CL9" s="175">
        <v>9</v>
      </c>
      <c r="CM9" s="188"/>
      <c r="CN9" s="189"/>
      <c r="CO9" s="190"/>
      <c r="CP9" s="191"/>
      <c r="CQ9" s="192"/>
      <c r="CR9" s="193"/>
      <c r="CS9" s="194"/>
      <c r="CT9" s="195"/>
      <c r="CU9" s="196"/>
      <c r="DF9" s="110"/>
      <c r="DH9" t="s">
        <v>548</v>
      </c>
      <c r="DI9" t="s">
        <v>549</v>
      </c>
      <c r="DJ9" s="131" t="s">
        <v>550</v>
      </c>
      <c r="DK9" t="s">
        <v>551</v>
      </c>
      <c r="DL9" t="s">
        <v>552</v>
      </c>
      <c r="DM9" t="s">
        <v>553</v>
      </c>
      <c r="DN9" t="s">
        <v>554</v>
      </c>
      <c r="DO9" t="s">
        <v>555</v>
      </c>
      <c r="DP9" t="s">
        <v>556</v>
      </c>
      <c r="DR9" t="s">
        <v>548</v>
      </c>
      <c r="DS9" t="s">
        <v>549</v>
      </c>
      <c r="DT9" s="131" t="s">
        <v>550</v>
      </c>
      <c r="DU9" t="s">
        <v>551</v>
      </c>
      <c r="DV9" t="s">
        <v>552</v>
      </c>
      <c r="DW9" t="s">
        <v>553</v>
      </c>
      <c r="DX9" t="s">
        <v>554</v>
      </c>
      <c r="DY9" t="s">
        <v>555</v>
      </c>
      <c r="DZ9" t="s">
        <v>556</v>
      </c>
      <c r="EA9" s="110"/>
      <c r="EC9" s="147" t="s">
        <v>557</v>
      </c>
      <c r="ED9" s="5" t="s">
        <v>557</v>
      </c>
      <c r="EE9" s="5" t="s">
        <v>558</v>
      </c>
      <c r="EF9" s="5" t="s">
        <v>559</v>
      </c>
      <c r="EG9" s="5" t="s">
        <v>560</v>
      </c>
      <c r="EH9" s="5">
        <v>1</v>
      </c>
      <c r="EI9" s="110"/>
      <c r="EK9" s="147" t="s">
        <v>561</v>
      </c>
      <c r="EL9" s="5" t="s">
        <v>562</v>
      </c>
      <c r="EM9" s="5" t="s">
        <v>410</v>
      </c>
      <c r="EN9" s="5">
        <v>1</v>
      </c>
      <c r="EP9" s="110"/>
      <c r="FG9" s="197"/>
      <c r="FH9" s="197"/>
      <c r="FI9" s="133"/>
    </row>
    <row r="10" spans="1:166" ht="16.5" customHeight="1" x14ac:dyDescent="0.3">
      <c r="A10" s="134" t="s">
        <v>468</v>
      </c>
      <c r="B10" s="134" t="s">
        <v>470</v>
      </c>
      <c r="C10" s="204"/>
      <c r="D10" s="105" t="s">
        <v>563</v>
      </c>
      <c r="E10" s="105"/>
      <c r="F10" s="105"/>
      <c r="G10" s="135" t="s">
        <v>312</v>
      </c>
      <c r="H10" s="136" t="s">
        <v>564</v>
      </c>
      <c r="I10" s="137" t="s">
        <v>519</v>
      </c>
      <c r="L10" s="138" t="s">
        <v>565</v>
      </c>
      <c r="N10" s="138" t="s">
        <v>566</v>
      </c>
      <c r="O10" s="110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 t="s">
        <v>567</v>
      </c>
      <c r="AE10" s="105"/>
      <c r="AF10" s="105"/>
      <c r="AG10" s="105"/>
      <c r="AH10" s="105"/>
      <c r="AI10" s="105" t="s">
        <v>568</v>
      </c>
      <c r="AL10" s="110"/>
      <c r="AM10" s="280" t="s">
        <v>2931</v>
      </c>
      <c r="AN10" s="57" t="s">
        <v>2898</v>
      </c>
      <c r="AO10" s="57" t="b">
        <v>1</v>
      </c>
      <c r="AP10" s="57" t="b">
        <v>1</v>
      </c>
      <c r="AQ10" s="57">
        <v>1</v>
      </c>
      <c r="AR10" s="271"/>
      <c r="AS10" s="271"/>
      <c r="AT10" s="271"/>
      <c r="AU10" s="1"/>
      <c r="AV10" s="1"/>
      <c r="AW10" s="1"/>
      <c r="AX10" s="1"/>
      <c r="AY10" s="4"/>
      <c r="BA10" s="4"/>
      <c r="BB10" s="3" t="s">
        <v>569</v>
      </c>
      <c r="BC10" s="1"/>
      <c r="BD10" s="112" t="s">
        <v>453</v>
      </c>
      <c r="BE10" s="113" t="s">
        <v>570</v>
      </c>
      <c r="BF10" s="107">
        <v>1566</v>
      </c>
      <c r="BG10" s="107">
        <v>23490</v>
      </c>
      <c r="BH10" s="143">
        <v>44834</v>
      </c>
      <c r="BI10" s="107" t="s">
        <v>385</v>
      </c>
      <c r="BJ10" s="108" t="s">
        <v>571</v>
      </c>
      <c r="BK10" s="107" t="s">
        <v>456</v>
      </c>
      <c r="BL10" s="144">
        <v>1</v>
      </c>
      <c r="BM10" s="1"/>
      <c r="BN10" s="1"/>
      <c r="BO10" s="3"/>
      <c r="BP10" s="1"/>
      <c r="BQ10" s="145" t="s">
        <v>547</v>
      </c>
      <c r="BR10" s="146" t="s">
        <v>547</v>
      </c>
      <c r="BS10" s="118"/>
      <c r="BT10" s="118"/>
      <c r="BU10" s="118" t="s">
        <v>547</v>
      </c>
      <c r="BV10" s="118" t="s">
        <v>335</v>
      </c>
      <c r="BW10" s="118"/>
      <c r="BX10" s="118"/>
      <c r="BY10" s="118"/>
      <c r="BZ10" s="118" t="s">
        <v>546</v>
      </c>
      <c r="CA10" s="118" t="s">
        <v>335</v>
      </c>
      <c r="CB10" s="118"/>
      <c r="CC10" s="110"/>
      <c r="CD10" s="186"/>
      <c r="CE10" s="127"/>
      <c r="CF10" s="128"/>
      <c r="CG10" s="122"/>
      <c r="CH10" s="129"/>
      <c r="CI10" s="187"/>
      <c r="CJ10" s="125"/>
      <c r="CL10" s="175">
        <v>10</v>
      </c>
      <c r="CM10" s="188"/>
      <c r="CN10" s="189"/>
      <c r="CO10" s="190"/>
      <c r="CP10" s="191"/>
      <c r="CQ10" s="192"/>
      <c r="CR10" s="193"/>
      <c r="CS10" s="194"/>
      <c r="CT10" s="195"/>
      <c r="CU10" s="196"/>
      <c r="DF10" s="110"/>
      <c r="DH10" t="s">
        <v>572</v>
      </c>
      <c r="DI10" t="s">
        <v>573</v>
      </c>
      <c r="DJ10" s="131" t="s">
        <v>574</v>
      </c>
      <c r="DK10" t="s">
        <v>575</v>
      </c>
      <c r="DL10" t="s">
        <v>434</v>
      </c>
      <c r="DM10" t="s">
        <v>435</v>
      </c>
      <c r="DN10" t="s">
        <v>576</v>
      </c>
      <c r="DO10" t="s">
        <v>577</v>
      </c>
      <c r="DP10" s="203" t="s">
        <v>578</v>
      </c>
      <c r="DR10" t="s">
        <v>572</v>
      </c>
      <c r="DS10" t="s">
        <v>573</v>
      </c>
      <c r="DT10" s="131" t="s">
        <v>574</v>
      </c>
      <c r="DU10" t="s">
        <v>575</v>
      </c>
      <c r="DV10" t="s">
        <v>434</v>
      </c>
      <c r="DW10" t="s">
        <v>435</v>
      </c>
      <c r="DX10" t="s">
        <v>576</v>
      </c>
      <c r="DY10" t="s">
        <v>577</v>
      </c>
      <c r="DZ10" s="203" t="s">
        <v>578</v>
      </c>
      <c r="EA10" s="110"/>
      <c r="EB10" s="1">
        <v>105</v>
      </c>
      <c r="EC10" s="147" t="s">
        <v>579</v>
      </c>
      <c r="ED10" s="5" t="s">
        <v>579</v>
      </c>
      <c r="EE10" s="5" t="s">
        <v>558</v>
      </c>
      <c r="EF10" s="5" t="s">
        <v>559</v>
      </c>
      <c r="EG10" s="5" t="s">
        <v>560</v>
      </c>
      <c r="EH10" s="5">
        <v>1</v>
      </c>
      <c r="EI10" s="110"/>
      <c r="EK10" s="147" t="s">
        <v>580</v>
      </c>
      <c r="EL10" s="5" t="s">
        <v>581</v>
      </c>
      <c r="EM10" s="5" t="s">
        <v>410</v>
      </c>
      <c r="EN10" s="5">
        <v>1</v>
      </c>
      <c r="EP10" s="110"/>
      <c r="FI10" s="110"/>
    </row>
    <row r="11" spans="1:166" ht="16.5" customHeight="1" x14ac:dyDescent="0.3">
      <c r="A11" s="134" t="s">
        <v>558</v>
      </c>
      <c r="B11" s="134" t="s">
        <v>560</v>
      </c>
      <c r="C11" s="204"/>
      <c r="D11" s="205" t="s">
        <v>582</v>
      </c>
      <c r="E11" s="206" t="s">
        <v>69</v>
      </c>
      <c r="F11" s="105"/>
      <c r="G11" s="198" t="s">
        <v>583</v>
      </c>
      <c r="H11" s="134" t="s">
        <v>584</v>
      </c>
      <c r="I11" s="102" t="s">
        <v>585</v>
      </c>
      <c r="L11" s="138" t="s">
        <v>586</v>
      </c>
      <c r="N11" s="138" t="s">
        <v>587</v>
      </c>
      <c r="O11" s="110"/>
      <c r="P11" s="154" t="s">
        <v>588</v>
      </c>
      <c r="Q11" s="132" t="s">
        <v>589</v>
      </c>
      <c r="R11" s="207" t="s">
        <v>590</v>
      </c>
      <c r="S11" s="207" t="s">
        <v>591</v>
      </c>
      <c r="T11" s="132" t="s">
        <v>592</v>
      </c>
      <c r="U11" s="207" t="s">
        <v>593</v>
      </c>
      <c r="V11" s="207" t="s">
        <v>140</v>
      </c>
      <c r="W11" s="132" t="s">
        <v>592</v>
      </c>
      <c r="X11" s="207" t="s">
        <v>594</v>
      </c>
      <c r="Y11" s="207" t="s">
        <v>595</v>
      </c>
      <c r="Z11" s="207" t="s">
        <v>596</v>
      </c>
      <c r="AA11" s="207" t="s">
        <v>121</v>
      </c>
      <c r="AB11" s="207" t="s">
        <v>597</v>
      </c>
      <c r="AC11" s="132" t="s">
        <v>598</v>
      </c>
      <c r="AD11" s="132" t="s">
        <v>598</v>
      </c>
      <c r="AE11" s="132" t="s">
        <v>592</v>
      </c>
      <c r="AF11" s="132" t="s">
        <v>592</v>
      </c>
      <c r="AG11" s="132" t="s">
        <v>592</v>
      </c>
      <c r="AH11" s="132" t="s">
        <v>592</v>
      </c>
      <c r="AI11" s="132" t="s">
        <v>592</v>
      </c>
      <c r="AL11" s="110"/>
      <c r="AM11" s="280" t="s">
        <v>2932</v>
      </c>
      <c r="AN11" s="57" t="s">
        <v>2898</v>
      </c>
      <c r="AO11" s="57" t="b">
        <v>1</v>
      </c>
      <c r="AP11" s="57" t="b">
        <v>0</v>
      </c>
      <c r="AQ11" s="57">
        <v>1</v>
      </c>
      <c r="AR11" s="271"/>
      <c r="AS11" s="271"/>
      <c r="AT11" s="271"/>
      <c r="AU11" s="1"/>
      <c r="AV11" s="1"/>
      <c r="AW11" s="1"/>
      <c r="AX11" s="1"/>
      <c r="AY11" s="4"/>
      <c r="BA11" s="4"/>
      <c r="BB11" s="3" t="s">
        <v>328</v>
      </c>
      <c r="BC11" s="1"/>
      <c r="BD11" s="112" t="s">
        <v>599</v>
      </c>
      <c r="BE11" s="113" t="s">
        <v>600</v>
      </c>
      <c r="BF11" s="107">
        <v>1916</v>
      </c>
      <c r="BG11" s="107">
        <v>22992</v>
      </c>
      <c r="BH11" s="143">
        <v>44846</v>
      </c>
      <c r="BI11" s="107" t="s">
        <v>385</v>
      </c>
      <c r="BJ11" s="108" t="s">
        <v>601</v>
      </c>
      <c r="BK11" s="107" t="s">
        <v>456</v>
      </c>
      <c r="BL11" s="144">
        <v>1</v>
      </c>
      <c r="BM11" s="1"/>
      <c r="BN11" s="1"/>
      <c r="BO11" s="3"/>
      <c r="BP11" s="1"/>
      <c r="BQ11" s="208" t="s">
        <v>602</v>
      </c>
      <c r="BR11" s="146" t="s">
        <v>602</v>
      </c>
      <c r="BS11" s="118" t="s">
        <v>602</v>
      </c>
      <c r="BT11" s="118" t="s">
        <v>335</v>
      </c>
      <c r="BU11" s="118"/>
      <c r="BV11" s="118"/>
      <c r="BW11" s="118"/>
      <c r="BX11" s="118"/>
      <c r="BY11" s="118"/>
      <c r="BZ11" s="118" t="s">
        <v>603</v>
      </c>
      <c r="CA11" s="118" t="s">
        <v>335</v>
      </c>
      <c r="CB11" s="118"/>
      <c r="CC11" s="110"/>
      <c r="CD11" s="186"/>
      <c r="CE11" s="127"/>
      <c r="CF11" s="128"/>
      <c r="CG11" s="122"/>
      <c r="CH11" s="129"/>
      <c r="CI11" s="187"/>
      <c r="CJ11" s="125"/>
      <c r="CL11" s="175">
        <v>11</v>
      </c>
      <c r="CM11" s="188"/>
      <c r="CN11" s="189"/>
      <c r="CO11" s="190"/>
      <c r="CP11" s="191"/>
      <c r="CQ11" s="192"/>
      <c r="CR11" s="193"/>
      <c r="CS11" s="194"/>
      <c r="CT11" s="195"/>
      <c r="CU11" s="196"/>
      <c r="DF11" s="110"/>
      <c r="DH11" t="s">
        <v>604</v>
      </c>
      <c r="DI11" t="s">
        <v>605</v>
      </c>
      <c r="DJ11" s="131" t="s">
        <v>606</v>
      </c>
      <c r="DK11" t="s">
        <v>607</v>
      </c>
      <c r="DL11" t="s">
        <v>508</v>
      </c>
      <c r="DM11" t="s">
        <v>509</v>
      </c>
      <c r="DN11" t="s">
        <v>608</v>
      </c>
      <c r="DO11" t="s">
        <v>609</v>
      </c>
      <c r="DP11" t="s">
        <v>610</v>
      </c>
      <c r="DR11" t="s">
        <v>604</v>
      </c>
      <c r="DS11" t="s">
        <v>605</v>
      </c>
      <c r="DT11" s="131" t="s">
        <v>606</v>
      </c>
      <c r="DU11" t="s">
        <v>607</v>
      </c>
      <c r="DV11" t="s">
        <v>508</v>
      </c>
      <c r="DW11" t="s">
        <v>509</v>
      </c>
      <c r="DX11" t="s">
        <v>608</v>
      </c>
      <c r="DY11" t="s">
        <v>609</v>
      </c>
      <c r="DZ11" t="s">
        <v>610</v>
      </c>
      <c r="EA11" s="110"/>
      <c r="EC11" s="147" t="s">
        <v>611</v>
      </c>
      <c r="ED11" s="5" t="s">
        <v>612</v>
      </c>
      <c r="EE11" s="5" t="s">
        <v>613</v>
      </c>
      <c r="EF11" s="5" t="s">
        <v>613</v>
      </c>
      <c r="EG11" s="5" t="s">
        <v>614</v>
      </c>
      <c r="EH11" s="5">
        <v>1</v>
      </c>
      <c r="EI11" s="110"/>
      <c r="EK11" s="147" t="s">
        <v>615</v>
      </c>
      <c r="EL11" s="5" t="s">
        <v>616</v>
      </c>
      <c r="EM11" s="5" t="s">
        <v>410</v>
      </c>
      <c r="EN11" s="5">
        <v>1</v>
      </c>
      <c r="EP11" s="110"/>
      <c r="FG11" s="197"/>
      <c r="FH11" s="197"/>
      <c r="FI11" s="133"/>
    </row>
    <row r="12" spans="1:166" ht="16.5" customHeight="1" x14ac:dyDescent="0.3">
      <c r="A12" s="134" t="s">
        <v>617</v>
      </c>
      <c r="B12" s="134" t="s">
        <v>618</v>
      </c>
      <c r="C12" s="204"/>
      <c r="D12" s="209">
        <v>1</v>
      </c>
      <c r="E12" s="206">
        <v>1</v>
      </c>
      <c r="F12" s="105"/>
      <c r="G12" s="198"/>
      <c r="H12" s="134"/>
      <c r="I12" s="102"/>
      <c r="L12" s="138" t="s">
        <v>619</v>
      </c>
      <c r="N12" s="138" t="s">
        <v>620</v>
      </c>
      <c r="O12" s="110"/>
      <c r="Q12" t="s">
        <v>621</v>
      </c>
      <c r="R12" t="s">
        <v>622</v>
      </c>
      <c r="S12" t="s">
        <v>623</v>
      </c>
      <c r="T12" t="s">
        <v>624</v>
      </c>
      <c r="U12" t="s">
        <v>625</v>
      </c>
      <c r="V12" t="s">
        <v>626</v>
      </c>
      <c r="W12" t="s">
        <v>627</v>
      </c>
      <c r="X12" t="s">
        <v>628</v>
      </c>
      <c r="Y12" t="s">
        <v>362</v>
      </c>
      <c r="Z12" t="s">
        <v>127</v>
      </c>
      <c r="AA12" t="s">
        <v>361</v>
      </c>
      <c r="AB12" t="s">
        <v>629</v>
      </c>
      <c r="AC12" t="s">
        <v>630</v>
      </c>
      <c r="AD12" t="s">
        <v>631</v>
      </c>
      <c r="AL12" s="110"/>
      <c r="AM12" s="280" t="s">
        <v>2933</v>
      </c>
      <c r="AN12" s="57" t="s">
        <v>2898</v>
      </c>
      <c r="AO12" s="57" t="b">
        <v>0</v>
      </c>
      <c r="AP12" s="57" t="b">
        <v>0</v>
      </c>
      <c r="AQ12" s="57">
        <v>1</v>
      </c>
      <c r="AR12" s="271"/>
      <c r="AS12" s="271"/>
      <c r="AT12" s="271"/>
      <c r="AU12" s="1"/>
      <c r="AV12" s="1"/>
      <c r="AW12" s="1"/>
      <c r="AX12" s="1"/>
      <c r="AY12" s="4"/>
      <c r="BA12" s="4"/>
      <c r="BB12" s="3" t="s">
        <v>432</v>
      </c>
      <c r="BC12" s="1"/>
      <c r="BD12" s="112" t="s">
        <v>632</v>
      </c>
      <c r="BE12" s="113" t="s">
        <v>633</v>
      </c>
      <c r="BF12" s="107">
        <v>1568</v>
      </c>
      <c r="BG12" s="107">
        <v>23520</v>
      </c>
      <c r="BH12" s="143">
        <v>44847</v>
      </c>
      <c r="BI12" s="107" t="s">
        <v>385</v>
      </c>
      <c r="BJ12" s="108" t="s">
        <v>634</v>
      </c>
      <c r="BK12" s="107" t="s">
        <v>456</v>
      </c>
      <c r="BL12" s="144">
        <v>1</v>
      </c>
      <c r="BM12" s="1"/>
      <c r="BN12" s="1"/>
      <c r="BO12" s="3"/>
      <c r="BP12" s="1"/>
      <c r="BQ12" s="208" t="s">
        <v>635</v>
      </c>
      <c r="BR12" s="146" t="s">
        <v>635</v>
      </c>
      <c r="BS12" s="118" t="s">
        <v>635</v>
      </c>
      <c r="BT12" s="118" t="s">
        <v>335</v>
      </c>
      <c r="BU12" s="118"/>
      <c r="BV12" s="118"/>
      <c r="BW12" s="118"/>
      <c r="BX12" s="118"/>
      <c r="BY12" s="118"/>
      <c r="BZ12" s="118" t="s">
        <v>636</v>
      </c>
      <c r="CA12" s="118" t="s">
        <v>335</v>
      </c>
      <c r="CB12" s="118"/>
      <c r="CC12" s="110"/>
      <c r="CD12" s="186"/>
      <c r="CE12" s="127"/>
      <c r="CF12" s="128"/>
      <c r="CG12" s="122"/>
      <c r="CH12" s="129"/>
      <c r="CI12" s="187"/>
      <c r="CJ12" s="125"/>
      <c r="CL12" s="175">
        <v>12</v>
      </c>
      <c r="CM12" s="188"/>
      <c r="CN12" s="189"/>
      <c r="CO12" s="190"/>
      <c r="CP12" s="191"/>
      <c r="CQ12" s="192"/>
      <c r="CR12" s="193"/>
      <c r="CS12" s="194"/>
      <c r="CT12" s="195"/>
      <c r="CU12" s="196"/>
      <c r="DF12" s="110"/>
      <c r="DH12" t="s">
        <v>637</v>
      </c>
      <c r="DI12" t="s">
        <v>638</v>
      </c>
      <c r="DJ12" s="131" t="s">
        <v>639</v>
      </c>
      <c r="DK12" t="s">
        <v>640</v>
      </c>
      <c r="DL12" t="s">
        <v>461</v>
      </c>
      <c r="DM12" t="s">
        <v>462</v>
      </c>
      <c r="DN12" t="s">
        <v>641</v>
      </c>
      <c r="DO12" t="s">
        <v>642</v>
      </c>
      <c r="DP12" t="s">
        <v>643</v>
      </c>
      <c r="DR12" t="s">
        <v>637</v>
      </c>
      <c r="DS12" t="s">
        <v>638</v>
      </c>
      <c r="DT12" s="131" t="s">
        <v>639</v>
      </c>
      <c r="DU12" t="s">
        <v>640</v>
      </c>
      <c r="DV12" t="s">
        <v>461</v>
      </c>
      <c r="DW12" t="s">
        <v>462</v>
      </c>
      <c r="DX12" t="s">
        <v>641</v>
      </c>
      <c r="DY12" t="s">
        <v>642</v>
      </c>
      <c r="DZ12" t="s">
        <v>643</v>
      </c>
      <c r="EA12" s="110"/>
      <c r="EC12" s="147" t="s">
        <v>644</v>
      </c>
      <c r="ED12" s="5" t="s">
        <v>645</v>
      </c>
      <c r="EE12" s="5" t="s">
        <v>613</v>
      </c>
      <c r="EF12" s="5" t="s">
        <v>613</v>
      </c>
      <c r="EG12" s="5" t="s">
        <v>614</v>
      </c>
      <c r="EH12" s="5">
        <v>1</v>
      </c>
      <c r="EI12" s="110"/>
      <c r="EK12" s="147" t="s">
        <v>646</v>
      </c>
      <c r="EL12" s="5" t="s">
        <v>647</v>
      </c>
      <c r="EM12" s="5" t="s">
        <v>410</v>
      </c>
      <c r="EN12" s="5">
        <v>1</v>
      </c>
      <c r="EP12" s="110"/>
      <c r="FI12" s="110"/>
    </row>
    <row r="13" spans="1:166" ht="16.5" customHeight="1" x14ac:dyDescent="0.3">
      <c r="A13" s="134" t="s">
        <v>648</v>
      </c>
      <c r="B13" s="134" t="s">
        <v>649</v>
      </c>
      <c r="C13" s="204"/>
      <c r="D13" s="209">
        <v>601</v>
      </c>
      <c r="E13" s="206">
        <v>2</v>
      </c>
      <c r="F13" s="105"/>
      <c r="G13" s="198"/>
      <c r="H13" s="134"/>
      <c r="I13" s="102"/>
      <c r="L13" s="138" t="s">
        <v>650</v>
      </c>
      <c r="N13" s="138" t="s">
        <v>651</v>
      </c>
      <c r="O13" s="110"/>
      <c r="Q13" t="s">
        <v>613</v>
      </c>
      <c r="R13" t="s">
        <v>652</v>
      </c>
      <c r="S13" t="s">
        <v>653</v>
      </c>
      <c r="T13" t="s">
        <v>654</v>
      </c>
      <c r="U13" t="s">
        <v>655</v>
      </c>
      <c r="V13" t="s">
        <v>656</v>
      </c>
      <c r="W13" t="s">
        <v>657</v>
      </c>
      <c r="X13">
        <v>46001</v>
      </c>
      <c r="Y13" t="s">
        <v>658</v>
      </c>
      <c r="Z13" t="s">
        <v>659</v>
      </c>
      <c r="AA13">
        <v>1849</v>
      </c>
      <c r="AB13">
        <v>16671.05</v>
      </c>
      <c r="AC13">
        <v>46010</v>
      </c>
      <c r="AD13">
        <v>46000</v>
      </c>
      <c r="AL13" s="110"/>
      <c r="AM13" s="281" t="s">
        <v>182</v>
      </c>
      <c r="AN13" s="57" t="s">
        <v>2897</v>
      </c>
      <c r="AO13" s="57" t="b">
        <v>1</v>
      </c>
      <c r="AP13" s="57" t="b">
        <v>1</v>
      </c>
      <c r="AQ13" s="57">
        <v>4</v>
      </c>
      <c r="AR13" s="271"/>
      <c r="AS13" s="271"/>
      <c r="AT13" s="271"/>
      <c r="AU13" s="1"/>
      <c r="AV13" s="1"/>
      <c r="AW13" s="1"/>
      <c r="AX13" s="1"/>
      <c r="AY13" s="4"/>
      <c r="BA13" s="4"/>
      <c r="BB13" s="3" t="s">
        <v>660</v>
      </c>
      <c r="BC13" s="1"/>
      <c r="BD13" s="112" t="s">
        <v>500</v>
      </c>
      <c r="BE13" s="113" t="s">
        <v>661</v>
      </c>
      <c r="BF13" s="107">
        <v>2300</v>
      </c>
      <c r="BG13" s="107">
        <v>23000</v>
      </c>
      <c r="BH13" s="143">
        <v>44852</v>
      </c>
      <c r="BI13" s="107" t="s">
        <v>385</v>
      </c>
      <c r="BJ13" s="108" t="s">
        <v>502</v>
      </c>
      <c r="BK13" s="107" t="s">
        <v>524</v>
      </c>
      <c r="BL13" s="144">
        <v>1</v>
      </c>
      <c r="BM13" s="1"/>
      <c r="BN13" s="1"/>
      <c r="BO13" s="3"/>
      <c r="BP13" s="1"/>
      <c r="BQ13" s="208" t="s">
        <v>662</v>
      </c>
      <c r="BR13" s="146" t="s">
        <v>662</v>
      </c>
      <c r="BS13" s="118" t="s">
        <v>662</v>
      </c>
      <c r="BT13" s="118" t="s">
        <v>335</v>
      </c>
      <c r="BU13" s="118"/>
      <c r="BV13" s="118"/>
      <c r="BW13" s="118"/>
      <c r="BX13" s="118"/>
      <c r="BY13" s="118"/>
      <c r="BZ13" s="118" t="s">
        <v>663</v>
      </c>
      <c r="CA13" s="118" t="s">
        <v>335</v>
      </c>
      <c r="CB13" s="118"/>
      <c r="CC13" s="110"/>
      <c r="CD13" s="186"/>
      <c r="CE13" s="127"/>
      <c r="CF13" s="128"/>
      <c r="CG13" s="122"/>
      <c r="CH13" s="129"/>
      <c r="CI13" s="187"/>
      <c r="CJ13" s="125"/>
      <c r="CL13" s="175">
        <v>13</v>
      </c>
      <c r="CM13" s="188"/>
      <c r="CN13" s="189"/>
      <c r="CO13" s="190"/>
      <c r="CP13" s="191"/>
      <c r="CQ13" s="192"/>
      <c r="CR13" s="193"/>
      <c r="CS13" s="194"/>
      <c r="CT13" s="195"/>
      <c r="CU13" s="196"/>
      <c r="DF13" s="110"/>
      <c r="DH13" t="s">
        <v>664</v>
      </c>
      <c r="DI13" t="s">
        <v>665</v>
      </c>
      <c r="DJ13" s="131" t="s">
        <v>666</v>
      </c>
      <c r="DK13" t="s">
        <v>667</v>
      </c>
      <c r="DL13" t="s">
        <v>552</v>
      </c>
      <c r="DM13" t="s">
        <v>553</v>
      </c>
      <c r="DN13" t="s">
        <v>668</v>
      </c>
      <c r="DO13" t="s">
        <v>669</v>
      </c>
      <c r="DP13" t="s">
        <v>670</v>
      </c>
      <c r="DR13" t="s">
        <v>664</v>
      </c>
      <c r="DS13" t="s">
        <v>665</v>
      </c>
      <c r="DT13" s="131" t="s">
        <v>666</v>
      </c>
      <c r="DU13" t="s">
        <v>667</v>
      </c>
      <c r="DV13" t="s">
        <v>552</v>
      </c>
      <c r="DW13" t="s">
        <v>553</v>
      </c>
      <c r="DX13" t="s">
        <v>668</v>
      </c>
      <c r="DY13" t="s">
        <v>669</v>
      </c>
      <c r="DZ13" t="s">
        <v>670</v>
      </c>
      <c r="EA13" s="110"/>
      <c r="EC13" s="147" t="s">
        <v>671</v>
      </c>
      <c r="ED13" s="5" t="s">
        <v>671</v>
      </c>
      <c r="EE13" s="5" t="s">
        <v>672</v>
      </c>
      <c r="EF13" s="5" t="s">
        <v>673</v>
      </c>
      <c r="EG13" s="5" t="s">
        <v>673</v>
      </c>
      <c r="EH13" s="5">
        <v>1</v>
      </c>
      <c r="EI13" s="110"/>
      <c r="EK13" s="147" t="s">
        <v>674</v>
      </c>
      <c r="EL13" s="5" t="s">
        <v>675</v>
      </c>
      <c r="EM13" s="5" t="s">
        <v>410</v>
      </c>
      <c r="EN13" s="5">
        <v>1</v>
      </c>
      <c r="EP13" s="110"/>
      <c r="FG13" s="197"/>
      <c r="FH13" s="197"/>
      <c r="FI13" s="133"/>
    </row>
    <row r="14" spans="1:166" ht="16.5" customHeight="1" x14ac:dyDescent="0.3">
      <c r="A14" s="134" t="s">
        <v>676</v>
      </c>
      <c r="B14" s="134" t="s">
        <v>352</v>
      </c>
      <c r="C14" s="204"/>
      <c r="D14" s="209">
        <v>2014</v>
      </c>
      <c r="E14" s="206">
        <v>3</v>
      </c>
      <c r="F14" s="105"/>
      <c r="G14" s="198"/>
      <c r="H14" s="134"/>
      <c r="I14" s="102"/>
      <c r="J14" s="132" t="s">
        <v>677</v>
      </c>
      <c r="L14" s="138" t="s">
        <v>678</v>
      </c>
      <c r="N14" s="138" t="s">
        <v>679</v>
      </c>
      <c r="O14" s="110"/>
      <c r="Q14" t="s">
        <v>613</v>
      </c>
      <c r="R14" t="s">
        <v>680</v>
      </c>
      <c r="S14" t="s">
        <v>681</v>
      </c>
      <c r="T14" t="s">
        <v>682</v>
      </c>
      <c r="U14" t="s">
        <v>683</v>
      </c>
      <c r="V14" t="s">
        <v>684</v>
      </c>
      <c r="W14" t="s">
        <v>685</v>
      </c>
      <c r="X14">
        <v>46001</v>
      </c>
      <c r="Y14" t="s">
        <v>686</v>
      </c>
      <c r="Z14" t="s">
        <v>687</v>
      </c>
      <c r="AA14">
        <v>1916</v>
      </c>
      <c r="AB14">
        <v>24509.47</v>
      </c>
      <c r="AC14">
        <v>46013</v>
      </c>
      <c r="AD14">
        <v>46001</v>
      </c>
      <c r="AL14" s="110"/>
      <c r="AM14" s="281" t="s">
        <v>183</v>
      </c>
      <c r="AN14" s="57" t="s">
        <v>2897</v>
      </c>
      <c r="AO14" s="57" t="b">
        <v>1</v>
      </c>
      <c r="AP14" s="57" t="b">
        <v>0</v>
      </c>
      <c r="AQ14" s="57">
        <v>4</v>
      </c>
      <c r="AR14" s="271"/>
      <c r="AS14" s="271"/>
      <c r="AT14" s="271"/>
      <c r="AU14" s="1"/>
      <c r="AV14" s="1"/>
      <c r="AW14" s="1"/>
      <c r="AX14" s="1"/>
      <c r="AY14" s="4"/>
      <c r="BA14" s="4"/>
      <c r="BB14" s="3" t="s">
        <v>688</v>
      </c>
      <c r="BC14" s="1"/>
      <c r="BD14" s="112" t="s">
        <v>689</v>
      </c>
      <c r="BE14" s="113" t="s">
        <v>690</v>
      </c>
      <c r="BF14" s="107">
        <v>2000</v>
      </c>
      <c r="BG14" s="107">
        <v>24000</v>
      </c>
      <c r="BH14" s="143">
        <v>44858</v>
      </c>
      <c r="BI14" s="107" t="s">
        <v>385</v>
      </c>
      <c r="BJ14" s="108" t="s">
        <v>691</v>
      </c>
      <c r="BK14" s="107" t="s">
        <v>692</v>
      </c>
      <c r="BL14" s="144">
        <v>1</v>
      </c>
      <c r="BM14" s="1"/>
      <c r="BN14" s="1"/>
      <c r="BO14" s="3"/>
      <c r="BP14" s="1"/>
      <c r="BQ14" s="118" t="s">
        <v>693</v>
      </c>
      <c r="BR14" s="146" t="s">
        <v>693</v>
      </c>
      <c r="BS14" s="118"/>
      <c r="BT14" s="118"/>
      <c r="BU14" s="118"/>
      <c r="BV14" s="118"/>
      <c r="BW14" s="118"/>
      <c r="BX14" s="118"/>
      <c r="BY14" s="118"/>
      <c r="BZ14" s="118" t="s">
        <v>694</v>
      </c>
      <c r="CA14" s="118" t="s">
        <v>335</v>
      </c>
      <c r="CB14" s="118"/>
      <c r="CC14" s="110"/>
      <c r="CD14" s="186"/>
      <c r="CE14" s="127"/>
      <c r="CF14" s="128"/>
      <c r="CG14" s="122"/>
      <c r="CH14" s="129"/>
      <c r="CI14" s="187"/>
      <c r="CJ14" s="125"/>
      <c r="CL14" s="175">
        <v>14</v>
      </c>
      <c r="CM14" s="188"/>
      <c r="CN14" s="189"/>
      <c r="CO14" s="190"/>
      <c r="CP14" s="191"/>
      <c r="CQ14" s="192"/>
      <c r="CR14" s="193"/>
      <c r="CS14" s="194"/>
      <c r="CT14" s="195"/>
      <c r="CU14" s="196"/>
      <c r="DF14" s="110"/>
      <c r="DH14" t="s">
        <v>695</v>
      </c>
      <c r="DI14" t="s">
        <v>696</v>
      </c>
      <c r="DJ14" s="131" t="s">
        <v>697</v>
      </c>
      <c r="DK14" t="s">
        <v>698</v>
      </c>
      <c r="DL14" t="s">
        <v>73</v>
      </c>
      <c r="DM14" t="s">
        <v>487</v>
      </c>
      <c r="DN14" t="s">
        <v>699</v>
      </c>
      <c r="DO14" t="s">
        <v>700</v>
      </c>
      <c r="DP14" t="s">
        <v>701</v>
      </c>
      <c r="DR14" t="s">
        <v>695</v>
      </c>
      <c r="DS14" t="s">
        <v>696</v>
      </c>
      <c r="DT14" s="131" t="s">
        <v>697</v>
      </c>
      <c r="DU14" t="s">
        <v>698</v>
      </c>
      <c r="DV14" t="s">
        <v>73</v>
      </c>
      <c r="DW14" t="s">
        <v>487</v>
      </c>
      <c r="DX14" t="s">
        <v>699</v>
      </c>
      <c r="DY14" t="s">
        <v>700</v>
      </c>
      <c r="DZ14" t="s">
        <v>701</v>
      </c>
      <c r="EA14" s="110"/>
      <c r="EC14" s="147" t="s">
        <v>702</v>
      </c>
      <c r="ED14" s="5" t="s">
        <v>703</v>
      </c>
      <c r="EE14" s="5" t="s">
        <v>704</v>
      </c>
      <c r="EF14" s="5" t="s">
        <v>705</v>
      </c>
      <c r="EG14" s="5" t="s">
        <v>706</v>
      </c>
      <c r="EH14" s="5">
        <v>1</v>
      </c>
      <c r="EI14" s="110"/>
      <c r="EK14" s="147" t="s">
        <v>707</v>
      </c>
      <c r="EL14" s="5" t="s">
        <v>708</v>
      </c>
      <c r="EM14" s="5" t="s">
        <v>410</v>
      </c>
      <c r="EN14" s="5">
        <v>1</v>
      </c>
      <c r="EP14" s="110"/>
      <c r="FI14" s="110"/>
    </row>
    <row r="15" spans="1:166" ht="16.5" customHeight="1" x14ac:dyDescent="0.3">
      <c r="A15" s="134" t="s">
        <v>709</v>
      </c>
      <c r="B15" s="134" t="s">
        <v>352</v>
      </c>
      <c r="C15" s="204"/>
      <c r="D15" s="209">
        <v>2172</v>
      </c>
      <c r="E15" s="206">
        <v>4</v>
      </c>
      <c r="F15" s="105"/>
      <c r="G15" s="198"/>
      <c r="H15" s="134"/>
      <c r="I15" s="102"/>
      <c r="L15" s="138" t="s">
        <v>710</v>
      </c>
      <c r="N15" s="138" t="s">
        <v>711</v>
      </c>
      <c r="O15" s="110"/>
      <c r="Q15" t="s">
        <v>613</v>
      </c>
      <c r="R15" t="s">
        <v>712</v>
      </c>
      <c r="S15" t="s">
        <v>713</v>
      </c>
      <c r="T15" t="s">
        <v>714</v>
      </c>
      <c r="U15" t="s">
        <v>683</v>
      </c>
      <c r="V15" t="s">
        <v>684</v>
      </c>
      <c r="W15" t="s">
        <v>685</v>
      </c>
      <c r="X15">
        <v>46001</v>
      </c>
      <c r="Y15" t="s">
        <v>715</v>
      </c>
      <c r="Z15" t="s">
        <v>687</v>
      </c>
      <c r="AA15">
        <v>1916</v>
      </c>
      <c r="AB15">
        <v>24509.47</v>
      </c>
      <c r="AC15">
        <v>46013</v>
      </c>
      <c r="AD15">
        <v>46001</v>
      </c>
      <c r="AL15" s="110"/>
      <c r="AM15" s="281" t="s">
        <v>193</v>
      </c>
      <c r="AN15" s="57" t="s">
        <v>2898</v>
      </c>
      <c r="AO15" s="57" t="b">
        <v>1</v>
      </c>
      <c r="AP15" s="57" t="b">
        <v>1</v>
      </c>
      <c r="AQ15" s="57">
        <v>3</v>
      </c>
      <c r="AR15" s="271"/>
      <c r="AS15" s="271"/>
      <c r="AT15" s="271"/>
      <c r="AU15" s="1"/>
      <c r="AV15" s="1"/>
      <c r="AW15" s="1"/>
      <c r="AX15" s="1"/>
      <c r="AY15" s="4"/>
      <c r="BA15" s="4"/>
      <c r="BB15" s="3" t="s">
        <v>716</v>
      </c>
      <c r="BC15" s="1"/>
      <c r="BD15" s="112" t="s">
        <v>453</v>
      </c>
      <c r="BE15" s="113" t="s">
        <v>717</v>
      </c>
      <c r="BF15" s="107">
        <v>1960</v>
      </c>
      <c r="BG15" s="107">
        <v>23520</v>
      </c>
      <c r="BH15" s="143">
        <v>44859</v>
      </c>
      <c r="BI15" s="107" t="s">
        <v>385</v>
      </c>
      <c r="BJ15" s="108" t="s">
        <v>718</v>
      </c>
      <c r="BK15" s="107" t="s">
        <v>456</v>
      </c>
      <c r="BL15" s="144">
        <v>1</v>
      </c>
      <c r="BM15" s="1"/>
      <c r="BN15" s="1"/>
      <c r="BO15" s="3"/>
      <c r="BP15" s="1"/>
      <c r="BQ15" s="208" t="s">
        <v>719</v>
      </c>
      <c r="BR15" s="146" t="s">
        <v>719</v>
      </c>
      <c r="BS15" s="118" t="s">
        <v>719</v>
      </c>
      <c r="BT15" s="118" t="s">
        <v>335</v>
      </c>
      <c r="BU15" s="118"/>
      <c r="BV15" s="118"/>
      <c r="BW15" s="118"/>
      <c r="BX15" s="118"/>
      <c r="BY15" s="118"/>
      <c r="BZ15" s="118" t="s">
        <v>693</v>
      </c>
      <c r="CA15" s="118" t="s">
        <v>335</v>
      </c>
      <c r="CB15" s="118"/>
      <c r="CC15" s="110"/>
      <c r="CD15" s="186"/>
      <c r="CE15" s="127"/>
      <c r="CF15" s="128"/>
      <c r="CG15" s="122"/>
      <c r="CH15" s="129"/>
      <c r="CI15" s="187"/>
      <c r="CJ15" s="125"/>
      <c r="CL15" s="175">
        <v>15</v>
      </c>
      <c r="CM15" s="188"/>
      <c r="CN15" s="189"/>
      <c r="CO15" s="190"/>
      <c r="CP15" s="191"/>
      <c r="CQ15" s="192"/>
      <c r="CR15" s="193"/>
      <c r="CS15" s="194"/>
      <c r="CT15" s="195"/>
      <c r="CU15" s="196"/>
      <c r="DF15" s="110"/>
      <c r="DH15" t="s">
        <v>720</v>
      </c>
      <c r="DI15" t="s">
        <v>721</v>
      </c>
      <c r="DJ15" s="131" t="s">
        <v>722</v>
      </c>
      <c r="DK15" t="s">
        <v>723</v>
      </c>
      <c r="DL15" t="s">
        <v>724</v>
      </c>
      <c r="DM15" t="s">
        <v>725</v>
      </c>
      <c r="DN15" t="s">
        <v>726</v>
      </c>
      <c r="DO15" t="s">
        <v>727</v>
      </c>
      <c r="DP15" t="s">
        <v>728</v>
      </c>
      <c r="DR15" t="s">
        <v>720</v>
      </c>
      <c r="DS15" t="s">
        <v>721</v>
      </c>
      <c r="DT15" s="131" t="s">
        <v>722</v>
      </c>
      <c r="DU15" t="s">
        <v>723</v>
      </c>
      <c r="DV15" t="s">
        <v>724</v>
      </c>
      <c r="DW15" t="s">
        <v>725</v>
      </c>
      <c r="DX15" t="s">
        <v>726</v>
      </c>
      <c r="DY15" t="s">
        <v>727</v>
      </c>
      <c r="DZ15" t="s">
        <v>728</v>
      </c>
      <c r="EA15" s="110"/>
      <c r="EC15" s="147" t="s">
        <v>729</v>
      </c>
      <c r="ED15" s="5" t="s">
        <v>730</v>
      </c>
      <c r="EE15" s="5" t="s">
        <v>704</v>
      </c>
      <c r="EF15" s="5" t="s">
        <v>705</v>
      </c>
      <c r="EG15" s="5" t="s">
        <v>706</v>
      </c>
      <c r="EH15" s="5">
        <v>1</v>
      </c>
      <c r="EI15" s="110"/>
      <c r="EK15" s="147" t="s">
        <v>731</v>
      </c>
      <c r="EL15" s="5" t="s">
        <v>732</v>
      </c>
      <c r="EM15" s="5" t="s">
        <v>410</v>
      </c>
      <c r="EN15" s="5">
        <v>1</v>
      </c>
      <c r="EP15" s="110"/>
      <c r="FG15" s="197"/>
      <c r="FH15" s="197"/>
      <c r="FI15" s="133"/>
    </row>
    <row r="16" spans="1:166" ht="16.5" customHeight="1" x14ac:dyDescent="0.3">
      <c r="A16" s="134" t="s">
        <v>733</v>
      </c>
      <c r="B16" s="134" t="s">
        <v>734</v>
      </c>
      <c r="C16" s="204"/>
      <c r="D16" s="209">
        <v>3125</v>
      </c>
      <c r="E16" s="206">
        <v>5</v>
      </c>
      <c r="F16" s="105"/>
      <c r="G16" s="198"/>
      <c r="H16" s="134"/>
      <c r="I16" s="102"/>
      <c r="L16" s="138" t="s">
        <v>735</v>
      </c>
      <c r="N16" s="138" t="s">
        <v>736</v>
      </c>
      <c r="O16" s="110"/>
      <c r="Q16" t="s">
        <v>613</v>
      </c>
      <c r="R16" t="s">
        <v>737</v>
      </c>
      <c r="S16" t="s">
        <v>738</v>
      </c>
      <c r="T16" t="s">
        <v>739</v>
      </c>
      <c r="U16" t="s">
        <v>683</v>
      </c>
      <c r="V16" t="s">
        <v>684</v>
      </c>
      <c r="W16" t="s">
        <v>685</v>
      </c>
      <c r="X16">
        <v>46001</v>
      </c>
      <c r="Y16" t="s">
        <v>740</v>
      </c>
      <c r="Z16" t="s">
        <v>687</v>
      </c>
      <c r="AA16">
        <v>1916</v>
      </c>
      <c r="AB16">
        <v>24509.47</v>
      </c>
      <c r="AC16">
        <v>46013</v>
      </c>
      <c r="AD16">
        <v>46001</v>
      </c>
      <c r="AL16" s="110"/>
      <c r="AM16" s="281" t="s">
        <v>194</v>
      </c>
      <c r="AN16" s="57" t="s">
        <v>2898</v>
      </c>
      <c r="AO16" s="57" t="b">
        <v>1</v>
      </c>
      <c r="AP16" s="57" t="b">
        <v>0</v>
      </c>
      <c r="AQ16" s="57">
        <v>3</v>
      </c>
      <c r="AR16" s="271"/>
      <c r="AS16" s="271"/>
      <c r="AT16" s="271"/>
      <c r="AU16" s="1"/>
      <c r="AV16" s="1"/>
      <c r="AW16" s="1"/>
      <c r="AX16" s="1"/>
      <c r="AY16" s="4"/>
      <c r="BA16" s="4"/>
      <c r="BB16" s="3" t="s">
        <v>741</v>
      </c>
      <c r="BC16" s="1"/>
      <c r="BD16" s="112" t="s">
        <v>423</v>
      </c>
      <c r="BE16" s="113" t="s">
        <v>742</v>
      </c>
      <c r="BF16" s="107">
        <v>1958</v>
      </c>
      <c r="BG16" s="107">
        <v>23496</v>
      </c>
      <c r="BH16" s="143">
        <v>44866</v>
      </c>
      <c r="BI16" s="107" t="s">
        <v>385</v>
      </c>
      <c r="BJ16" s="108" t="s">
        <v>743</v>
      </c>
      <c r="BK16" s="107" t="s">
        <v>456</v>
      </c>
      <c r="BL16" s="144">
        <v>1</v>
      </c>
      <c r="BM16" s="1"/>
      <c r="BN16" s="1"/>
      <c r="BO16" s="3"/>
      <c r="BP16" s="1"/>
      <c r="BQ16" s="208" t="s">
        <v>744</v>
      </c>
      <c r="BR16" s="146" t="s">
        <v>744</v>
      </c>
      <c r="BS16" s="118" t="s">
        <v>744</v>
      </c>
      <c r="BT16" s="118" t="s">
        <v>335</v>
      </c>
      <c r="BU16" s="118"/>
      <c r="BV16" s="118"/>
      <c r="BW16" s="118"/>
      <c r="BX16" s="118"/>
      <c r="BY16" s="118"/>
      <c r="BZ16" s="118" t="s">
        <v>745</v>
      </c>
      <c r="CA16" s="118" t="s">
        <v>335</v>
      </c>
      <c r="CB16" s="118"/>
      <c r="CC16" s="110"/>
      <c r="CD16" s="186"/>
      <c r="CE16" s="127"/>
      <c r="CF16" s="128"/>
      <c r="CG16" s="122"/>
      <c r="CH16" s="129"/>
      <c r="CI16" s="187"/>
      <c r="CJ16" s="125"/>
      <c r="CL16" s="175">
        <v>16</v>
      </c>
      <c r="CM16" s="188"/>
      <c r="CN16" s="189"/>
      <c r="CO16" s="190"/>
      <c r="CP16" s="191"/>
      <c r="CQ16" s="192"/>
      <c r="CR16" s="193"/>
      <c r="CS16" s="194"/>
      <c r="CT16" s="195"/>
      <c r="CU16" s="196"/>
      <c r="DF16" s="110"/>
      <c r="DH16" t="s">
        <v>746</v>
      </c>
      <c r="DI16" t="s">
        <v>747</v>
      </c>
      <c r="DJ16" s="131" t="s">
        <v>748</v>
      </c>
      <c r="DK16" t="s">
        <v>749</v>
      </c>
      <c r="DL16" t="s">
        <v>76</v>
      </c>
      <c r="DM16" t="s">
        <v>506</v>
      </c>
      <c r="DN16" t="s">
        <v>750</v>
      </c>
      <c r="DO16" t="s">
        <v>78</v>
      </c>
      <c r="DP16" t="s">
        <v>751</v>
      </c>
      <c r="DR16" t="s">
        <v>746</v>
      </c>
      <c r="DS16" t="s">
        <v>747</v>
      </c>
      <c r="DT16" s="131" t="s">
        <v>748</v>
      </c>
      <c r="DU16" t="s">
        <v>749</v>
      </c>
      <c r="DV16" t="s">
        <v>76</v>
      </c>
      <c r="DW16" t="s">
        <v>506</v>
      </c>
      <c r="DX16" t="s">
        <v>750</v>
      </c>
      <c r="DY16" t="s">
        <v>78</v>
      </c>
      <c r="DZ16" t="s">
        <v>751</v>
      </c>
      <c r="EA16" s="110"/>
      <c r="EC16" s="147" t="s">
        <v>752</v>
      </c>
      <c r="ED16" s="5" t="s">
        <v>753</v>
      </c>
      <c r="EE16" s="5" t="s">
        <v>754</v>
      </c>
      <c r="EF16" s="5" t="s">
        <v>412</v>
      </c>
      <c r="EG16" s="5" t="s">
        <v>755</v>
      </c>
      <c r="EH16" s="5">
        <v>1</v>
      </c>
      <c r="EI16" s="110"/>
      <c r="EK16" s="147" t="s">
        <v>756</v>
      </c>
      <c r="EL16" s="5" t="s">
        <v>756</v>
      </c>
      <c r="EM16" s="5" t="s">
        <v>410</v>
      </c>
      <c r="EN16" s="5">
        <v>1</v>
      </c>
      <c r="EP16" s="110"/>
      <c r="FI16" s="110"/>
    </row>
    <row r="17" spans="1:166" ht="16.5" customHeight="1" x14ac:dyDescent="0.3">
      <c r="A17" s="134" t="s">
        <v>757</v>
      </c>
      <c r="B17" s="134" t="s">
        <v>758</v>
      </c>
      <c r="C17" s="204"/>
      <c r="D17" s="209">
        <v>2485</v>
      </c>
      <c r="E17" s="206">
        <v>6</v>
      </c>
      <c r="F17" s="105"/>
      <c r="G17" s="198"/>
      <c r="H17" s="134"/>
      <c r="I17" s="102"/>
      <c r="L17" s="138" t="s">
        <v>759</v>
      </c>
      <c r="N17" s="138" t="s">
        <v>760</v>
      </c>
      <c r="O17" s="110"/>
      <c r="Q17" t="s">
        <v>613</v>
      </c>
      <c r="R17" t="s">
        <v>761</v>
      </c>
      <c r="S17" t="s">
        <v>762</v>
      </c>
      <c r="T17" t="s">
        <v>763</v>
      </c>
      <c r="U17" t="s">
        <v>683</v>
      </c>
      <c r="V17" t="s">
        <v>684</v>
      </c>
      <c r="W17" t="s">
        <v>685</v>
      </c>
      <c r="X17">
        <v>46001</v>
      </c>
      <c r="Y17" t="s">
        <v>764</v>
      </c>
      <c r="Z17" t="s">
        <v>765</v>
      </c>
      <c r="AA17">
        <v>1916</v>
      </c>
      <c r="AB17">
        <v>24509.47</v>
      </c>
      <c r="AC17">
        <v>46013</v>
      </c>
      <c r="AD17">
        <v>46001</v>
      </c>
      <c r="AL17" s="110"/>
      <c r="AM17" s="281" t="s">
        <v>196</v>
      </c>
      <c r="AN17" s="57" t="s">
        <v>2898</v>
      </c>
      <c r="AO17" s="57" t="b">
        <v>0</v>
      </c>
      <c r="AP17" s="57" t="b">
        <v>0</v>
      </c>
      <c r="AQ17" s="57">
        <v>3</v>
      </c>
      <c r="AR17" s="271"/>
      <c r="AS17" s="271"/>
      <c r="AT17" s="271"/>
      <c r="AU17" s="1"/>
      <c r="AV17" s="1"/>
      <c r="AW17" s="1"/>
      <c r="AX17" s="1"/>
      <c r="AY17" s="4"/>
      <c r="BA17" s="4"/>
      <c r="BB17" s="3" t="s">
        <v>766</v>
      </c>
      <c r="BC17" s="1"/>
      <c r="BD17" s="112" t="s">
        <v>500</v>
      </c>
      <c r="BE17" s="113" t="s">
        <v>767</v>
      </c>
      <c r="BF17" s="107">
        <v>2300</v>
      </c>
      <c r="BG17" s="107">
        <v>23000</v>
      </c>
      <c r="BH17" s="143">
        <v>44872</v>
      </c>
      <c r="BI17" s="107" t="s">
        <v>385</v>
      </c>
      <c r="BJ17" s="108" t="s">
        <v>502</v>
      </c>
      <c r="BK17" s="107" t="s">
        <v>524</v>
      </c>
      <c r="BL17" s="144">
        <v>1</v>
      </c>
      <c r="BM17" s="1"/>
      <c r="BN17" s="1"/>
      <c r="BO17" s="3"/>
      <c r="BP17" s="1"/>
      <c r="BQ17" s="208" t="s">
        <v>768</v>
      </c>
      <c r="BR17" s="146" t="s">
        <v>745</v>
      </c>
      <c r="BS17" s="118"/>
      <c r="BT17" s="118"/>
      <c r="BU17" s="118"/>
      <c r="BV17" s="118"/>
      <c r="BW17" s="118"/>
      <c r="BX17" s="118"/>
      <c r="BY17" s="118"/>
      <c r="BZ17" s="118"/>
      <c r="CA17" s="118"/>
      <c r="CB17" s="118"/>
      <c r="CC17" s="110"/>
      <c r="CD17" s="186"/>
      <c r="CE17" s="127"/>
      <c r="CF17" s="128"/>
      <c r="CG17" s="122"/>
      <c r="CH17" s="129"/>
      <c r="CI17" s="187"/>
      <c r="CJ17" s="125"/>
      <c r="CL17" s="175">
        <v>17</v>
      </c>
      <c r="CM17" s="188"/>
      <c r="CN17" s="189"/>
      <c r="CO17" s="190"/>
      <c r="CP17" s="191"/>
      <c r="CQ17" s="192"/>
      <c r="CR17" s="193"/>
      <c r="CS17" s="194"/>
      <c r="CT17" s="195"/>
      <c r="CU17" s="196"/>
      <c r="DF17" s="110"/>
      <c r="DH17" t="s">
        <v>769</v>
      </c>
      <c r="DI17" t="s">
        <v>770</v>
      </c>
      <c r="DJ17" s="131" t="s">
        <v>771</v>
      </c>
      <c r="DK17" t="s">
        <v>772</v>
      </c>
      <c r="DL17" t="s">
        <v>773</v>
      </c>
      <c r="DM17" t="s">
        <v>774</v>
      </c>
      <c r="DN17" t="s">
        <v>775</v>
      </c>
      <c r="DO17" t="s">
        <v>80</v>
      </c>
      <c r="DP17" t="s">
        <v>776</v>
      </c>
      <c r="DR17" t="s">
        <v>769</v>
      </c>
      <c r="DS17" t="s">
        <v>770</v>
      </c>
      <c r="DT17" s="131" t="s">
        <v>771</v>
      </c>
      <c r="DU17" t="s">
        <v>772</v>
      </c>
      <c r="DV17" t="s">
        <v>773</v>
      </c>
      <c r="DW17" t="s">
        <v>774</v>
      </c>
      <c r="DX17" t="s">
        <v>775</v>
      </c>
      <c r="DY17" t="s">
        <v>80</v>
      </c>
      <c r="DZ17" t="s">
        <v>776</v>
      </c>
      <c r="EA17" s="110"/>
      <c r="EC17" s="147" t="s">
        <v>777</v>
      </c>
      <c r="ED17" s="5" t="s">
        <v>778</v>
      </c>
      <c r="EE17" s="5" t="s">
        <v>754</v>
      </c>
      <c r="EF17" s="5" t="s">
        <v>412</v>
      </c>
      <c r="EG17" s="5" t="s">
        <v>755</v>
      </c>
      <c r="EH17" s="5">
        <v>1</v>
      </c>
      <c r="EI17" s="110"/>
      <c r="EK17" s="147" t="s">
        <v>779</v>
      </c>
      <c r="EL17" s="5" t="s">
        <v>779</v>
      </c>
      <c r="EM17" s="5" t="s">
        <v>410</v>
      </c>
      <c r="EN17" s="5">
        <v>1</v>
      </c>
      <c r="EP17" s="110"/>
      <c r="FI17" s="110"/>
      <c r="FJ17" s="197"/>
    </row>
    <row r="18" spans="1:166" ht="16.5" customHeight="1" x14ac:dyDescent="0.3">
      <c r="A18" s="134" t="s">
        <v>780</v>
      </c>
      <c r="B18" s="134" t="s">
        <v>781</v>
      </c>
      <c r="C18" s="204"/>
      <c r="D18" s="209"/>
      <c r="E18" s="206">
        <v>7</v>
      </c>
      <c r="F18" s="105"/>
      <c r="G18" s="198"/>
      <c r="H18" s="134"/>
      <c r="I18" s="102"/>
      <c r="L18" s="138" t="s">
        <v>782</v>
      </c>
      <c r="N18" s="138" t="s">
        <v>783</v>
      </c>
      <c r="O18" s="110"/>
      <c r="Q18" t="s">
        <v>613</v>
      </c>
      <c r="R18" t="s">
        <v>784</v>
      </c>
      <c r="S18" t="s">
        <v>785</v>
      </c>
      <c r="T18" t="s">
        <v>786</v>
      </c>
      <c r="U18" t="s">
        <v>787</v>
      </c>
      <c r="V18" t="s">
        <v>684</v>
      </c>
      <c r="W18" t="s">
        <v>685</v>
      </c>
      <c r="X18">
        <v>46001</v>
      </c>
      <c r="Y18" t="s">
        <v>788</v>
      </c>
      <c r="Z18" t="s">
        <v>789</v>
      </c>
      <c r="AA18">
        <v>1939</v>
      </c>
      <c r="AB18">
        <v>24249.17</v>
      </c>
      <c r="AC18">
        <v>46013</v>
      </c>
      <c r="AD18">
        <v>46001</v>
      </c>
      <c r="AL18" s="110"/>
      <c r="AM18" s="280" t="s">
        <v>202</v>
      </c>
      <c r="AN18" s="57" t="s">
        <v>2897</v>
      </c>
      <c r="AO18" s="57" t="b">
        <v>1</v>
      </c>
      <c r="AP18" s="57" t="b">
        <v>1</v>
      </c>
      <c r="AQ18" s="57">
        <v>6</v>
      </c>
      <c r="AR18" s="271"/>
      <c r="AS18" s="271"/>
      <c r="AT18" s="271"/>
      <c r="AU18" s="1"/>
      <c r="AV18" s="1"/>
      <c r="AW18" s="1"/>
      <c r="AX18" s="1"/>
      <c r="AY18" s="4"/>
      <c r="BA18" s="4"/>
      <c r="BB18" s="3" t="s">
        <v>790</v>
      </c>
      <c r="BC18" s="1"/>
      <c r="BD18" s="112" t="s">
        <v>791</v>
      </c>
      <c r="BE18" s="113" t="s">
        <v>792</v>
      </c>
      <c r="BF18" s="107">
        <v>1893</v>
      </c>
      <c r="BG18" s="107">
        <v>22716</v>
      </c>
      <c r="BH18" s="143">
        <v>44874</v>
      </c>
      <c r="BI18" s="107" t="s">
        <v>385</v>
      </c>
      <c r="BJ18" s="108" t="s">
        <v>793</v>
      </c>
      <c r="BK18" s="107" t="s">
        <v>456</v>
      </c>
      <c r="BL18" s="144">
        <v>1</v>
      </c>
      <c r="BM18" s="1"/>
      <c r="BN18" s="1"/>
      <c r="BO18" s="3"/>
      <c r="BP18" s="1"/>
      <c r="BQ18" s="118" t="s">
        <v>745</v>
      </c>
      <c r="BR18" s="118" t="s">
        <v>794</v>
      </c>
      <c r="BS18" s="118"/>
      <c r="BT18" s="118"/>
      <c r="BU18" s="118"/>
      <c r="BV18" s="118"/>
      <c r="BW18" s="118"/>
      <c r="BX18" s="118"/>
      <c r="BY18" s="118"/>
      <c r="BZ18" s="118"/>
      <c r="CA18" s="118"/>
      <c r="CB18" s="118"/>
      <c r="CC18" s="110"/>
      <c r="CD18" s="186"/>
      <c r="CE18" s="127"/>
      <c r="CF18" s="128"/>
      <c r="CG18" s="122"/>
      <c r="CH18" s="129"/>
      <c r="CI18" s="187"/>
      <c r="CJ18" s="125"/>
      <c r="CL18" s="175">
        <v>18</v>
      </c>
      <c r="DF18" s="110"/>
      <c r="DH18" t="s">
        <v>795</v>
      </c>
      <c r="DI18" t="s">
        <v>796</v>
      </c>
      <c r="DJ18" s="131" t="s">
        <v>797</v>
      </c>
      <c r="DK18" t="s">
        <v>798</v>
      </c>
      <c r="DL18" t="s">
        <v>73</v>
      </c>
      <c r="DM18" t="s">
        <v>487</v>
      </c>
      <c r="DN18" t="s">
        <v>799</v>
      </c>
      <c r="DO18" t="s">
        <v>800</v>
      </c>
      <c r="DP18" s="203" t="s">
        <v>801</v>
      </c>
      <c r="DR18" t="s">
        <v>795</v>
      </c>
      <c r="DS18" t="s">
        <v>796</v>
      </c>
      <c r="DT18" s="131" t="s">
        <v>797</v>
      </c>
      <c r="DU18" t="s">
        <v>798</v>
      </c>
      <c r="DV18" t="s">
        <v>73</v>
      </c>
      <c r="DW18" t="s">
        <v>487</v>
      </c>
      <c r="DX18" t="s">
        <v>799</v>
      </c>
      <c r="DY18" t="s">
        <v>800</v>
      </c>
      <c r="DZ18" s="203" t="s">
        <v>801</v>
      </c>
      <c r="EA18" s="110"/>
      <c r="EC18" s="147" t="s">
        <v>802</v>
      </c>
      <c r="ED18" s="5" t="s">
        <v>803</v>
      </c>
      <c r="EE18" s="5" t="s">
        <v>754</v>
      </c>
      <c r="EF18" s="5" t="s">
        <v>412</v>
      </c>
      <c r="EG18" s="5" t="s">
        <v>755</v>
      </c>
      <c r="EH18" s="5">
        <v>1</v>
      </c>
      <c r="EI18" s="110"/>
      <c r="EK18" s="147" t="s">
        <v>804</v>
      </c>
      <c r="EL18" s="5" t="s">
        <v>756</v>
      </c>
      <c r="EM18" s="5" t="s">
        <v>410</v>
      </c>
      <c r="EN18" s="5">
        <v>1</v>
      </c>
      <c r="EP18" s="110"/>
      <c r="FI18" s="110"/>
    </row>
    <row r="19" spans="1:166" ht="16.5" customHeight="1" x14ac:dyDescent="0.3">
      <c r="A19" s="134" t="s">
        <v>805</v>
      </c>
      <c r="B19" s="134" t="s">
        <v>706</v>
      </c>
      <c r="C19" s="204"/>
      <c r="D19" s="209"/>
      <c r="E19" s="206">
        <v>8</v>
      </c>
      <c r="F19" s="105"/>
      <c r="G19" s="198"/>
      <c r="H19" s="134"/>
      <c r="I19" s="102"/>
      <c r="L19" s="138" t="s">
        <v>806</v>
      </c>
      <c r="N19" s="138" t="s">
        <v>807</v>
      </c>
      <c r="O19" s="110"/>
      <c r="Q19" t="s">
        <v>613</v>
      </c>
      <c r="R19" t="s">
        <v>808</v>
      </c>
      <c r="S19" t="s">
        <v>809</v>
      </c>
      <c r="T19" t="s">
        <v>810</v>
      </c>
      <c r="U19" t="s">
        <v>787</v>
      </c>
      <c r="V19" t="s">
        <v>684</v>
      </c>
      <c r="W19" t="s">
        <v>685</v>
      </c>
      <c r="X19">
        <v>46001</v>
      </c>
      <c r="Y19" t="s">
        <v>811</v>
      </c>
      <c r="Z19" t="s">
        <v>812</v>
      </c>
      <c r="AA19">
        <v>1900</v>
      </c>
      <c r="AB19">
        <v>23855.08</v>
      </c>
      <c r="AC19">
        <v>46013</v>
      </c>
      <c r="AD19">
        <v>46001</v>
      </c>
      <c r="AL19" s="110"/>
      <c r="AM19" s="280" t="s">
        <v>201</v>
      </c>
      <c r="AN19" s="57" t="s">
        <v>2897</v>
      </c>
      <c r="AO19" s="57" t="b">
        <v>1</v>
      </c>
      <c r="AP19" s="57" t="b">
        <v>0</v>
      </c>
      <c r="AQ19" s="57">
        <v>6</v>
      </c>
      <c r="AR19" s="271"/>
      <c r="AS19" s="271"/>
      <c r="AT19" s="271"/>
      <c r="AU19" s="1"/>
      <c r="AV19" s="1"/>
      <c r="AW19" s="1"/>
      <c r="AX19" s="1"/>
      <c r="AY19" s="4"/>
      <c r="BA19" s="4"/>
      <c r="BB19" s="3">
        <v>19</v>
      </c>
      <c r="BC19" s="1"/>
      <c r="BD19" s="112" t="s">
        <v>632</v>
      </c>
      <c r="BE19" s="113" t="s">
        <v>813</v>
      </c>
      <c r="BF19" s="107">
        <v>1980</v>
      </c>
      <c r="BG19" s="107">
        <v>23760</v>
      </c>
      <c r="BH19" s="143">
        <v>44874</v>
      </c>
      <c r="BI19" s="107" t="s">
        <v>385</v>
      </c>
      <c r="BJ19" s="108" t="s">
        <v>814</v>
      </c>
      <c r="BK19" s="107" t="s">
        <v>456</v>
      </c>
      <c r="BL19" s="144">
        <v>1</v>
      </c>
      <c r="BM19" s="1"/>
      <c r="BN19" s="1"/>
      <c r="BO19" s="3"/>
      <c r="BP19" s="1"/>
      <c r="BQ19" s="118" t="s">
        <v>815</v>
      </c>
      <c r="BR19" s="146" t="s">
        <v>816</v>
      </c>
      <c r="BS19" s="118" t="s">
        <v>816</v>
      </c>
      <c r="BT19" s="118" t="s">
        <v>335</v>
      </c>
      <c r="BU19" s="118"/>
      <c r="BV19" s="118"/>
      <c r="BW19" s="118"/>
      <c r="BX19" s="118" t="s">
        <v>602</v>
      </c>
      <c r="BY19" s="118" t="s">
        <v>335</v>
      </c>
      <c r="BZ19" s="118"/>
      <c r="CA19" s="118"/>
      <c r="CB19" s="118"/>
      <c r="CC19" s="110"/>
      <c r="CD19" s="186"/>
      <c r="CE19" s="127"/>
      <c r="CF19" s="122"/>
      <c r="CG19" s="122"/>
      <c r="CH19" s="124"/>
      <c r="CI19" s="210"/>
      <c r="CJ19" s="125"/>
      <c r="CL19" s="175">
        <v>19</v>
      </c>
      <c r="DF19" s="110"/>
      <c r="DH19" t="s">
        <v>817</v>
      </c>
      <c r="DI19" t="s">
        <v>818</v>
      </c>
      <c r="DJ19" s="131" t="s">
        <v>819</v>
      </c>
      <c r="DK19" t="s">
        <v>820</v>
      </c>
      <c r="DL19" t="s">
        <v>724</v>
      </c>
      <c r="DM19" t="s">
        <v>725</v>
      </c>
      <c r="DN19" t="s">
        <v>821</v>
      </c>
      <c r="DO19" t="s">
        <v>822</v>
      </c>
      <c r="DP19" t="s">
        <v>823</v>
      </c>
      <c r="DR19" t="s">
        <v>817</v>
      </c>
      <c r="DS19" t="s">
        <v>818</v>
      </c>
      <c r="DT19" s="131" t="s">
        <v>819</v>
      </c>
      <c r="DU19" t="s">
        <v>820</v>
      </c>
      <c r="DV19" t="s">
        <v>724</v>
      </c>
      <c r="DW19" t="s">
        <v>725</v>
      </c>
      <c r="DX19" t="s">
        <v>821</v>
      </c>
      <c r="DY19" t="s">
        <v>822</v>
      </c>
      <c r="DZ19" t="s">
        <v>823</v>
      </c>
      <c r="EA19" s="110"/>
      <c r="EC19" s="147" t="s">
        <v>824</v>
      </c>
      <c r="ED19" s="5" t="s">
        <v>824</v>
      </c>
      <c r="EE19" s="5" t="s">
        <v>617</v>
      </c>
      <c r="EF19" s="5" t="s">
        <v>825</v>
      </c>
      <c r="EG19" s="5" t="s">
        <v>825</v>
      </c>
      <c r="EH19" s="5">
        <v>1</v>
      </c>
      <c r="EI19" s="110"/>
      <c r="EK19" s="147" t="s">
        <v>826</v>
      </c>
      <c r="EL19" s="5" t="s">
        <v>827</v>
      </c>
      <c r="EM19" s="5" t="s">
        <v>410</v>
      </c>
      <c r="EN19" s="5">
        <v>1</v>
      </c>
      <c r="EP19" s="110"/>
      <c r="FI19" s="110"/>
      <c r="FJ19" s="197"/>
    </row>
    <row r="20" spans="1:166" ht="16.5" customHeight="1" x14ac:dyDescent="0.3">
      <c r="A20" s="134" t="s">
        <v>828</v>
      </c>
      <c r="B20" s="134" t="s">
        <v>829</v>
      </c>
      <c r="C20" s="204"/>
      <c r="D20" s="209"/>
      <c r="E20" s="206">
        <v>9</v>
      </c>
      <c r="F20" s="105"/>
      <c r="G20" s="198"/>
      <c r="H20" s="134"/>
      <c r="I20" s="102"/>
      <c r="L20" s="138" t="s">
        <v>830</v>
      </c>
      <c r="N20" s="138" t="s">
        <v>831</v>
      </c>
      <c r="O20" s="110"/>
      <c r="Q20" t="s">
        <v>613</v>
      </c>
      <c r="R20" t="s">
        <v>832</v>
      </c>
      <c r="S20" t="s">
        <v>833</v>
      </c>
      <c r="T20" t="s">
        <v>834</v>
      </c>
      <c r="U20" t="s">
        <v>835</v>
      </c>
      <c r="V20" t="s">
        <v>836</v>
      </c>
      <c r="W20" t="s">
        <v>837</v>
      </c>
      <c r="X20">
        <v>46002</v>
      </c>
      <c r="Y20" t="s">
        <v>838</v>
      </c>
      <c r="Z20" t="s">
        <v>839</v>
      </c>
      <c r="AA20">
        <v>1530</v>
      </c>
      <c r="AB20">
        <v>19000</v>
      </c>
      <c r="AC20">
        <v>46013</v>
      </c>
      <c r="AD20">
        <v>46002</v>
      </c>
      <c r="AL20" s="110"/>
      <c r="AM20" s="280" t="s">
        <v>198</v>
      </c>
      <c r="AN20" s="57" t="s">
        <v>2898</v>
      </c>
      <c r="AO20" s="57" t="b">
        <v>1</v>
      </c>
      <c r="AP20" s="57" t="b">
        <v>1</v>
      </c>
      <c r="AQ20" s="57">
        <v>5</v>
      </c>
      <c r="AR20" s="271"/>
      <c r="AS20" s="271"/>
      <c r="AT20" s="271"/>
      <c r="AU20" s="1"/>
      <c r="AV20" s="1"/>
      <c r="AW20" s="1"/>
      <c r="AX20" s="1"/>
      <c r="AY20" s="4"/>
      <c r="BA20" s="4"/>
      <c r="BB20" s="3">
        <v>20</v>
      </c>
      <c r="BC20" s="1"/>
      <c r="BD20" s="112" t="s">
        <v>632</v>
      </c>
      <c r="BE20" s="113" t="s">
        <v>840</v>
      </c>
      <c r="BF20" s="107">
        <v>1980</v>
      </c>
      <c r="BG20" s="107">
        <v>23760</v>
      </c>
      <c r="BH20" s="143">
        <v>44874</v>
      </c>
      <c r="BI20" s="107" t="s">
        <v>385</v>
      </c>
      <c r="BJ20" s="108" t="s">
        <v>841</v>
      </c>
      <c r="BK20" s="107" t="s">
        <v>456</v>
      </c>
      <c r="BL20" s="144">
        <v>1</v>
      </c>
      <c r="BM20" s="1"/>
      <c r="BN20" s="1"/>
      <c r="BO20" s="3"/>
      <c r="BP20" s="1"/>
      <c r="BQ20" s="118" t="s">
        <v>842</v>
      </c>
      <c r="BR20" s="146" t="s">
        <v>603</v>
      </c>
      <c r="BS20" s="118"/>
      <c r="BT20" s="118"/>
      <c r="BU20" s="118" t="s">
        <v>603</v>
      </c>
      <c r="BV20" s="118" t="s">
        <v>335</v>
      </c>
      <c r="BW20" s="118"/>
      <c r="BX20" s="118" t="s">
        <v>635</v>
      </c>
      <c r="BY20" s="118" t="s">
        <v>335</v>
      </c>
      <c r="BZ20" s="118"/>
      <c r="CA20" s="118"/>
      <c r="CB20" s="118"/>
      <c r="CC20" s="110"/>
      <c r="CD20" s="186"/>
      <c r="CE20" s="127"/>
      <c r="CF20" s="128"/>
      <c r="CG20" s="122"/>
      <c r="CH20" s="129"/>
      <c r="CI20" s="187"/>
      <c r="CJ20" s="125"/>
      <c r="CL20" s="175">
        <v>20</v>
      </c>
      <c r="CM20" s="188"/>
      <c r="CN20" s="189"/>
      <c r="CO20" s="190"/>
      <c r="CP20" s="191"/>
      <c r="CQ20" s="192"/>
      <c r="CR20" s="193"/>
      <c r="CS20" s="194"/>
      <c r="CT20" s="195"/>
      <c r="CU20" s="196"/>
      <c r="DF20" s="110"/>
      <c r="DH20" t="s">
        <v>699</v>
      </c>
      <c r="DI20" t="s">
        <v>530</v>
      </c>
      <c r="DJ20" s="211" t="s">
        <v>531</v>
      </c>
      <c r="DK20" t="s">
        <v>843</v>
      </c>
      <c r="DL20" t="s">
        <v>76</v>
      </c>
      <c r="DM20" t="s">
        <v>506</v>
      </c>
      <c r="DN20" t="s">
        <v>844</v>
      </c>
      <c r="DO20" t="s">
        <v>845</v>
      </c>
      <c r="DP20" s="203" t="s">
        <v>846</v>
      </c>
      <c r="DR20" t="s">
        <v>699</v>
      </c>
      <c r="DS20" t="s">
        <v>530</v>
      </c>
      <c r="DT20" s="211" t="s">
        <v>531</v>
      </c>
      <c r="DU20" t="s">
        <v>843</v>
      </c>
      <c r="DV20" t="s">
        <v>76</v>
      </c>
      <c r="DW20" t="s">
        <v>506</v>
      </c>
      <c r="DX20" t="s">
        <v>844</v>
      </c>
      <c r="DY20" t="s">
        <v>845</v>
      </c>
      <c r="DZ20" s="203" t="s">
        <v>846</v>
      </c>
      <c r="EA20" s="110"/>
      <c r="EC20" s="147" t="s">
        <v>847</v>
      </c>
      <c r="ED20" s="5" t="s">
        <v>848</v>
      </c>
      <c r="EE20" s="5" t="s">
        <v>849</v>
      </c>
      <c r="EF20" s="5" t="s">
        <v>850</v>
      </c>
      <c r="EG20" s="5" t="s">
        <v>851</v>
      </c>
      <c r="EH20" s="5">
        <v>1</v>
      </c>
      <c r="EI20" s="110"/>
      <c r="EK20" s="147" t="s">
        <v>852</v>
      </c>
      <c r="EL20" s="5" t="s">
        <v>853</v>
      </c>
      <c r="EM20" s="5" t="s">
        <v>475</v>
      </c>
      <c r="EN20" s="5">
        <v>1</v>
      </c>
      <c r="EP20" s="110"/>
      <c r="FI20" s="110"/>
    </row>
    <row r="21" spans="1:166" ht="16.5" customHeight="1" x14ac:dyDescent="0.3">
      <c r="A21" s="134" t="s">
        <v>854</v>
      </c>
      <c r="B21" s="134" t="s">
        <v>755</v>
      </c>
      <c r="C21" s="204"/>
      <c r="D21" s="105" t="s">
        <v>563</v>
      </c>
      <c r="E21" s="105"/>
      <c r="F21" s="105"/>
      <c r="L21" s="138" t="s">
        <v>855</v>
      </c>
      <c r="N21" s="138" t="s">
        <v>856</v>
      </c>
      <c r="O21" s="110"/>
      <c r="Q21" t="s">
        <v>613</v>
      </c>
      <c r="R21" t="s">
        <v>857</v>
      </c>
      <c r="S21" t="s">
        <v>858</v>
      </c>
      <c r="T21" t="s">
        <v>859</v>
      </c>
      <c r="U21" t="s">
        <v>860</v>
      </c>
      <c r="V21" t="s">
        <v>861</v>
      </c>
      <c r="W21" t="s">
        <v>862</v>
      </c>
      <c r="X21">
        <v>46001</v>
      </c>
      <c r="Y21" t="s">
        <v>613</v>
      </c>
      <c r="Z21" t="s">
        <v>863</v>
      </c>
      <c r="AA21">
        <v>1666</v>
      </c>
      <c r="AB21">
        <v>26206.18</v>
      </c>
      <c r="AC21">
        <v>46013</v>
      </c>
      <c r="AD21">
        <v>46002</v>
      </c>
      <c r="AL21" s="110"/>
      <c r="AM21" s="280" t="s">
        <v>200</v>
      </c>
      <c r="AN21" s="57" t="s">
        <v>2898</v>
      </c>
      <c r="AO21" s="57" t="b">
        <v>1</v>
      </c>
      <c r="AP21" s="57" t="b">
        <v>0</v>
      </c>
      <c r="AQ21" s="57">
        <v>5</v>
      </c>
      <c r="AR21" s="271"/>
      <c r="AS21" s="271"/>
      <c r="AT21" s="271"/>
      <c r="AU21" s="1"/>
      <c r="AV21" s="1"/>
      <c r="AW21" s="1"/>
      <c r="AX21" s="1"/>
      <c r="AY21" s="4"/>
      <c r="BA21" s="4"/>
      <c r="BB21" s="3">
        <v>21</v>
      </c>
      <c r="BC21" s="1"/>
      <c r="BD21" s="112" t="s">
        <v>453</v>
      </c>
      <c r="BE21" s="113" t="s">
        <v>864</v>
      </c>
      <c r="BF21" s="107">
        <v>1960</v>
      </c>
      <c r="BG21" s="107">
        <v>23520</v>
      </c>
      <c r="BH21" s="143">
        <v>44882</v>
      </c>
      <c r="BI21" s="107" t="s">
        <v>385</v>
      </c>
      <c r="BJ21" s="108" t="s">
        <v>718</v>
      </c>
      <c r="BK21" s="107" t="s">
        <v>456</v>
      </c>
      <c r="BL21" s="144">
        <v>1</v>
      </c>
      <c r="BM21" s="1"/>
      <c r="BN21" s="1"/>
      <c r="BO21" s="3"/>
      <c r="BP21" s="1"/>
      <c r="BQ21" s="118" t="s">
        <v>865</v>
      </c>
      <c r="BR21" s="146" t="s">
        <v>636</v>
      </c>
      <c r="BS21" s="118"/>
      <c r="BT21" s="118"/>
      <c r="BU21" s="118" t="s">
        <v>636</v>
      </c>
      <c r="BV21" s="118" t="s">
        <v>335</v>
      </c>
      <c r="BW21" s="118"/>
      <c r="BX21" s="118" t="s">
        <v>662</v>
      </c>
      <c r="BY21" s="118" t="s">
        <v>335</v>
      </c>
      <c r="BZ21" s="118"/>
      <c r="CA21" s="118"/>
      <c r="CB21" s="118"/>
      <c r="CC21" s="110"/>
      <c r="CD21" s="186"/>
      <c r="CE21" s="127"/>
      <c r="CF21" s="128"/>
      <c r="CG21" s="122"/>
      <c r="CH21" s="212"/>
      <c r="CI21" s="213"/>
      <c r="CJ21" s="125"/>
      <c r="CL21" s="175">
        <v>21</v>
      </c>
      <c r="DF21" s="110"/>
      <c r="DH21" t="s">
        <v>866</v>
      </c>
      <c r="DI21" t="s">
        <v>555</v>
      </c>
      <c r="DJ21" s="131" t="s">
        <v>556</v>
      </c>
      <c r="DK21" t="s">
        <v>867</v>
      </c>
      <c r="DL21" t="s">
        <v>773</v>
      </c>
      <c r="DM21" t="s">
        <v>774</v>
      </c>
      <c r="DN21" t="s">
        <v>868</v>
      </c>
      <c r="DO21" t="s">
        <v>869</v>
      </c>
      <c r="DP21" t="s">
        <v>870</v>
      </c>
      <c r="DR21" t="s">
        <v>866</v>
      </c>
      <c r="DS21" t="s">
        <v>555</v>
      </c>
      <c r="DT21" s="131" t="s">
        <v>556</v>
      </c>
      <c r="DU21" t="s">
        <v>867</v>
      </c>
      <c r="DV21" t="s">
        <v>773</v>
      </c>
      <c r="DW21" t="s">
        <v>774</v>
      </c>
      <c r="DX21" t="s">
        <v>868</v>
      </c>
      <c r="DY21" t="s">
        <v>869</v>
      </c>
      <c r="DZ21" t="s">
        <v>870</v>
      </c>
      <c r="EA21" s="110"/>
      <c r="EC21" s="147" t="s">
        <v>871</v>
      </c>
      <c r="ED21" s="5" t="s">
        <v>872</v>
      </c>
      <c r="EE21" s="5" t="s">
        <v>873</v>
      </c>
      <c r="EF21" s="5" t="s">
        <v>874</v>
      </c>
      <c r="EG21" s="5" t="s">
        <v>538</v>
      </c>
      <c r="EH21" s="5">
        <v>1</v>
      </c>
      <c r="EI21" s="110"/>
      <c r="EK21" s="147" t="s">
        <v>875</v>
      </c>
      <c r="EL21" s="5" t="s">
        <v>876</v>
      </c>
      <c r="EM21" s="5" t="s">
        <v>877</v>
      </c>
      <c r="EN21" s="5">
        <v>1</v>
      </c>
      <c r="EP21" s="110"/>
      <c r="FI21" s="110"/>
      <c r="FJ21" s="197"/>
    </row>
    <row r="22" spans="1:166" ht="16.5" customHeight="1" x14ac:dyDescent="0.3">
      <c r="A22" s="134" t="s">
        <v>878</v>
      </c>
      <c r="B22" s="134" t="s">
        <v>851</v>
      </c>
      <c r="C22" s="204"/>
      <c r="D22" s="205" t="s">
        <v>879</v>
      </c>
      <c r="E22" s="206" t="s">
        <v>69</v>
      </c>
      <c r="F22" s="105"/>
      <c r="L22" s="138" t="s">
        <v>880</v>
      </c>
      <c r="N22" s="138" t="s">
        <v>881</v>
      </c>
      <c r="O22" s="110"/>
      <c r="Q22" t="s">
        <v>613</v>
      </c>
      <c r="R22" t="s">
        <v>882</v>
      </c>
      <c r="S22" t="s">
        <v>883</v>
      </c>
      <c r="T22" t="s">
        <v>884</v>
      </c>
      <c r="U22" t="s">
        <v>885</v>
      </c>
      <c r="V22" t="s">
        <v>886</v>
      </c>
      <c r="W22" t="s">
        <v>887</v>
      </c>
      <c r="X22">
        <v>46002</v>
      </c>
      <c r="Y22" t="s">
        <v>888</v>
      </c>
      <c r="Z22" t="s">
        <v>889</v>
      </c>
      <c r="AA22">
        <v>1960</v>
      </c>
      <c r="AB22">
        <v>24500</v>
      </c>
      <c r="AC22">
        <v>46013</v>
      </c>
      <c r="AD22">
        <v>46002</v>
      </c>
      <c r="AL22" s="110"/>
      <c r="AM22" s="280" t="s">
        <v>203</v>
      </c>
      <c r="AN22" s="57" t="s">
        <v>2898</v>
      </c>
      <c r="AO22" s="57" t="b">
        <v>0</v>
      </c>
      <c r="AP22" s="57" t="b">
        <v>0</v>
      </c>
      <c r="AQ22" s="57">
        <v>5</v>
      </c>
      <c r="AR22" s="271"/>
      <c r="AS22" s="271"/>
      <c r="AT22" s="271"/>
      <c r="AU22" s="1"/>
      <c r="AV22" s="1"/>
      <c r="AW22" s="1"/>
      <c r="AX22" s="1"/>
      <c r="AY22" s="4"/>
      <c r="BA22" s="4"/>
      <c r="BB22" s="3">
        <v>22</v>
      </c>
      <c r="BC22" s="1"/>
      <c r="BD22" s="112" t="s">
        <v>500</v>
      </c>
      <c r="BE22" s="113" t="s">
        <v>890</v>
      </c>
      <c r="BF22" s="107">
        <v>2300</v>
      </c>
      <c r="BG22" s="107">
        <v>23000</v>
      </c>
      <c r="BH22" s="143">
        <v>44886</v>
      </c>
      <c r="BI22" s="107" t="s">
        <v>385</v>
      </c>
      <c r="BJ22" s="108" t="s">
        <v>502</v>
      </c>
      <c r="BK22" s="107" t="s">
        <v>524</v>
      </c>
      <c r="BL22" s="144">
        <v>1</v>
      </c>
      <c r="BM22" s="1"/>
      <c r="BN22" s="1"/>
      <c r="BO22" s="3"/>
      <c r="BP22" s="1"/>
      <c r="BQ22" s="118" t="s">
        <v>891</v>
      </c>
      <c r="BR22" s="146" t="s">
        <v>663</v>
      </c>
      <c r="BS22" s="118"/>
      <c r="BT22" s="118"/>
      <c r="BU22" s="118" t="s">
        <v>663</v>
      </c>
      <c r="BV22" s="118" t="s">
        <v>335</v>
      </c>
      <c r="BW22" s="118"/>
      <c r="BX22" s="118"/>
      <c r="BY22" s="118"/>
      <c r="BZ22" s="118"/>
      <c r="CA22" s="118"/>
      <c r="CB22" s="118"/>
      <c r="CC22" s="110"/>
      <c r="CD22" s="186"/>
      <c r="CE22" s="127"/>
      <c r="CF22" s="128"/>
      <c r="CG22" s="122"/>
      <c r="CH22" s="212"/>
      <c r="CI22" s="213"/>
      <c r="CJ22" s="125"/>
      <c r="CL22" s="175">
        <v>22</v>
      </c>
      <c r="DF22" s="110"/>
      <c r="DH22" t="s">
        <v>726</v>
      </c>
      <c r="DI22" t="s">
        <v>577</v>
      </c>
      <c r="DJ22" s="211" t="s">
        <v>578</v>
      </c>
      <c r="DK22" t="s">
        <v>892</v>
      </c>
      <c r="DL22" t="s">
        <v>770</v>
      </c>
      <c r="DM22" t="s">
        <v>771</v>
      </c>
      <c r="DN22" t="s">
        <v>893</v>
      </c>
      <c r="DO22" t="s">
        <v>343</v>
      </c>
      <c r="DP22" t="s">
        <v>344</v>
      </c>
      <c r="DR22" t="s">
        <v>726</v>
      </c>
      <c r="DS22" t="s">
        <v>577</v>
      </c>
      <c r="DT22" s="211" t="s">
        <v>578</v>
      </c>
      <c r="DU22" t="s">
        <v>892</v>
      </c>
      <c r="DV22" t="s">
        <v>770</v>
      </c>
      <c r="DW22" t="s">
        <v>771</v>
      </c>
      <c r="DX22" t="s">
        <v>893</v>
      </c>
      <c r="DY22" t="s">
        <v>343</v>
      </c>
      <c r="DZ22" t="s">
        <v>344</v>
      </c>
      <c r="EA22" s="110"/>
      <c r="EC22" s="147" t="s">
        <v>894</v>
      </c>
      <c r="ED22" s="5" t="s">
        <v>895</v>
      </c>
      <c r="EE22" s="5" t="s">
        <v>896</v>
      </c>
      <c r="EF22" s="5" t="s">
        <v>897</v>
      </c>
      <c r="EG22" s="5" t="s">
        <v>897</v>
      </c>
      <c r="EH22" s="5">
        <v>1</v>
      </c>
      <c r="EI22" s="110"/>
      <c r="EK22" s="147" t="s">
        <v>898</v>
      </c>
      <c r="EL22" s="5" t="s">
        <v>899</v>
      </c>
      <c r="EM22" s="5" t="s">
        <v>900</v>
      </c>
      <c r="EN22" s="5">
        <v>1</v>
      </c>
      <c r="EP22" s="110"/>
      <c r="FI22" s="110"/>
    </row>
    <row r="23" spans="1:166" ht="16.5" customHeight="1" x14ac:dyDescent="0.3">
      <c r="A23" s="134" t="s">
        <v>901</v>
      </c>
      <c r="B23" s="134" t="s">
        <v>902</v>
      </c>
      <c r="C23" s="204"/>
      <c r="D23" s="209" t="s">
        <v>903</v>
      </c>
      <c r="E23" s="206">
        <v>1</v>
      </c>
      <c r="F23" s="105"/>
      <c r="L23" s="138" t="s">
        <v>904</v>
      </c>
      <c r="N23" s="138" t="s">
        <v>905</v>
      </c>
      <c r="O23" s="110"/>
      <c r="Q23" t="s">
        <v>613</v>
      </c>
      <c r="R23" t="s">
        <v>906</v>
      </c>
      <c r="S23" t="s">
        <v>907</v>
      </c>
      <c r="T23" t="s">
        <v>908</v>
      </c>
      <c r="U23" t="s">
        <v>909</v>
      </c>
      <c r="V23" t="s">
        <v>684</v>
      </c>
      <c r="W23" t="s">
        <v>685</v>
      </c>
      <c r="X23">
        <v>46001</v>
      </c>
      <c r="Y23" t="s">
        <v>910</v>
      </c>
      <c r="Z23" t="s">
        <v>911</v>
      </c>
      <c r="AA23">
        <v>1908</v>
      </c>
      <c r="AB23">
        <v>23826.37</v>
      </c>
      <c r="AC23">
        <v>46013</v>
      </c>
      <c r="AD23">
        <v>46002</v>
      </c>
      <c r="AL23" s="110"/>
      <c r="AM23" s="281" t="s">
        <v>2892</v>
      </c>
      <c r="AN23" s="57" t="s">
        <v>2897</v>
      </c>
      <c r="AO23" s="57" t="b">
        <v>1</v>
      </c>
      <c r="AP23" s="57" t="b">
        <v>1</v>
      </c>
      <c r="AQ23" s="57">
        <v>8</v>
      </c>
      <c r="AR23" s="271"/>
      <c r="AS23" s="271"/>
      <c r="AT23" s="271"/>
      <c r="AU23" s="1"/>
      <c r="AV23" s="1"/>
      <c r="AW23" s="1"/>
      <c r="AX23" s="1"/>
      <c r="AY23" s="4"/>
      <c r="BA23" s="4"/>
      <c r="BB23" s="3">
        <v>23</v>
      </c>
      <c r="BC23" s="1"/>
      <c r="BD23" s="112" t="s">
        <v>500</v>
      </c>
      <c r="BE23" s="113" t="s">
        <v>912</v>
      </c>
      <c r="BF23" s="107">
        <v>1925</v>
      </c>
      <c r="BG23" s="107">
        <v>23100</v>
      </c>
      <c r="BH23" s="143">
        <v>44900</v>
      </c>
      <c r="BI23" s="107" t="s">
        <v>385</v>
      </c>
      <c r="BJ23" s="108" t="s">
        <v>913</v>
      </c>
      <c r="BK23" s="107" t="s">
        <v>692</v>
      </c>
      <c r="BL23" s="144">
        <v>1</v>
      </c>
      <c r="BM23" s="1"/>
      <c r="BN23" s="1"/>
      <c r="BO23" s="3"/>
      <c r="BP23" s="1"/>
      <c r="BQ23" s="118" t="s">
        <v>914</v>
      </c>
      <c r="BR23" s="146" t="s">
        <v>694</v>
      </c>
      <c r="BS23" s="118"/>
      <c r="BT23" s="118"/>
      <c r="BU23" s="118" t="s">
        <v>694</v>
      </c>
      <c r="BV23" s="118" t="s">
        <v>335</v>
      </c>
      <c r="BW23" s="118"/>
      <c r="BX23" s="118" t="s">
        <v>719</v>
      </c>
      <c r="BY23" s="118" t="s">
        <v>335</v>
      </c>
      <c r="BZ23" s="118"/>
      <c r="CA23" s="118"/>
      <c r="CB23" s="118"/>
      <c r="CC23" s="110"/>
      <c r="CD23" s="186"/>
      <c r="CE23" s="127"/>
      <c r="CF23" s="122"/>
      <c r="CG23" s="122"/>
      <c r="CH23" s="214"/>
      <c r="CI23" s="213"/>
      <c r="CJ23" s="125"/>
      <c r="CL23" s="175">
        <v>23</v>
      </c>
      <c r="CM23" s="188"/>
      <c r="CN23" s="189"/>
      <c r="CO23" s="190"/>
      <c r="CP23" s="191"/>
      <c r="CQ23" s="192"/>
      <c r="CR23" s="193"/>
      <c r="CS23" s="194"/>
      <c r="CT23" s="195"/>
      <c r="CU23" s="196"/>
      <c r="DF23" s="110"/>
      <c r="DH23" t="s">
        <v>915</v>
      </c>
      <c r="DI23" t="s">
        <v>609</v>
      </c>
      <c r="DJ23" s="131" t="s">
        <v>610</v>
      </c>
      <c r="DK23" t="s">
        <v>916</v>
      </c>
      <c r="DL23" t="s">
        <v>818</v>
      </c>
      <c r="DM23" t="s">
        <v>819</v>
      </c>
      <c r="DN23" t="s">
        <v>917</v>
      </c>
      <c r="DO23" t="s">
        <v>402</v>
      </c>
      <c r="DP23" t="s">
        <v>403</v>
      </c>
      <c r="DR23" t="s">
        <v>915</v>
      </c>
      <c r="DS23" t="s">
        <v>609</v>
      </c>
      <c r="DT23" s="131" t="s">
        <v>610</v>
      </c>
      <c r="DU23" t="s">
        <v>916</v>
      </c>
      <c r="DV23" t="s">
        <v>818</v>
      </c>
      <c r="DW23" t="s">
        <v>819</v>
      </c>
      <c r="DX23" t="s">
        <v>917</v>
      </c>
      <c r="DY23" t="s">
        <v>402</v>
      </c>
      <c r="DZ23" t="s">
        <v>403</v>
      </c>
      <c r="EA23" s="110"/>
      <c r="EC23" s="147" t="s">
        <v>918</v>
      </c>
      <c r="ED23" s="5" t="s">
        <v>919</v>
      </c>
      <c r="EE23" s="5" t="s">
        <v>920</v>
      </c>
      <c r="EF23" s="5" t="s">
        <v>921</v>
      </c>
      <c r="EG23" s="5" t="s">
        <v>902</v>
      </c>
      <c r="EH23" s="5">
        <v>1</v>
      </c>
      <c r="EI23" s="110"/>
      <c r="EK23" s="147" t="s">
        <v>922</v>
      </c>
      <c r="EL23" s="5" t="s">
        <v>923</v>
      </c>
      <c r="EM23" s="5" t="s">
        <v>924</v>
      </c>
      <c r="EN23" s="5">
        <v>1</v>
      </c>
      <c r="EP23" s="110"/>
      <c r="FI23" s="110"/>
      <c r="FJ23" s="197"/>
    </row>
    <row r="24" spans="1:166" ht="16.5" customHeight="1" x14ac:dyDescent="0.3">
      <c r="A24" s="134" t="s">
        <v>925</v>
      </c>
      <c r="B24" s="134" t="s">
        <v>926</v>
      </c>
      <c r="C24" s="204"/>
      <c r="D24" s="209" t="s">
        <v>927</v>
      </c>
      <c r="E24" s="206">
        <v>2</v>
      </c>
      <c r="F24" s="105"/>
      <c r="L24" s="138" t="s">
        <v>928</v>
      </c>
      <c r="N24" s="138" t="s">
        <v>929</v>
      </c>
      <c r="O24" s="110"/>
      <c r="Q24" t="s">
        <v>613</v>
      </c>
      <c r="R24" t="s">
        <v>930</v>
      </c>
      <c r="S24" t="s">
        <v>931</v>
      </c>
      <c r="T24" t="s">
        <v>932</v>
      </c>
      <c r="U24" t="s">
        <v>933</v>
      </c>
      <c r="V24" t="s">
        <v>934</v>
      </c>
      <c r="W24" t="s">
        <v>935</v>
      </c>
      <c r="X24">
        <v>46003</v>
      </c>
      <c r="Y24" t="s">
        <v>936</v>
      </c>
      <c r="Z24" t="s">
        <v>937</v>
      </c>
      <c r="AA24">
        <v>1200</v>
      </c>
      <c r="AB24">
        <v>24450</v>
      </c>
      <c r="AC24">
        <v>46013</v>
      </c>
      <c r="AD24">
        <v>46003</v>
      </c>
      <c r="AL24" s="110"/>
      <c r="AM24" s="281" t="s">
        <v>2893</v>
      </c>
      <c r="AN24" s="57" t="s">
        <v>2897</v>
      </c>
      <c r="AO24" s="57" t="b">
        <v>1</v>
      </c>
      <c r="AP24" s="57" t="b">
        <v>0</v>
      </c>
      <c r="AQ24" s="57">
        <v>8</v>
      </c>
      <c r="AR24" s="271"/>
      <c r="AS24" s="271"/>
      <c r="AT24" s="271"/>
      <c r="AU24" s="1"/>
      <c r="AV24" s="1"/>
      <c r="AW24" s="1"/>
      <c r="AX24" s="1"/>
      <c r="AY24" s="4"/>
      <c r="BA24" s="4"/>
      <c r="BB24" s="3">
        <v>24</v>
      </c>
      <c r="BC24" s="1"/>
      <c r="BD24" s="112" t="s">
        <v>453</v>
      </c>
      <c r="BE24" s="113" t="s">
        <v>938</v>
      </c>
      <c r="BF24" s="107">
        <v>1567</v>
      </c>
      <c r="BG24" s="107">
        <v>23505</v>
      </c>
      <c r="BH24" s="143">
        <v>44900</v>
      </c>
      <c r="BI24" s="107" t="s">
        <v>385</v>
      </c>
      <c r="BJ24" s="108" t="s">
        <v>455</v>
      </c>
      <c r="BK24" s="107" t="s">
        <v>456</v>
      </c>
      <c r="BL24" s="144">
        <v>1</v>
      </c>
      <c r="BM24" s="1"/>
      <c r="BN24" s="1"/>
      <c r="BO24" s="3"/>
      <c r="BP24" s="1"/>
      <c r="BQ24" s="208" t="s">
        <v>816</v>
      </c>
      <c r="BR24" s="146" t="s">
        <v>290</v>
      </c>
      <c r="BS24" s="118"/>
      <c r="BT24" s="118"/>
      <c r="BU24" s="118"/>
      <c r="BV24" s="118"/>
      <c r="BW24" s="118"/>
      <c r="BX24" s="118" t="s">
        <v>768</v>
      </c>
      <c r="BY24" s="118" t="s">
        <v>335</v>
      </c>
      <c r="BZ24" s="118"/>
      <c r="CA24" s="118"/>
      <c r="CB24" s="118"/>
      <c r="CC24" s="110"/>
      <c r="CD24" s="186"/>
      <c r="CE24" s="127"/>
      <c r="CF24" s="122"/>
      <c r="CG24" s="122"/>
      <c r="CH24" s="214"/>
      <c r="CI24" s="213"/>
      <c r="CJ24" s="125"/>
      <c r="CL24" s="175">
        <v>24</v>
      </c>
      <c r="CM24" s="188"/>
      <c r="CN24" s="189"/>
      <c r="CO24" s="190"/>
      <c r="CP24" s="191"/>
      <c r="CQ24" s="192"/>
      <c r="CR24" s="193"/>
      <c r="CS24" s="194"/>
      <c r="CT24" s="195"/>
      <c r="CU24" s="196"/>
      <c r="DF24" s="110"/>
      <c r="DH24" t="s">
        <v>939</v>
      </c>
      <c r="DI24" t="s">
        <v>642</v>
      </c>
      <c r="DJ24" s="131" t="s">
        <v>643</v>
      </c>
      <c r="DK24" t="s">
        <v>940</v>
      </c>
      <c r="DL24" t="s">
        <v>770</v>
      </c>
      <c r="DM24" t="s">
        <v>771</v>
      </c>
      <c r="DN24" t="s">
        <v>941</v>
      </c>
      <c r="DO24" t="s">
        <v>434</v>
      </c>
      <c r="DP24" t="s">
        <v>435</v>
      </c>
      <c r="DR24" t="s">
        <v>939</v>
      </c>
      <c r="DS24" t="s">
        <v>642</v>
      </c>
      <c r="DT24" s="131" t="s">
        <v>643</v>
      </c>
      <c r="DU24" t="s">
        <v>940</v>
      </c>
      <c r="DV24" t="s">
        <v>770</v>
      </c>
      <c r="DW24" t="s">
        <v>771</v>
      </c>
      <c r="DX24" t="s">
        <v>941</v>
      </c>
      <c r="DY24" t="s">
        <v>434</v>
      </c>
      <c r="DZ24" t="s">
        <v>435</v>
      </c>
      <c r="EA24" s="110"/>
      <c r="EC24" s="147" t="s">
        <v>942</v>
      </c>
      <c r="ED24" s="5" t="s">
        <v>943</v>
      </c>
      <c r="EE24" s="5" t="s">
        <v>944</v>
      </c>
      <c r="EF24" s="5" t="s">
        <v>945</v>
      </c>
      <c r="EG24" s="5" t="s">
        <v>946</v>
      </c>
      <c r="EH24" s="5">
        <v>1</v>
      </c>
      <c r="EI24" s="110"/>
      <c r="EK24" s="147" t="s">
        <v>947</v>
      </c>
      <c r="EL24" s="5" t="s">
        <v>948</v>
      </c>
      <c r="EM24" s="5" t="s">
        <v>949</v>
      </c>
      <c r="EN24" s="5">
        <v>1</v>
      </c>
      <c r="EP24" s="110"/>
      <c r="FI24" s="110"/>
    </row>
    <row r="25" spans="1:166" ht="16.5" customHeight="1" x14ac:dyDescent="0.3">
      <c r="A25" s="134" t="s">
        <v>944</v>
      </c>
      <c r="B25" s="134" t="s">
        <v>946</v>
      </c>
      <c r="C25" s="204"/>
      <c r="D25" s="209" t="s">
        <v>950</v>
      </c>
      <c r="E25" s="206">
        <v>3</v>
      </c>
      <c r="F25" s="105"/>
      <c r="L25" s="138" t="s">
        <v>951</v>
      </c>
      <c r="N25" s="138" t="s">
        <v>952</v>
      </c>
      <c r="O25" s="110"/>
      <c r="Q25" t="s">
        <v>613</v>
      </c>
      <c r="R25" t="s">
        <v>953</v>
      </c>
      <c r="S25" t="s">
        <v>954</v>
      </c>
      <c r="T25" t="s">
        <v>955</v>
      </c>
      <c r="U25" t="s">
        <v>956</v>
      </c>
      <c r="V25" t="s">
        <v>957</v>
      </c>
      <c r="W25" t="s">
        <v>958</v>
      </c>
      <c r="X25">
        <v>46002</v>
      </c>
      <c r="Y25" t="s">
        <v>959</v>
      </c>
      <c r="Z25" t="s">
        <v>960</v>
      </c>
      <c r="AA25">
        <v>1188</v>
      </c>
      <c r="AB25">
        <v>7722</v>
      </c>
      <c r="AC25">
        <v>46013</v>
      </c>
      <c r="AD25">
        <v>46003</v>
      </c>
      <c r="AL25" s="110"/>
      <c r="AM25" s="281" t="s">
        <v>2894</v>
      </c>
      <c r="AN25" s="57" t="s">
        <v>2898</v>
      </c>
      <c r="AO25" s="57" t="b">
        <v>1</v>
      </c>
      <c r="AP25" s="57" t="b">
        <v>1</v>
      </c>
      <c r="AQ25" s="57">
        <v>7</v>
      </c>
      <c r="AR25" s="271"/>
      <c r="AS25" s="271"/>
      <c r="AT25" s="271"/>
      <c r="AU25" s="1"/>
      <c r="AV25" s="1"/>
      <c r="AW25" s="1"/>
      <c r="AX25" s="1"/>
      <c r="AY25" s="4"/>
      <c r="BA25" s="4"/>
      <c r="BB25" s="3">
        <v>25</v>
      </c>
      <c r="BC25" s="1"/>
      <c r="BD25" s="112" t="s">
        <v>632</v>
      </c>
      <c r="BE25" s="113" t="s">
        <v>961</v>
      </c>
      <c r="BF25" s="107">
        <v>1980</v>
      </c>
      <c r="BG25" s="107">
        <v>23760</v>
      </c>
      <c r="BH25" s="143">
        <v>44902</v>
      </c>
      <c r="BI25" s="107" t="s">
        <v>385</v>
      </c>
      <c r="BJ25" s="108" t="s">
        <v>962</v>
      </c>
      <c r="BK25" s="107" t="s">
        <v>456</v>
      </c>
      <c r="BL25" s="144">
        <v>1</v>
      </c>
      <c r="BM25" s="1"/>
      <c r="BN25" s="1"/>
      <c r="BO25" s="3"/>
      <c r="BP25" s="1"/>
      <c r="BQ25" s="145" t="s">
        <v>603</v>
      </c>
      <c r="BR25" s="146" t="s">
        <v>293</v>
      </c>
      <c r="BS25" s="118"/>
      <c r="BT25" s="118"/>
      <c r="BU25" s="118"/>
      <c r="BV25" s="118"/>
      <c r="BW25" s="118"/>
      <c r="BX25" s="118" t="s">
        <v>744</v>
      </c>
      <c r="BY25" s="118" t="s">
        <v>335</v>
      </c>
      <c r="BZ25" s="118"/>
      <c r="CA25" s="118"/>
      <c r="CB25" s="118"/>
      <c r="CC25" s="110"/>
      <c r="CD25" s="186"/>
      <c r="CE25" s="127"/>
      <c r="CF25" s="128"/>
      <c r="CG25" s="122"/>
      <c r="CH25" s="212"/>
      <c r="CI25" s="213"/>
      <c r="CJ25" s="125"/>
      <c r="CL25" s="175">
        <v>25</v>
      </c>
      <c r="CM25" s="188"/>
      <c r="CN25" s="189"/>
      <c r="CO25" s="190"/>
      <c r="CP25" s="191"/>
      <c r="CQ25" s="192"/>
      <c r="CR25" s="193"/>
      <c r="CS25" s="194"/>
      <c r="CT25" s="195"/>
      <c r="CU25" s="196"/>
      <c r="DF25" s="110"/>
      <c r="DH25" t="s">
        <v>963</v>
      </c>
      <c r="DI25" t="s">
        <v>669</v>
      </c>
      <c r="DJ25" s="131" t="s">
        <v>670</v>
      </c>
      <c r="DK25" t="s">
        <v>964</v>
      </c>
      <c r="DL25" t="s">
        <v>818</v>
      </c>
      <c r="DM25" t="s">
        <v>819</v>
      </c>
      <c r="DN25" t="s">
        <v>965</v>
      </c>
      <c r="DO25" t="s">
        <v>461</v>
      </c>
      <c r="DP25" t="s">
        <v>462</v>
      </c>
      <c r="DR25" t="s">
        <v>963</v>
      </c>
      <c r="DS25" t="s">
        <v>669</v>
      </c>
      <c r="DT25" s="131" t="s">
        <v>670</v>
      </c>
      <c r="DU25" t="s">
        <v>964</v>
      </c>
      <c r="DV25" t="s">
        <v>818</v>
      </c>
      <c r="DW25" t="s">
        <v>819</v>
      </c>
      <c r="DX25" t="s">
        <v>965</v>
      </c>
      <c r="DY25" t="s">
        <v>461</v>
      </c>
      <c r="DZ25" t="s">
        <v>462</v>
      </c>
      <c r="EA25" s="110"/>
      <c r="EC25" s="147" t="s">
        <v>966</v>
      </c>
      <c r="ED25" s="5" t="s">
        <v>967</v>
      </c>
      <c r="EE25" s="5" t="s">
        <v>968</v>
      </c>
      <c r="EF25" s="5" t="s">
        <v>969</v>
      </c>
      <c r="EG25" s="5" t="s">
        <v>970</v>
      </c>
      <c r="EH25" s="5">
        <v>1</v>
      </c>
      <c r="EI25" s="110"/>
      <c r="EK25" s="147" t="s">
        <v>971</v>
      </c>
      <c r="EL25" s="5" t="s">
        <v>972</v>
      </c>
      <c r="EM25" s="5" t="s">
        <v>900</v>
      </c>
      <c r="EN25" s="5">
        <v>2</v>
      </c>
      <c r="EP25" s="110"/>
      <c r="FI25" s="110"/>
      <c r="FJ25" s="197"/>
    </row>
    <row r="26" spans="1:166" ht="16.5" customHeight="1" x14ac:dyDescent="0.3">
      <c r="A26" s="134" t="s">
        <v>968</v>
      </c>
      <c r="B26" s="134" t="s">
        <v>973</v>
      </c>
      <c r="C26" s="204"/>
      <c r="D26" s="209" t="s">
        <v>974</v>
      </c>
      <c r="E26" s="206">
        <v>4</v>
      </c>
      <c r="F26" s="105"/>
      <c r="L26" s="138" t="s">
        <v>975</v>
      </c>
      <c r="N26" s="138" t="s">
        <v>976</v>
      </c>
      <c r="O26" s="110"/>
      <c r="Q26" t="s">
        <v>613</v>
      </c>
      <c r="R26" t="s">
        <v>977</v>
      </c>
      <c r="S26" t="s">
        <v>978</v>
      </c>
      <c r="T26" t="s">
        <v>979</v>
      </c>
      <c r="U26" t="s">
        <v>956</v>
      </c>
      <c r="V26" t="s">
        <v>957</v>
      </c>
      <c r="W26" t="s">
        <v>958</v>
      </c>
      <c r="X26">
        <v>46002</v>
      </c>
      <c r="Y26" t="s">
        <v>980</v>
      </c>
      <c r="Z26" t="s">
        <v>981</v>
      </c>
      <c r="AA26">
        <v>693</v>
      </c>
      <c r="AB26">
        <v>4365.8999999999996</v>
      </c>
      <c r="AC26">
        <v>46013</v>
      </c>
      <c r="AD26">
        <v>46003</v>
      </c>
      <c r="AL26" s="110"/>
      <c r="AM26" s="281" t="s">
        <v>2895</v>
      </c>
      <c r="AN26" s="57" t="s">
        <v>2898</v>
      </c>
      <c r="AO26" s="57" t="b">
        <v>1</v>
      </c>
      <c r="AP26" s="57" t="b">
        <v>0</v>
      </c>
      <c r="AQ26" s="57">
        <v>7</v>
      </c>
      <c r="AR26" s="271"/>
      <c r="AS26" s="271"/>
      <c r="AT26" s="271"/>
      <c r="AU26" s="1"/>
      <c r="AV26" s="1"/>
      <c r="AW26" s="1"/>
      <c r="AX26" s="1"/>
      <c r="AY26" s="4"/>
      <c r="BA26" s="4"/>
      <c r="BB26" s="3">
        <v>26</v>
      </c>
      <c r="BC26" s="1"/>
      <c r="BD26" s="112" t="s">
        <v>500</v>
      </c>
      <c r="BE26" s="113" t="s">
        <v>982</v>
      </c>
      <c r="BF26" s="107">
        <v>2300</v>
      </c>
      <c r="BG26" s="107">
        <v>23000</v>
      </c>
      <c r="BH26" s="143">
        <v>44904</v>
      </c>
      <c r="BI26" s="107" t="s">
        <v>385</v>
      </c>
      <c r="BJ26" s="108" t="s">
        <v>502</v>
      </c>
      <c r="BK26" s="107" t="s">
        <v>524</v>
      </c>
      <c r="BL26" s="144">
        <v>1</v>
      </c>
      <c r="BM26" s="1"/>
      <c r="BN26" s="1"/>
      <c r="BO26" s="3"/>
      <c r="BP26" s="1"/>
      <c r="BQ26" s="145" t="s">
        <v>636</v>
      </c>
      <c r="BR26" s="146" t="s">
        <v>294</v>
      </c>
      <c r="BS26" s="118"/>
      <c r="BT26" s="118"/>
      <c r="BU26" s="118"/>
      <c r="BV26" s="118"/>
      <c r="BW26" s="118"/>
      <c r="BX26" s="118" t="s">
        <v>816</v>
      </c>
      <c r="BY26" s="118" t="s">
        <v>335</v>
      </c>
      <c r="BZ26" s="118"/>
      <c r="CA26" s="118"/>
      <c r="CB26" s="118"/>
      <c r="CC26" s="110"/>
      <c r="CD26" s="186"/>
      <c r="CE26" s="127"/>
      <c r="CF26" s="128"/>
      <c r="CG26" s="122"/>
      <c r="CH26" s="212"/>
      <c r="CI26" s="213"/>
      <c r="CJ26" s="125"/>
      <c r="CL26" s="175">
        <v>26</v>
      </c>
      <c r="CM26" s="188"/>
      <c r="CN26" s="189"/>
      <c r="CO26" s="190"/>
      <c r="CP26" s="191"/>
      <c r="CQ26" s="192"/>
      <c r="CR26" s="193"/>
      <c r="CS26" s="194"/>
      <c r="CT26" s="195"/>
      <c r="CU26" s="196"/>
      <c r="DF26" s="110"/>
      <c r="DH26" t="s">
        <v>799</v>
      </c>
      <c r="DI26" t="s">
        <v>700</v>
      </c>
      <c r="DJ26" s="131" t="s">
        <v>701</v>
      </c>
      <c r="DK26" t="s">
        <v>983</v>
      </c>
      <c r="DL26" t="s">
        <v>555</v>
      </c>
      <c r="DM26" t="s">
        <v>556</v>
      </c>
      <c r="DN26" t="s">
        <v>984</v>
      </c>
      <c r="DO26" t="s">
        <v>508</v>
      </c>
      <c r="DP26" t="s">
        <v>509</v>
      </c>
      <c r="DR26" t="s">
        <v>799</v>
      </c>
      <c r="DS26" t="s">
        <v>700</v>
      </c>
      <c r="DT26" s="131" t="s">
        <v>701</v>
      </c>
      <c r="DU26" t="s">
        <v>983</v>
      </c>
      <c r="DV26" t="s">
        <v>555</v>
      </c>
      <c r="DW26" t="s">
        <v>556</v>
      </c>
      <c r="DX26" t="s">
        <v>984</v>
      </c>
      <c r="DY26" t="s">
        <v>508</v>
      </c>
      <c r="DZ26" t="s">
        <v>509</v>
      </c>
      <c r="EA26" s="110"/>
      <c r="EC26" s="147" t="s">
        <v>985</v>
      </c>
      <c r="ED26" s="5" t="s">
        <v>986</v>
      </c>
      <c r="EE26" s="5" t="s">
        <v>968</v>
      </c>
      <c r="EF26" s="5" t="s">
        <v>969</v>
      </c>
      <c r="EG26" s="5" t="s">
        <v>970</v>
      </c>
      <c r="EH26" s="5">
        <v>1</v>
      </c>
      <c r="EI26" s="110"/>
      <c r="EK26" s="147" t="s">
        <v>987</v>
      </c>
      <c r="EL26" s="5" t="s">
        <v>988</v>
      </c>
      <c r="EM26" s="5" t="s">
        <v>900</v>
      </c>
      <c r="EN26" s="5">
        <v>2</v>
      </c>
      <c r="EP26" s="110"/>
      <c r="FI26" s="110"/>
    </row>
    <row r="27" spans="1:166" ht="16.5" customHeight="1" x14ac:dyDescent="0.3">
      <c r="A27" s="134" t="s">
        <v>989</v>
      </c>
      <c r="B27" s="134" t="s">
        <v>990</v>
      </c>
      <c r="C27" s="204"/>
      <c r="D27" s="209" t="s">
        <v>991</v>
      </c>
      <c r="E27" s="206">
        <v>5</v>
      </c>
      <c r="F27" s="105"/>
      <c r="L27" s="138" t="s">
        <v>992</v>
      </c>
      <c r="N27" s="138" t="s">
        <v>993</v>
      </c>
      <c r="O27" s="110"/>
      <c r="Q27" t="s">
        <v>613</v>
      </c>
      <c r="R27" t="s">
        <v>994</v>
      </c>
      <c r="S27" t="s">
        <v>995</v>
      </c>
      <c r="T27" t="s">
        <v>996</v>
      </c>
      <c r="U27" t="s">
        <v>956</v>
      </c>
      <c r="V27" t="s">
        <v>957</v>
      </c>
      <c r="W27" t="s">
        <v>958</v>
      </c>
      <c r="X27">
        <v>46002</v>
      </c>
      <c r="Y27" t="s">
        <v>997</v>
      </c>
      <c r="Z27" t="s">
        <v>998</v>
      </c>
      <c r="AA27">
        <v>1071</v>
      </c>
      <c r="AB27">
        <v>6211.8</v>
      </c>
      <c r="AC27">
        <v>46013</v>
      </c>
      <c r="AD27">
        <v>46003</v>
      </c>
      <c r="AL27" s="110"/>
      <c r="AM27" s="281" t="s">
        <v>2896</v>
      </c>
      <c r="AN27" s="57" t="s">
        <v>2898</v>
      </c>
      <c r="AO27" s="57" t="b">
        <v>0</v>
      </c>
      <c r="AP27" s="57" t="b">
        <v>0</v>
      </c>
      <c r="AQ27" s="57">
        <v>7</v>
      </c>
      <c r="AR27" s="271" t="s">
        <v>2944</v>
      </c>
      <c r="AS27" s="271" t="s">
        <v>336</v>
      </c>
      <c r="AT27" s="271"/>
      <c r="AU27" s="1"/>
      <c r="AV27" s="1"/>
      <c r="AW27" s="1"/>
      <c r="AX27" s="1"/>
      <c r="AY27" s="4"/>
      <c r="BA27" s="4"/>
      <c r="BB27" s="3">
        <v>27</v>
      </c>
      <c r="BC27" s="1"/>
      <c r="BD27" s="112" t="s">
        <v>500</v>
      </c>
      <c r="BE27" s="113" t="s">
        <v>999</v>
      </c>
      <c r="BF27" s="107">
        <v>2300</v>
      </c>
      <c r="BG27" s="107">
        <v>23000</v>
      </c>
      <c r="BH27" s="143">
        <v>44908</v>
      </c>
      <c r="BI27" s="107" t="s">
        <v>385</v>
      </c>
      <c r="BJ27" s="108" t="s">
        <v>502</v>
      </c>
      <c r="BK27" s="107" t="s">
        <v>524</v>
      </c>
      <c r="BL27" s="144">
        <v>1</v>
      </c>
      <c r="BM27" s="1"/>
      <c r="BN27" s="1"/>
      <c r="BO27" s="3"/>
      <c r="BP27" s="1"/>
      <c r="BQ27" s="145" t="s">
        <v>663</v>
      </c>
      <c r="BR27" s="146" t="s">
        <v>1000</v>
      </c>
      <c r="BS27" s="118"/>
      <c r="BT27" s="118"/>
      <c r="BU27" s="118"/>
      <c r="BV27" s="118"/>
      <c r="BW27" s="118"/>
      <c r="BX27" s="118" t="s">
        <v>1001</v>
      </c>
      <c r="BY27" s="118" t="s">
        <v>335</v>
      </c>
      <c r="BZ27" s="118"/>
      <c r="CA27" s="118"/>
      <c r="CB27" s="118"/>
      <c r="CC27" s="110"/>
      <c r="CD27" s="186"/>
      <c r="CE27" s="127"/>
      <c r="CF27" s="122"/>
      <c r="CG27" s="122"/>
      <c r="CH27" s="214"/>
      <c r="CI27" s="213"/>
      <c r="CJ27" s="125"/>
      <c r="CL27" s="175">
        <v>27</v>
      </c>
      <c r="CM27" s="188"/>
      <c r="CN27" s="189"/>
      <c r="CO27" s="190"/>
      <c r="CP27" s="191"/>
      <c r="CQ27" s="192"/>
      <c r="CR27" s="193"/>
      <c r="CS27" s="194"/>
      <c r="CT27" s="195"/>
      <c r="CU27" s="196"/>
      <c r="DF27" s="110"/>
      <c r="DH27" t="s">
        <v>844</v>
      </c>
      <c r="DI27" t="s">
        <v>727</v>
      </c>
      <c r="DJ27" s="131" t="s">
        <v>728</v>
      </c>
      <c r="DK27" t="s">
        <v>1002</v>
      </c>
      <c r="DL27" t="s">
        <v>609</v>
      </c>
      <c r="DM27" t="s">
        <v>610</v>
      </c>
      <c r="DN27" t="s">
        <v>1003</v>
      </c>
      <c r="DO27" t="s">
        <v>552</v>
      </c>
      <c r="DP27" t="s">
        <v>553</v>
      </c>
      <c r="DR27" t="s">
        <v>844</v>
      </c>
      <c r="DS27" t="s">
        <v>727</v>
      </c>
      <c r="DT27" s="131" t="s">
        <v>728</v>
      </c>
      <c r="DU27" t="s">
        <v>1002</v>
      </c>
      <c r="DV27" t="s">
        <v>609</v>
      </c>
      <c r="DW27" t="s">
        <v>610</v>
      </c>
      <c r="DX27" t="s">
        <v>1003</v>
      </c>
      <c r="DY27" t="s">
        <v>552</v>
      </c>
      <c r="DZ27" t="s">
        <v>553</v>
      </c>
      <c r="EA27" s="110"/>
      <c r="EC27" s="147" t="s">
        <v>1004</v>
      </c>
      <c r="ED27" s="5" t="s">
        <v>1005</v>
      </c>
      <c r="EE27" s="5" t="s">
        <v>968</v>
      </c>
      <c r="EF27" s="5" t="s">
        <v>969</v>
      </c>
      <c r="EG27" s="5" t="s">
        <v>970</v>
      </c>
      <c r="EH27" s="5">
        <v>1</v>
      </c>
      <c r="EI27" s="110"/>
      <c r="EK27" s="147" t="s">
        <v>1006</v>
      </c>
      <c r="EL27" s="5" t="s">
        <v>1007</v>
      </c>
      <c r="EM27" s="5" t="s">
        <v>900</v>
      </c>
      <c r="EN27" s="5">
        <v>2</v>
      </c>
      <c r="EP27" s="110"/>
      <c r="FI27" s="110"/>
      <c r="FJ27" s="197"/>
    </row>
    <row r="28" spans="1:166" ht="16.5" customHeight="1" x14ac:dyDescent="0.3">
      <c r="A28" s="134" t="s">
        <v>1008</v>
      </c>
      <c r="B28" s="134" t="s">
        <v>1009</v>
      </c>
      <c r="C28" s="204"/>
      <c r="D28" s="209"/>
      <c r="E28" s="206">
        <v>6</v>
      </c>
      <c r="F28" s="105"/>
      <c r="L28" s="138" t="s">
        <v>1010</v>
      </c>
      <c r="N28" s="138" t="s">
        <v>1011</v>
      </c>
      <c r="O28" s="110"/>
      <c r="Q28" t="s">
        <v>613</v>
      </c>
      <c r="R28" t="s">
        <v>1012</v>
      </c>
      <c r="S28" t="s">
        <v>1013</v>
      </c>
      <c r="T28" t="s">
        <v>1014</v>
      </c>
      <c r="U28" t="s">
        <v>1015</v>
      </c>
      <c r="V28" t="s">
        <v>1016</v>
      </c>
      <c r="W28" t="s">
        <v>1017</v>
      </c>
      <c r="X28">
        <v>46003</v>
      </c>
      <c r="Y28" t="s">
        <v>1018</v>
      </c>
      <c r="Z28" t="s">
        <v>1019</v>
      </c>
      <c r="AA28">
        <v>1980</v>
      </c>
      <c r="AB28">
        <v>24948</v>
      </c>
      <c r="AC28">
        <v>46013</v>
      </c>
      <c r="AD28">
        <v>46003</v>
      </c>
      <c r="AL28" s="110"/>
      <c r="AM28" s="280" t="s">
        <v>2938</v>
      </c>
      <c r="AN28" s="57" t="s">
        <v>2897</v>
      </c>
      <c r="AO28" s="57" t="b">
        <v>1</v>
      </c>
      <c r="AP28" s="57" t="b">
        <v>1</v>
      </c>
      <c r="AQ28" s="57">
        <v>12</v>
      </c>
      <c r="AR28" s="57">
        <v>11</v>
      </c>
      <c r="AS28" s="57">
        <v>13</v>
      </c>
      <c r="AT28" s="271"/>
      <c r="AU28" s="1"/>
      <c r="AV28" s="1"/>
      <c r="AW28" s="1"/>
      <c r="AX28" s="1"/>
      <c r="AY28" s="4"/>
      <c r="BA28" s="4"/>
      <c r="BB28" s="3">
        <v>28</v>
      </c>
      <c r="BC28" s="1"/>
      <c r="BD28" s="112" t="s">
        <v>1020</v>
      </c>
      <c r="BE28" s="113" t="s">
        <v>1021</v>
      </c>
      <c r="BF28" s="107">
        <v>1958</v>
      </c>
      <c r="BG28" s="107">
        <v>23496</v>
      </c>
      <c r="BH28" s="143">
        <v>44909</v>
      </c>
      <c r="BI28" s="107" t="s">
        <v>385</v>
      </c>
      <c r="BJ28" s="108" t="s">
        <v>1022</v>
      </c>
      <c r="BK28" s="107" t="s">
        <v>456</v>
      </c>
      <c r="BL28" s="144">
        <v>1</v>
      </c>
      <c r="BM28" s="1"/>
      <c r="BN28" s="1"/>
      <c r="BO28" s="3"/>
      <c r="BP28" s="1"/>
      <c r="BQ28" s="145" t="s">
        <v>694</v>
      </c>
      <c r="BR28" s="146" t="s">
        <v>768</v>
      </c>
      <c r="BS28" s="118" t="s">
        <v>768</v>
      </c>
      <c r="BT28" s="118" t="s">
        <v>335</v>
      </c>
      <c r="BU28" s="118"/>
      <c r="BV28" s="118"/>
      <c r="BW28" s="118"/>
      <c r="BX28" s="118"/>
      <c r="BY28" s="118"/>
      <c r="BZ28" s="118"/>
      <c r="CA28" s="118"/>
      <c r="CB28" s="118"/>
      <c r="CC28" s="110"/>
      <c r="CD28" s="186"/>
      <c r="CE28" s="127"/>
      <c r="CF28" s="122"/>
      <c r="CG28" s="122"/>
      <c r="CH28" s="214"/>
      <c r="CI28" s="213"/>
      <c r="CJ28" s="125"/>
      <c r="CL28" s="175">
        <v>28</v>
      </c>
      <c r="CM28" s="188"/>
      <c r="CN28" s="189"/>
      <c r="CO28" s="190"/>
      <c r="CP28" s="191"/>
      <c r="CQ28" s="192"/>
      <c r="CR28" s="193"/>
      <c r="CS28" s="194"/>
      <c r="CT28" s="195"/>
      <c r="CU28" s="196"/>
      <c r="DF28" s="110"/>
      <c r="DH28" t="s">
        <v>1023</v>
      </c>
      <c r="DI28" t="s">
        <v>78</v>
      </c>
      <c r="DJ28" s="131" t="s">
        <v>751</v>
      </c>
      <c r="DK28" t="s">
        <v>1024</v>
      </c>
      <c r="DL28" t="s">
        <v>555</v>
      </c>
      <c r="DM28" t="s">
        <v>556</v>
      </c>
      <c r="DN28" t="s">
        <v>1025</v>
      </c>
      <c r="DO28" t="s">
        <v>73</v>
      </c>
      <c r="DP28" t="s">
        <v>487</v>
      </c>
      <c r="DR28" t="s">
        <v>1023</v>
      </c>
      <c r="DS28" t="s">
        <v>78</v>
      </c>
      <c r="DT28" s="131" t="s">
        <v>751</v>
      </c>
      <c r="DU28" t="s">
        <v>1024</v>
      </c>
      <c r="DV28" t="s">
        <v>555</v>
      </c>
      <c r="DW28" t="s">
        <v>556</v>
      </c>
      <c r="DX28" t="s">
        <v>1025</v>
      </c>
      <c r="DY28" t="s">
        <v>73</v>
      </c>
      <c r="DZ28" t="s">
        <v>487</v>
      </c>
      <c r="EA28" s="110"/>
      <c r="EC28" s="147" t="s">
        <v>1026</v>
      </c>
      <c r="ED28" s="5" t="s">
        <v>1026</v>
      </c>
      <c r="EE28" s="5" t="s">
        <v>989</v>
      </c>
      <c r="EF28" s="5" t="s">
        <v>1027</v>
      </c>
      <c r="EG28" s="5" t="s">
        <v>990</v>
      </c>
      <c r="EH28" s="5">
        <v>1</v>
      </c>
      <c r="EI28" s="110"/>
      <c r="EK28" s="147" t="s">
        <v>1028</v>
      </c>
      <c r="EL28" s="5" t="s">
        <v>1029</v>
      </c>
      <c r="EM28" s="5" t="s">
        <v>900</v>
      </c>
      <c r="EN28" s="5">
        <v>2</v>
      </c>
      <c r="EP28" s="110"/>
      <c r="FI28" s="110"/>
    </row>
    <row r="29" spans="1:166" ht="16.5" customHeight="1" x14ac:dyDescent="0.3">
      <c r="A29" s="134" t="s">
        <v>1030</v>
      </c>
      <c r="B29" s="132" t="s">
        <v>1031</v>
      </c>
      <c r="C29" s="204"/>
      <c r="D29" s="105" t="s">
        <v>563</v>
      </c>
      <c r="E29" s="105"/>
      <c r="F29" s="105"/>
      <c r="L29" s="138" t="s">
        <v>1032</v>
      </c>
      <c r="N29" s="138" t="s">
        <v>1033</v>
      </c>
      <c r="O29" s="110"/>
      <c r="Q29" t="s">
        <v>613</v>
      </c>
      <c r="R29" t="s">
        <v>1034</v>
      </c>
      <c r="S29" t="s">
        <v>1035</v>
      </c>
      <c r="T29" t="s">
        <v>1036</v>
      </c>
      <c r="U29" t="s">
        <v>1037</v>
      </c>
      <c r="V29" t="s">
        <v>861</v>
      </c>
      <c r="W29" t="s">
        <v>862</v>
      </c>
      <c r="X29">
        <v>46001</v>
      </c>
      <c r="Y29" t="s">
        <v>1038</v>
      </c>
      <c r="Z29" t="s">
        <v>1039</v>
      </c>
      <c r="AA29">
        <v>876</v>
      </c>
      <c r="AB29">
        <v>7692.4</v>
      </c>
      <c r="AC29">
        <v>46013</v>
      </c>
      <c r="AD29">
        <v>46003</v>
      </c>
      <c r="AL29" s="110"/>
      <c r="AM29" s="280" t="s">
        <v>2939</v>
      </c>
      <c r="AN29" s="57" t="s">
        <v>2897</v>
      </c>
      <c r="AO29" s="57" t="b">
        <v>1</v>
      </c>
      <c r="AP29" s="57" t="b">
        <v>0</v>
      </c>
      <c r="AQ29" s="57">
        <v>12</v>
      </c>
      <c r="AR29" s="57">
        <v>11</v>
      </c>
      <c r="AS29" s="57">
        <v>13</v>
      </c>
      <c r="AT29" s="271"/>
      <c r="AU29" s="1"/>
      <c r="AV29" s="1"/>
      <c r="AW29" s="1"/>
      <c r="AX29" s="1"/>
      <c r="AY29" s="4"/>
      <c r="BA29" s="4"/>
      <c r="BB29" s="3">
        <v>29</v>
      </c>
      <c r="BC29" s="1"/>
      <c r="BD29" s="112" t="s">
        <v>423</v>
      </c>
      <c r="BE29" s="113" t="s">
        <v>1040</v>
      </c>
      <c r="BF29" s="107">
        <v>1958</v>
      </c>
      <c r="BG29" s="107">
        <v>23496</v>
      </c>
      <c r="BH29" s="143">
        <v>44910</v>
      </c>
      <c r="BI29" s="107" t="s">
        <v>385</v>
      </c>
      <c r="BJ29" s="108" t="s">
        <v>743</v>
      </c>
      <c r="BK29" s="107" t="s">
        <v>456</v>
      </c>
      <c r="BL29" s="144">
        <v>1</v>
      </c>
      <c r="BM29" s="1"/>
      <c r="BN29" s="1"/>
      <c r="BO29" s="3"/>
      <c r="BP29" s="1"/>
      <c r="BQ29" s="118" t="s">
        <v>290</v>
      </c>
      <c r="BR29" s="146" t="s">
        <v>1001</v>
      </c>
      <c r="BS29" s="118" t="s">
        <v>1001</v>
      </c>
      <c r="BT29" s="118" t="s">
        <v>335</v>
      </c>
      <c r="BU29" s="118"/>
      <c r="BV29" s="118"/>
      <c r="BW29" s="118"/>
      <c r="BX29" s="118"/>
      <c r="BY29" s="118"/>
      <c r="BZ29" s="118"/>
      <c r="CA29" s="118"/>
      <c r="CB29" s="118"/>
      <c r="CC29" s="110"/>
      <c r="CD29" s="186"/>
      <c r="CE29" s="127"/>
      <c r="CF29" s="128"/>
      <c r="CG29" s="122"/>
      <c r="CH29" s="212"/>
      <c r="CI29" s="213"/>
      <c r="CJ29" s="125"/>
      <c r="CL29" s="175">
        <v>29</v>
      </c>
      <c r="CM29" s="188"/>
      <c r="CN29" s="189"/>
      <c r="CO29" s="190"/>
      <c r="CP29" s="191"/>
      <c r="CQ29" s="192"/>
      <c r="CR29" s="193"/>
      <c r="CS29" s="194"/>
      <c r="CT29" s="195"/>
      <c r="CU29" s="196"/>
      <c r="DF29" s="110"/>
      <c r="DH29" t="s">
        <v>1041</v>
      </c>
      <c r="DI29" t="s">
        <v>80</v>
      </c>
      <c r="DJ29" s="131" t="s">
        <v>776</v>
      </c>
      <c r="DK29" t="s">
        <v>1042</v>
      </c>
      <c r="DL29" t="s">
        <v>609</v>
      </c>
      <c r="DM29" t="s">
        <v>610</v>
      </c>
      <c r="DN29" t="s">
        <v>1043</v>
      </c>
      <c r="DO29" t="s">
        <v>76</v>
      </c>
      <c r="DP29" t="s">
        <v>506</v>
      </c>
      <c r="DR29" t="s">
        <v>1041</v>
      </c>
      <c r="DS29" t="s">
        <v>80</v>
      </c>
      <c r="DT29" s="131" t="s">
        <v>776</v>
      </c>
      <c r="DU29" t="s">
        <v>1042</v>
      </c>
      <c r="DV29" t="s">
        <v>609</v>
      </c>
      <c r="DW29" t="s">
        <v>610</v>
      </c>
      <c r="DX29" t="s">
        <v>1043</v>
      </c>
      <c r="DY29" t="s">
        <v>76</v>
      </c>
      <c r="DZ29" t="s">
        <v>506</v>
      </c>
      <c r="EA29" s="110"/>
      <c r="EC29" s="147" t="s">
        <v>1044</v>
      </c>
      <c r="ED29" s="5" t="s">
        <v>1045</v>
      </c>
      <c r="EE29" s="5" t="s">
        <v>989</v>
      </c>
      <c r="EF29" s="5" t="s">
        <v>1027</v>
      </c>
      <c r="EG29" s="5" t="s">
        <v>990</v>
      </c>
      <c r="EH29" s="5">
        <v>1</v>
      </c>
      <c r="EI29" s="110"/>
      <c r="EK29" s="147" t="s">
        <v>1046</v>
      </c>
      <c r="EL29" s="5" t="s">
        <v>1047</v>
      </c>
      <c r="EM29" s="5" t="s">
        <v>900</v>
      </c>
      <c r="EN29" s="5">
        <v>2</v>
      </c>
      <c r="EP29" s="110"/>
      <c r="FI29" s="110"/>
      <c r="FJ29" s="197"/>
    </row>
    <row r="30" spans="1:166" ht="16.5" customHeight="1" x14ac:dyDescent="0.3">
      <c r="A30" s="134" t="s">
        <v>1048</v>
      </c>
      <c r="B30" s="134" t="s">
        <v>1049</v>
      </c>
      <c r="C30" s="204"/>
      <c r="D30" s="205" t="s">
        <v>1050</v>
      </c>
      <c r="E30" s="206" t="s">
        <v>69</v>
      </c>
      <c r="F30" s="105"/>
      <c r="L30" s="138" t="s">
        <v>1051</v>
      </c>
      <c r="N30" s="138" t="s">
        <v>1052</v>
      </c>
      <c r="O30" s="110"/>
      <c r="Q30" t="s">
        <v>613</v>
      </c>
      <c r="R30" t="s">
        <v>1053</v>
      </c>
      <c r="S30" t="s">
        <v>1054</v>
      </c>
      <c r="T30" t="s">
        <v>1055</v>
      </c>
      <c r="U30" t="s">
        <v>1056</v>
      </c>
      <c r="V30" t="s">
        <v>1057</v>
      </c>
      <c r="W30" t="s">
        <v>1058</v>
      </c>
      <c r="X30">
        <v>46003</v>
      </c>
      <c r="Y30" t="s">
        <v>1059</v>
      </c>
      <c r="Z30" t="s">
        <v>1060</v>
      </c>
      <c r="AA30">
        <v>751</v>
      </c>
      <c r="AB30">
        <v>7831.2</v>
      </c>
      <c r="AC30">
        <v>46013</v>
      </c>
      <c r="AD30">
        <v>46003</v>
      </c>
      <c r="AL30" s="110"/>
      <c r="AM30" s="280" t="s">
        <v>2940</v>
      </c>
      <c r="AN30" s="57" t="s">
        <v>2898</v>
      </c>
      <c r="AO30" s="57" t="b">
        <v>1</v>
      </c>
      <c r="AP30" s="57" t="b">
        <v>1</v>
      </c>
      <c r="AQ30" s="57">
        <v>9</v>
      </c>
      <c r="AR30" s="57">
        <v>11</v>
      </c>
      <c r="AS30" s="57">
        <v>10</v>
      </c>
      <c r="AT30" s="271"/>
      <c r="AU30" s="1"/>
      <c r="AV30" s="1"/>
      <c r="AW30" s="1"/>
      <c r="AX30" s="1"/>
      <c r="AY30" s="4"/>
      <c r="BA30" s="4"/>
      <c r="BB30" s="3">
        <v>30</v>
      </c>
      <c r="BC30" s="1"/>
      <c r="BD30" s="112" t="s">
        <v>632</v>
      </c>
      <c r="BE30" s="113" t="s">
        <v>1061</v>
      </c>
      <c r="BF30" s="107">
        <v>1980</v>
      </c>
      <c r="BG30" s="107">
        <v>23760</v>
      </c>
      <c r="BH30" s="143">
        <v>44910</v>
      </c>
      <c r="BI30" s="107" t="s">
        <v>385</v>
      </c>
      <c r="BJ30" s="108" t="s">
        <v>962</v>
      </c>
      <c r="BK30" s="107" t="s">
        <v>456</v>
      </c>
      <c r="BL30" s="144">
        <v>1</v>
      </c>
      <c r="BM30" s="1"/>
      <c r="BN30" s="1"/>
      <c r="BO30" s="3"/>
      <c r="BP30" s="1"/>
      <c r="BQ30" s="118" t="s">
        <v>293</v>
      </c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0"/>
      <c r="CD30" s="186"/>
      <c r="CE30" s="127"/>
      <c r="CF30" s="122"/>
      <c r="CG30" s="122"/>
      <c r="CH30" s="214"/>
      <c r="CI30" s="213"/>
      <c r="CJ30" s="125"/>
      <c r="CL30" s="175">
        <v>30</v>
      </c>
      <c r="DF30" s="110"/>
      <c r="DH30" t="s">
        <v>1062</v>
      </c>
      <c r="DI30" t="s">
        <v>1063</v>
      </c>
      <c r="DJ30" s="131" t="s">
        <v>1064</v>
      </c>
      <c r="DK30" t="s">
        <v>1065</v>
      </c>
      <c r="DL30" t="s">
        <v>530</v>
      </c>
      <c r="DM30" s="203" t="s">
        <v>531</v>
      </c>
      <c r="DN30" t="s">
        <v>1066</v>
      </c>
      <c r="DO30" t="s">
        <v>530</v>
      </c>
      <c r="DP30" s="203" t="s">
        <v>531</v>
      </c>
      <c r="DR30" t="s">
        <v>1062</v>
      </c>
      <c r="DS30" t="s">
        <v>1063</v>
      </c>
      <c r="DT30" s="131" t="s">
        <v>1064</v>
      </c>
      <c r="DU30" t="s">
        <v>1065</v>
      </c>
      <c r="DV30" t="s">
        <v>530</v>
      </c>
      <c r="DW30" s="203" t="s">
        <v>531</v>
      </c>
      <c r="DX30" t="s">
        <v>1066</v>
      </c>
      <c r="DY30" t="s">
        <v>530</v>
      </c>
      <c r="DZ30" s="203" t="s">
        <v>531</v>
      </c>
      <c r="EA30" s="110"/>
      <c r="EC30" s="147" t="s">
        <v>1067</v>
      </c>
      <c r="ED30" s="5" t="s">
        <v>1067</v>
      </c>
      <c r="EE30" s="5" t="s">
        <v>1068</v>
      </c>
      <c r="EF30" s="5" t="s">
        <v>1069</v>
      </c>
      <c r="EG30" s="5" t="s">
        <v>1069</v>
      </c>
      <c r="EH30" s="5">
        <v>1</v>
      </c>
      <c r="EI30" s="110"/>
      <c r="EK30" s="138" t="s">
        <v>1070</v>
      </c>
      <c r="EL30" s="5" t="s">
        <v>1071</v>
      </c>
      <c r="EM30" s="5" t="s">
        <v>1072</v>
      </c>
      <c r="EN30" s="5">
        <v>2</v>
      </c>
      <c r="EP30" s="110"/>
      <c r="FI30" s="110"/>
    </row>
    <row r="31" spans="1:166" ht="16.5" customHeight="1" x14ac:dyDescent="0.3">
      <c r="A31" s="134" t="s">
        <v>1073</v>
      </c>
      <c r="B31" s="134" t="s">
        <v>1074</v>
      </c>
      <c r="C31" s="204"/>
      <c r="D31" s="209" t="s">
        <v>1075</v>
      </c>
      <c r="E31" s="206">
        <v>1</v>
      </c>
      <c r="F31" s="105"/>
      <c r="L31" s="138" t="s">
        <v>1076</v>
      </c>
      <c r="N31" s="138" t="s">
        <v>1077</v>
      </c>
      <c r="O31" s="110"/>
      <c r="Q31" t="s">
        <v>613</v>
      </c>
      <c r="R31" t="s">
        <v>1078</v>
      </c>
      <c r="S31" t="s">
        <v>1079</v>
      </c>
      <c r="T31" t="s">
        <v>1080</v>
      </c>
      <c r="U31" t="s">
        <v>1081</v>
      </c>
      <c r="V31" t="s">
        <v>1082</v>
      </c>
      <c r="W31" t="s">
        <v>1083</v>
      </c>
      <c r="X31">
        <v>46000</v>
      </c>
      <c r="Y31" t="s">
        <v>1084</v>
      </c>
      <c r="Z31" t="s">
        <v>1085</v>
      </c>
      <c r="AA31">
        <v>1105</v>
      </c>
      <c r="AB31">
        <v>22110</v>
      </c>
      <c r="AC31">
        <v>46013</v>
      </c>
      <c r="AD31">
        <v>46003</v>
      </c>
      <c r="AL31" s="110"/>
      <c r="AM31" s="280" t="s">
        <v>2941</v>
      </c>
      <c r="AN31" s="57" t="s">
        <v>2898</v>
      </c>
      <c r="AO31" s="57" t="b">
        <v>1</v>
      </c>
      <c r="AP31" s="57" t="b">
        <v>0</v>
      </c>
      <c r="AQ31" s="57">
        <v>9</v>
      </c>
      <c r="AR31" s="57">
        <v>11</v>
      </c>
      <c r="AS31" s="57">
        <v>10</v>
      </c>
      <c r="AT31" s="271"/>
      <c r="AU31" s="1"/>
      <c r="AV31" s="1"/>
      <c r="AW31" s="1"/>
      <c r="AX31" s="1"/>
      <c r="AY31" s="4"/>
      <c r="BA31" s="4"/>
      <c r="BB31" s="3">
        <v>31</v>
      </c>
      <c r="BC31" s="1"/>
      <c r="BD31" s="112" t="s">
        <v>1086</v>
      </c>
      <c r="BE31" s="113" t="s">
        <v>1087</v>
      </c>
      <c r="BF31" s="107">
        <v>1958</v>
      </c>
      <c r="BG31" s="107">
        <v>23496</v>
      </c>
      <c r="BH31" s="143">
        <v>44916</v>
      </c>
      <c r="BI31" s="107" t="s">
        <v>385</v>
      </c>
      <c r="BJ31" s="108" t="s">
        <v>1022</v>
      </c>
      <c r="BK31" s="107" t="s">
        <v>456</v>
      </c>
      <c r="BL31" s="144">
        <v>1</v>
      </c>
      <c r="BM31" s="1"/>
      <c r="BN31" s="1"/>
      <c r="BO31" s="3"/>
      <c r="BP31" s="1"/>
      <c r="BQ31" s="118" t="s">
        <v>294</v>
      </c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0"/>
      <c r="CD31" s="186"/>
      <c r="CE31" s="127"/>
      <c r="CF31" s="122"/>
      <c r="CG31" s="122"/>
      <c r="CH31" s="214"/>
      <c r="CI31" s="213"/>
      <c r="CJ31" s="125"/>
      <c r="CL31" s="175">
        <v>31</v>
      </c>
      <c r="DF31" s="110"/>
      <c r="DH31" t="s">
        <v>1088</v>
      </c>
      <c r="DI31" t="s">
        <v>1089</v>
      </c>
      <c r="DJ31" s="131" t="s">
        <v>1090</v>
      </c>
      <c r="DK31" t="s">
        <v>1091</v>
      </c>
      <c r="DL31" t="s">
        <v>577</v>
      </c>
      <c r="DM31" s="203" t="s">
        <v>578</v>
      </c>
      <c r="DN31" t="s">
        <v>1092</v>
      </c>
      <c r="DO31" t="s">
        <v>555</v>
      </c>
      <c r="DP31" t="s">
        <v>556</v>
      </c>
      <c r="DR31" t="s">
        <v>1088</v>
      </c>
      <c r="DS31" t="s">
        <v>1089</v>
      </c>
      <c r="DT31" s="131" t="s">
        <v>1090</v>
      </c>
      <c r="DU31" t="s">
        <v>1091</v>
      </c>
      <c r="DV31" t="s">
        <v>577</v>
      </c>
      <c r="DW31" s="203" t="s">
        <v>578</v>
      </c>
      <c r="DX31" t="s">
        <v>1092</v>
      </c>
      <c r="DY31" t="s">
        <v>555</v>
      </c>
      <c r="DZ31" t="s">
        <v>556</v>
      </c>
      <c r="EA31" s="110"/>
      <c r="EC31" s="147" t="s">
        <v>1093</v>
      </c>
      <c r="ED31" s="5" t="s">
        <v>1094</v>
      </c>
      <c r="EE31" s="5" t="s">
        <v>1095</v>
      </c>
      <c r="EF31" s="5" t="s">
        <v>1096</v>
      </c>
      <c r="EG31" s="5" t="s">
        <v>1096</v>
      </c>
      <c r="EH31" s="5">
        <v>1</v>
      </c>
      <c r="EI31" s="110"/>
      <c r="EK31" s="215" t="s">
        <v>1070</v>
      </c>
      <c r="EL31" s="5" t="s">
        <v>1097</v>
      </c>
      <c r="EM31" s="5" t="s">
        <v>1098</v>
      </c>
      <c r="EN31" s="5">
        <v>2</v>
      </c>
      <c r="EP31" s="110"/>
      <c r="FI31" s="110"/>
      <c r="FJ31" s="197"/>
    </row>
    <row r="32" spans="1:166" ht="16.5" customHeight="1" x14ac:dyDescent="0.3">
      <c r="A32" s="134" t="s">
        <v>1099</v>
      </c>
      <c r="B32" s="134" t="s">
        <v>1100</v>
      </c>
      <c r="C32" s="204"/>
      <c r="D32" s="209" t="s">
        <v>1101</v>
      </c>
      <c r="E32" s="206">
        <v>2</v>
      </c>
      <c r="F32" s="105"/>
      <c r="L32" s="138" t="s">
        <v>1102</v>
      </c>
      <c r="N32" s="138" t="s">
        <v>1103</v>
      </c>
      <c r="O32" s="110"/>
      <c r="Q32" t="s">
        <v>613</v>
      </c>
      <c r="R32" t="s">
        <v>1104</v>
      </c>
      <c r="S32" t="s">
        <v>1105</v>
      </c>
      <c r="T32" t="s">
        <v>1106</v>
      </c>
      <c r="U32" t="s">
        <v>1107</v>
      </c>
      <c r="V32" t="s">
        <v>1108</v>
      </c>
      <c r="W32" t="s">
        <v>1109</v>
      </c>
      <c r="X32">
        <v>46003</v>
      </c>
      <c r="Y32" t="s">
        <v>1110</v>
      </c>
      <c r="Z32" t="s">
        <v>1111</v>
      </c>
      <c r="AA32">
        <v>1980</v>
      </c>
      <c r="AB32">
        <v>24948</v>
      </c>
      <c r="AC32">
        <v>46013</v>
      </c>
      <c r="AD32">
        <v>46003</v>
      </c>
      <c r="AL32" s="110"/>
      <c r="AM32" s="280" t="s">
        <v>2942</v>
      </c>
      <c r="AN32" s="57" t="s">
        <v>2898</v>
      </c>
      <c r="AO32" s="57" t="b">
        <v>0</v>
      </c>
      <c r="AP32" s="57" t="b">
        <v>0</v>
      </c>
      <c r="AQ32" s="57">
        <v>9</v>
      </c>
      <c r="AR32" s="57">
        <v>11</v>
      </c>
      <c r="AS32" s="57">
        <v>10</v>
      </c>
      <c r="AT32" s="271"/>
      <c r="AU32" s="1"/>
      <c r="AV32" s="1"/>
      <c r="AW32" s="1"/>
      <c r="AX32" s="1"/>
      <c r="AY32" s="4"/>
      <c r="BA32" s="4"/>
      <c r="BB32" s="3">
        <v>32</v>
      </c>
      <c r="BC32" s="1"/>
      <c r="BD32" s="112" t="s">
        <v>632</v>
      </c>
      <c r="BE32" s="113" t="s">
        <v>1112</v>
      </c>
      <c r="BF32" s="107">
        <v>1958</v>
      </c>
      <c r="BG32" s="107">
        <v>23496</v>
      </c>
      <c r="BH32" s="143">
        <v>44917</v>
      </c>
      <c r="BI32" s="107" t="s">
        <v>385</v>
      </c>
      <c r="BJ32" s="108" t="s">
        <v>743</v>
      </c>
      <c r="BK32" s="107" t="s">
        <v>456</v>
      </c>
      <c r="BL32" s="144">
        <v>1</v>
      </c>
      <c r="BM32" s="1"/>
      <c r="BN32" s="1"/>
      <c r="BO32" s="1"/>
      <c r="BP32" s="1"/>
      <c r="BQ32" s="118" t="s">
        <v>1000</v>
      </c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0"/>
      <c r="CD32" s="186"/>
      <c r="CE32" s="127"/>
      <c r="CF32" s="122"/>
      <c r="CG32" s="122"/>
      <c r="CH32" s="214"/>
      <c r="CI32" s="213"/>
      <c r="CJ32" s="125"/>
      <c r="CL32" s="175">
        <v>32</v>
      </c>
      <c r="CM32" s="188"/>
      <c r="CN32" s="189"/>
      <c r="CO32" s="190"/>
      <c r="CP32" s="191"/>
      <c r="CQ32" s="192"/>
      <c r="CR32" s="193"/>
      <c r="CS32" s="194"/>
      <c r="CT32" s="195"/>
      <c r="CU32" s="196"/>
      <c r="DF32" s="110"/>
      <c r="DH32" t="s">
        <v>1113</v>
      </c>
      <c r="DI32" t="s">
        <v>1114</v>
      </c>
      <c r="DJ32" s="131" t="s">
        <v>1115</v>
      </c>
      <c r="DK32" t="s">
        <v>1116</v>
      </c>
      <c r="DL32" t="s">
        <v>530</v>
      </c>
      <c r="DM32" s="203" t="s">
        <v>531</v>
      </c>
      <c r="DN32" t="s">
        <v>1117</v>
      </c>
      <c r="DO32" t="s">
        <v>577</v>
      </c>
      <c r="DP32" s="203" t="s">
        <v>578</v>
      </c>
      <c r="DR32" t="s">
        <v>1113</v>
      </c>
      <c r="DS32" t="s">
        <v>1114</v>
      </c>
      <c r="DT32" s="131" t="s">
        <v>1115</v>
      </c>
      <c r="DU32" t="s">
        <v>1116</v>
      </c>
      <c r="DV32" t="s">
        <v>530</v>
      </c>
      <c r="DW32" s="203" t="s">
        <v>531</v>
      </c>
      <c r="DX32" t="s">
        <v>1117</v>
      </c>
      <c r="DY32" t="s">
        <v>577</v>
      </c>
      <c r="DZ32" s="203" t="s">
        <v>578</v>
      </c>
      <c r="EA32" s="110"/>
      <c r="EC32" s="147" t="s">
        <v>1118</v>
      </c>
      <c r="ED32" s="5" t="s">
        <v>1119</v>
      </c>
      <c r="EE32" s="5" t="s">
        <v>1008</v>
      </c>
      <c r="EF32" s="5" t="s">
        <v>1120</v>
      </c>
      <c r="EG32" s="5" t="s">
        <v>1009</v>
      </c>
      <c r="EH32" s="5">
        <v>1</v>
      </c>
      <c r="EI32" s="110"/>
      <c r="EK32" s="147" t="s">
        <v>1121</v>
      </c>
      <c r="EL32" s="5" t="s">
        <v>1122</v>
      </c>
      <c r="EM32" s="5" t="s">
        <v>1123</v>
      </c>
      <c r="EN32" s="5">
        <v>2</v>
      </c>
      <c r="EP32" s="110"/>
      <c r="FI32" s="110"/>
    </row>
    <row r="33" spans="1:165" ht="16.5" customHeight="1" x14ac:dyDescent="0.3">
      <c r="A33" s="134" t="s">
        <v>1124</v>
      </c>
      <c r="B33" s="134" t="s">
        <v>926</v>
      </c>
      <c r="C33" s="204"/>
      <c r="D33" s="209" t="s">
        <v>1125</v>
      </c>
      <c r="E33" s="206">
        <v>3</v>
      </c>
      <c r="F33" s="105"/>
      <c r="L33" s="138" t="s">
        <v>1126</v>
      </c>
      <c r="N33" s="138" t="s">
        <v>1127</v>
      </c>
      <c r="O33" s="110"/>
      <c r="Q33" t="s">
        <v>613</v>
      </c>
      <c r="R33" t="s">
        <v>1128</v>
      </c>
      <c r="S33" t="s">
        <v>1129</v>
      </c>
      <c r="T33" t="s">
        <v>1130</v>
      </c>
      <c r="U33" t="s">
        <v>683</v>
      </c>
      <c r="V33" t="s">
        <v>1131</v>
      </c>
      <c r="W33" t="s">
        <v>1132</v>
      </c>
      <c r="X33">
        <v>46003</v>
      </c>
      <c r="Y33" t="s">
        <v>1133</v>
      </c>
      <c r="Z33" t="s">
        <v>1134</v>
      </c>
      <c r="AA33">
        <v>1916</v>
      </c>
      <c r="AB33">
        <v>24509.47</v>
      </c>
      <c r="AC33">
        <v>46013</v>
      </c>
      <c r="AD33">
        <v>46003</v>
      </c>
      <c r="AL33" s="110"/>
      <c r="AM33" s="272" t="s">
        <v>2877</v>
      </c>
      <c r="AN33" s="273"/>
      <c r="AO33" s="273"/>
      <c r="AP33" s="1"/>
      <c r="AQ33" s="1"/>
      <c r="AR33" s="1"/>
      <c r="AS33" s="1"/>
      <c r="AT33" s="1"/>
      <c r="AU33" s="1"/>
      <c r="AV33" s="1"/>
      <c r="AW33" s="1"/>
      <c r="AX33" s="1"/>
      <c r="AY33" s="4"/>
      <c r="BA33" s="4"/>
      <c r="BB33" s="3">
        <v>33</v>
      </c>
      <c r="BC33" s="1"/>
      <c r="BD33" s="112" t="s">
        <v>500</v>
      </c>
      <c r="BE33" s="113" t="s">
        <v>1135</v>
      </c>
      <c r="BF33" s="107">
        <v>1925</v>
      </c>
      <c r="BG33" s="107">
        <v>23100</v>
      </c>
      <c r="BH33" s="143">
        <v>44918</v>
      </c>
      <c r="BI33" s="107" t="s">
        <v>385</v>
      </c>
      <c r="BJ33" s="108" t="s">
        <v>913</v>
      </c>
      <c r="BK33" s="107" t="s">
        <v>692</v>
      </c>
      <c r="BL33" s="144">
        <v>1</v>
      </c>
      <c r="BM33" s="1"/>
      <c r="BN33" s="1"/>
      <c r="BO33" s="1"/>
      <c r="BP33" s="1"/>
      <c r="BQ33" s="208" t="s">
        <v>1001</v>
      </c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0"/>
      <c r="CD33" s="186"/>
      <c r="CE33" s="127"/>
      <c r="CF33" s="122"/>
      <c r="CG33" s="122"/>
      <c r="CH33" s="214"/>
      <c r="CI33" s="213"/>
      <c r="CJ33" s="125"/>
      <c r="CL33" s="175">
        <v>33</v>
      </c>
      <c r="CM33" s="188"/>
      <c r="CN33" s="189"/>
      <c r="CO33" s="190"/>
      <c r="CP33" s="191"/>
      <c r="CQ33" s="192"/>
      <c r="CR33" s="193"/>
      <c r="CS33" s="194"/>
      <c r="CT33" s="195"/>
      <c r="CU33" s="196"/>
      <c r="DF33" s="110"/>
      <c r="DH33" t="s">
        <v>1136</v>
      </c>
      <c r="DI33" t="s">
        <v>1137</v>
      </c>
      <c r="DJ33" s="131" t="s">
        <v>1138</v>
      </c>
      <c r="DK33" t="s">
        <v>1139</v>
      </c>
      <c r="DL33" t="s">
        <v>577</v>
      </c>
      <c r="DM33" s="203" t="s">
        <v>578</v>
      </c>
      <c r="DN33" t="s">
        <v>1140</v>
      </c>
      <c r="DO33" t="s">
        <v>609</v>
      </c>
      <c r="DP33" t="s">
        <v>610</v>
      </c>
      <c r="DR33" t="s">
        <v>1136</v>
      </c>
      <c r="DS33" t="s">
        <v>1137</v>
      </c>
      <c r="DT33" s="131" t="s">
        <v>1138</v>
      </c>
      <c r="DU33" t="s">
        <v>1139</v>
      </c>
      <c r="DV33" t="s">
        <v>577</v>
      </c>
      <c r="DW33" s="203" t="s">
        <v>578</v>
      </c>
      <c r="DX33" t="s">
        <v>1140</v>
      </c>
      <c r="DY33" t="s">
        <v>609</v>
      </c>
      <c r="DZ33" t="s">
        <v>610</v>
      </c>
      <c r="EA33" s="110"/>
      <c r="EC33" s="147" t="s">
        <v>1141</v>
      </c>
      <c r="ED33" s="5" t="s">
        <v>1142</v>
      </c>
      <c r="EE33" s="5" t="s">
        <v>1008</v>
      </c>
      <c r="EF33" s="5" t="s">
        <v>1120</v>
      </c>
      <c r="EG33" s="5" t="s">
        <v>1009</v>
      </c>
      <c r="EH33" s="5">
        <v>1</v>
      </c>
      <c r="EI33" s="110"/>
      <c r="EK33" s="147" t="s">
        <v>1143</v>
      </c>
      <c r="EL33" s="5" t="s">
        <v>1144</v>
      </c>
      <c r="EM33" s="5" t="s">
        <v>1145</v>
      </c>
      <c r="EN33" s="5">
        <v>2</v>
      </c>
      <c r="EP33" s="110"/>
      <c r="FI33" s="110"/>
    </row>
    <row r="34" spans="1:165" ht="16.5" customHeight="1" thickBot="1" x14ac:dyDescent="0.35">
      <c r="A34" s="134" t="s">
        <v>1146</v>
      </c>
      <c r="B34" s="134" t="s">
        <v>1147</v>
      </c>
      <c r="C34" s="204"/>
      <c r="D34" s="209" t="s">
        <v>1148</v>
      </c>
      <c r="E34" s="206">
        <v>4</v>
      </c>
      <c r="F34" s="105"/>
      <c r="L34" s="138"/>
      <c r="N34" s="138" t="s">
        <v>1149</v>
      </c>
      <c r="O34" s="110"/>
      <c r="Q34" t="s">
        <v>613</v>
      </c>
      <c r="R34" t="s">
        <v>1150</v>
      </c>
      <c r="S34" t="s">
        <v>1151</v>
      </c>
      <c r="T34" t="s">
        <v>1152</v>
      </c>
      <c r="U34" t="s">
        <v>885</v>
      </c>
      <c r="V34" t="s">
        <v>1108</v>
      </c>
      <c r="W34" t="s">
        <v>1109</v>
      </c>
      <c r="X34">
        <v>46003</v>
      </c>
      <c r="Y34" t="s">
        <v>1153</v>
      </c>
      <c r="Z34" t="s">
        <v>1154</v>
      </c>
      <c r="AA34">
        <v>1960</v>
      </c>
      <c r="AB34">
        <v>24500</v>
      </c>
      <c r="AC34">
        <v>46013</v>
      </c>
      <c r="AD34">
        <v>46003</v>
      </c>
      <c r="AK34" s="166"/>
      <c r="AL34" s="282"/>
      <c r="AM34" s="283" t="s">
        <v>2878</v>
      </c>
      <c r="AN34" s="266"/>
      <c r="AO34" s="266"/>
      <c r="AP34" s="266"/>
      <c r="AQ34" s="266"/>
      <c r="AR34" s="266"/>
      <c r="AS34" s="266"/>
      <c r="AT34" s="266"/>
      <c r="AU34" s="266"/>
      <c r="AV34" s="266"/>
      <c r="AW34" s="284"/>
      <c r="AX34" s="284"/>
      <c r="AY34" s="284"/>
      <c r="AZ34" s="166"/>
      <c r="BA34" s="284"/>
      <c r="BB34" s="3">
        <v>34</v>
      </c>
      <c r="BC34" s="1"/>
      <c r="BD34" s="112" t="s">
        <v>500</v>
      </c>
      <c r="BE34" s="113" t="s">
        <v>1155</v>
      </c>
      <c r="BF34" s="107">
        <v>2300</v>
      </c>
      <c r="BG34" s="107">
        <v>23000</v>
      </c>
      <c r="BH34" s="143">
        <v>44924</v>
      </c>
      <c r="BI34" s="107" t="s">
        <v>385</v>
      </c>
      <c r="BJ34" s="108" t="s">
        <v>502</v>
      </c>
      <c r="BK34" s="107" t="s">
        <v>524</v>
      </c>
      <c r="BL34" s="144">
        <v>1</v>
      </c>
      <c r="BM34" s="1"/>
      <c r="BN34" s="1"/>
      <c r="BO34" s="1"/>
      <c r="BP34" s="1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0"/>
      <c r="CD34" s="186"/>
      <c r="CE34" s="127"/>
      <c r="CF34" s="122"/>
      <c r="CG34" s="122"/>
      <c r="CH34" s="214"/>
      <c r="CI34" s="213"/>
      <c r="CJ34" s="125"/>
      <c r="CL34" s="175">
        <v>34</v>
      </c>
      <c r="CM34" s="188"/>
      <c r="CN34" s="189"/>
      <c r="CO34" s="190"/>
      <c r="CP34" s="191"/>
      <c r="CQ34" s="192"/>
      <c r="CR34" s="193"/>
      <c r="CS34" s="194"/>
      <c r="CT34" s="195"/>
      <c r="CU34" s="196"/>
      <c r="DF34" s="110"/>
      <c r="DH34" t="s">
        <v>1156</v>
      </c>
      <c r="DI34" t="s">
        <v>1157</v>
      </c>
      <c r="DJ34" s="131" t="s">
        <v>1158</v>
      </c>
      <c r="DK34" t="s">
        <v>699</v>
      </c>
      <c r="DL34" t="s">
        <v>1159</v>
      </c>
      <c r="DM34">
        <v>2023</v>
      </c>
      <c r="DN34" t="s">
        <v>1160</v>
      </c>
      <c r="DO34" t="s">
        <v>642</v>
      </c>
      <c r="DP34" t="s">
        <v>643</v>
      </c>
      <c r="DR34" t="s">
        <v>1156</v>
      </c>
      <c r="DS34" t="s">
        <v>1157</v>
      </c>
      <c r="DT34" s="131" t="s">
        <v>1158</v>
      </c>
      <c r="DU34" t="s">
        <v>699</v>
      </c>
      <c r="DV34" t="s">
        <v>1159</v>
      </c>
      <c r="DW34">
        <v>2023</v>
      </c>
      <c r="DX34" t="s">
        <v>1160</v>
      </c>
      <c r="DY34" t="s">
        <v>642</v>
      </c>
      <c r="DZ34" t="s">
        <v>643</v>
      </c>
      <c r="EA34" s="110"/>
      <c r="EC34" s="147" t="s">
        <v>1161</v>
      </c>
      <c r="ED34" s="5" t="s">
        <v>1162</v>
      </c>
      <c r="EE34" s="5" t="s">
        <v>1073</v>
      </c>
      <c r="EF34" s="5" t="s">
        <v>1163</v>
      </c>
      <c r="EG34" s="5" t="s">
        <v>1074</v>
      </c>
      <c r="EH34" s="5">
        <v>1</v>
      </c>
      <c r="EI34" s="110"/>
      <c r="EK34" s="147" t="s">
        <v>1164</v>
      </c>
      <c r="EL34" s="5" t="s">
        <v>1165</v>
      </c>
      <c r="EM34" s="5" t="s">
        <v>1145</v>
      </c>
      <c r="EN34" s="5">
        <v>2</v>
      </c>
      <c r="EP34" s="110"/>
      <c r="FI34" s="110"/>
    </row>
    <row r="35" spans="1:165" ht="16.5" customHeight="1" x14ac:dyDescent="0.3">
      <c r="A35" s="134" t="s">
        <v>1166</v>
      </c>
      <c r="B35" s="134" t="s">
        <v>1147</v>
      </c>
      <c r="C35" s="204"/>
      <c r="D35" s="105" t="s">
        <v>563</v>
      </c>
      <c r="E35" s="105"/>
      <c r="F35" s="105"/>
      <c r="L35" s="138" t="s">
        <v>1167</v>
      </c>
      <c r="N35" s="138" t="s">
        <v>1168</v>
      </c>
      <c r="O35" s="110"/>
      <c r="AL35" s="110"/>
      <c r="AM35" s="11" t="s">
        <v>23</v>
      </c>
      <c r="AN35" s="12" t="s">
        <v>24</v>
      </c>
      <c r="AO35" s="12" t="s">
        <v>25</v>
      </c>
      <c r="AP35" s="13" t="s">
        <v>26</v>
      </c>
      <c r="AQ35" s="13" t="s">
        <v>27</v>
      </c>
      <c r="AR35" s="13" t="s">
        <v>28</v>
      </c>
      <c r="AS35" s="13" t="s">
        <v>29</v>
      </c>
      <c r="AT35" s="13" t="s">
        <v>30</v>
      </c>
      <c r="AU35" s="13" t="s">
        <v>31</v>
      </c>
      <c r="AV35" s="14" t="s">
        <v>32</v>
      </c>
      <c r="AW35" s="14" t="s">
        <v>33</v>
      </c>
      <c r="AX35" s="287" t="s">
        <v>2937</v>
      </c>
      <c r="AY35" s="15" t="s">
        <v>34</v>
      </c>
      <c r="AZ35" s="15" t="s">
        <v>35</v>
      </c>
      <c r="BA35" s="16" t="s">
        <v>23</v>
      </c>
      <c r="BB35" s="3">
        <v>35</v>
      </c>
      <c r="BC35" s="1"/>
      <c r="BD35" s="112" t="s">
        <v>453</v>
      </c>
      <c r="BE35" s="113" t="s">
        <v>1169</v>
      </c>
      <c r="BF35" s="107">
        <v>1960</v>
      </c>
      <c r="BG35" s="107">
        <v>23520</v>
      </c>
      <c r="BH35" s="143">
        <v>44925</v>
      </c>
      <c r="BI35" s="107" t="s">
        <v>385</v>
      </c>
      <c r="BJ35" s="108" t="s">
        <v>718</v>
      </c>
      <c r="BK35" s="107" t="s">
        <v>456</v>
      </c>
      <c r="BL35" s="144">
        <v>1</v>
      </c>
      <c r="BM35" s="1"/>
      <c r="BN35" s="1"/>
      <c r="BO35" s="1"/>
      <c r="BP35" s="1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216"/>
      <c r="CD35" s="186"/>
      <c r="CE35" s="127"/>
      <c r="CF35" s="122"/>
      <c r="CG35" s="122"/>
      <c r="CH35" s="214"/>
      <c r="CI35" s="213"/>
      <c r="CJ35" s="125"/>
      <c r="CL35" s="175">
        <v>35</v>
      </c>
      <c r="CM35" s="188"/>
      <c r="CN35" s="189"/>
      <c r="CO35" s="190"/>
      <c r="CP35" s="191"/>
      <c r="CQ35" s="192"/>
      <c r="CR35" s="193"/>
      <c r="CS35" s="194"/>
      <c r="CT35" s="195"/>
      <c r="CU35" s="196"/>
      <c r="DF35" s="216"/>
      <c r="DH35" t="s">
        <v>1170</v>
      </c>
      <c r="DI35" t="s">
        <v>1171</v>
      </c>
      <c r="DJ35" s="131" t="s">
        <v>1172</v>
      </c>
      <c r="DK35" t="s">
        <v>726</v>
      </c>
      <c r="DL35" t="s">
        <v>665</v>
      </c>
      <c r="DM35" t="s">
        <v>666</v>
      </c>
      <c r="DN35" t="s">
        <v>1173</v>
      </c>
      <c r="DO35" t="s">
        <v>669</v>
      </c>
      <c r="DP35" t="s">
        <v>670</v>
      </c>
      <c r="DR35" t="s">
        <v>1170</v>
      </c>
      <c r="DS35" t="s">
        <v>1171</v>
      </c>
      <c r="DT35" s="131" t="s">
        <v>1172</v>
      </c>
      <c r="DU35" t="s">
        <v>726</v>
      </c>
      <c r="DV35" t="s">
        <v>665</v>
      </c>
      <c r="DW35" t="s">
        <v>666</v>
      </c>
      <c r="DX35" t="s">
        <v>1173</v>
      </c>
      <c r="DY35" t="s">
        <v>669</v>
      </c>
      <c r="DZ35" t="s">
        <v>670</v>
      </c>
      <c r="EA35" s="216"/>
      <c r="EC35" s="147" t="s">
        <v>1174</v>
      </c>
      <c r="ED35" s="5" t="s">
        <v>1175</v>
      </c>
      <c r="EE35" s="5" t="s">
        <v>1176</v>
      </c>
      <c r="EF35" s="5" t="s">
        <v>1177</v>
      </c>
      <c r="EG35" s="5" t="s">
        <v>1100</v>
      </c>
      <c r="EH35" s="5">
        <v>1</v>
      </c>
      <c r="EI35" s="216"/>
      <c r="EK35" s="147" t="s">
        <v>1178</v>
      </c>
      <c r="EL35" s="5" t="s">
        <v>1178</v>
      </c>
      <c r="EM35" s="5" t="s">
        <v>1145</v>
      </c>
      <c r="EN35" s="5">
        <v>2</v>
      </c>
      <c r="EP35" s="216"/>
      <c r="FI35" s="216"/>
    </row>
    <row r="36" spans="1:165" ht="16.5" customHeight="1" x14ac:dyDescent="0.3">
      <c r="A36" s="134" t="s">
        <v>1179</v>
      </c>
      <c r="B36" s="134" t="s">
        <v>1147</v>
      </c>
      <c r="C36" s="204"/>
      <c r="D36" s="205" t="s">
        <v>1180</v>
      </c>
      <c r="E36" s="206" t="s">
        <v>1181</v>
      </c>
      <c r="F36" s="105"/>
      <c r="L36" s="138" t="s">
        <v>1182</v>
      </c>
      <c r="N36" s="138" t="s">
        <v>1183</v>
      </c>
      <c r="O36" s="110"/>
      <c r="AL36" s="110"/>
      <c r="AM36" s="17" t="s">
        <v>36</v>
      </c>
      <c r="AN36" s="18">
        <v>15</v>
      </c>
      <c r="AO36" s="18">
        <v>15</v>
      </c>
      <c r="AP36" s="6">
        <v>5</v>
      </c>
      <c r="AQ36" s="6">
        <v>5</v>
      </c>
      <c r="AR36" s="6">
        <v>55</v>
      </c>
      <c r="AS36" s="6">
        <v>55</v>
      </c>
      <c r="AT36" s="6">
        <v>-3</v>
      </c>
      <c r="AU36" s="6">
        <v>-3</v>
      </c>
      <c r="AV36" s="8">
        <v>3</v>
      </c>
      <c r="AW36" s="8">
        <v>55</v>
      </c>
      <c r="AX36" s="288">
        <v>15</v>
      </c>
      <c r="AY36" s="5">
        <v>15</v>
      </c>
      <c r="AZ36" s="5">
        <v>60</v>
      </c>
      <c r="BA36" s="19" t="s">
        <v>36</v>
      </c>
      <c r="BB36" s="3">
        <v>36</v>
      </c>
      <c r="BC36" s="1"/>
      <c r="BD36" s="112" t="s">
        <v>453</v>
      </c>
      <c r="BE36" s="113" t="s">
        <v>1184</v>
      </c>
      <c r="BF36" s="107">
        <v>1568</v>
      </c>
      <c r="BG36" s="107">
        <v>23520</v>
      </c>
      <c r="BH36" s="143">
        <v>44925</v>
      </c>
      <c r="BI36" s="107" t="s">
        <v>385</v>
      </c>
      <c r="BJ36" s="108" t="s">
        <v>455</v>
      </c>
      <c r="BK36" s="107" t="s">
        <v>456</v>
      </c>
      <c r="BL36" s="144">
        <v>1</v>
      </c>
      <c r="BM36" s="1"/>
      <c r="BN36" s="1"/>
      <c r="BO36" s="1"/>
      <c r="BP36" s="1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0"/>
      <c r="DH36" t="s">
        <v>1185</v>
      </c>
      <c r="DI36" t="s">
        <v>1186</v>
      </c>
      <c r="DJ36" s="131" t="s">
        <v>1187</v>
      </c>
      <c r="DK36" t="s">
        <v>1188</v>
      </c>
      <c r="DL36" t="s">
        <v>1189</v>
      </c>
      <c r="DM36">
        <v>2023</v>
      </c>
      <c r="DN36" t="s">
        <v>1190</v>
      </c>
      <c r="DO36" t="s">
        <v>700</v>
      </c>
      <c r="DP36" t="s">
        <v>701</v>
      </c>
      <c r="DR36" t="s">
        <v>1185</v>
      </c>
      <c r="DS36" t="s">
        <v>1186</v>
      </c>
      <c r="DT36" s="131" t="s">
        <v>1187</v>
      </c>
      <c r="DU36" t="s">
        <v>1188</v>
      </c>
      <c r="DV36" t="s">
        <v>1189</v>
      </c>
      <c r="DW36">
        <v>2023</v>
      </c>
      <c r="DX36" t="s">
        <v>1190</v>
      </c>
      <c r="DY36" t="s">
        <v>700</v>
      </c>
      <c r="DZ36" t="s">
        <v>701</v>
      </c>
      <c r="EC36" s="147" t="s">
        <v>1191</v>
      </c>
      <c r="ED36" s="5" t="s">
        <v>1192</v>
      </c>
      <c r="EE36" s="5" t="s">
        <v>613</v>
      </c>
      <c r="EF36" s="5" t="s">
        <v>613</v>
      </c>
      <c r="EG36" s="5" t="s">
        <v>1193</v>
      </c>
      <c r="EH36" s="5">
        <v>2</v>
      </c>
      <c r="EK36" s="147" t="s">
        <v>1194</v>
      </c>
      <c r="EL36" s="5" t="s">
        <v>1195</v>
      </c>
      <c r="EM36" s="5" t="s">
        <v>1145</v>
      </c>
      <c r="EN36" s="5">
        <v>1</v>
      </c>
    </row>
    <row r="37" spans="1:165" ht="16.5" customHeight="1" x14ac:dyDescent="0.3">
      <c r="A37" s="134" t="s">
        <v>1196</v>
      </c>
      <c r="B37" s="134" t="s">
        <v>352</v>
      </c>
      <c r="C37" s="204"/>
      <c r="D37" s="206" t="s">
        <v>1197</v>
      </c>
      <c r="E37" s="209">
        <v>10</v>
      </c>
      <c r="F37" s="105"/>
      <c r="L37" s="138" t="s">
        <v>1198</v>
      </c>
      <c r="N37" s="138" t="s">
        <v>1199</v>
      </c>
      <c r="O37" s="110"/>
      <c r="AL37" s="110"/>
      <c r="AM37" s="17" t="s">
        <v>37</v>
      </c>
      <c r="AN37" s="18">
        <v>85</v>
      </c>
      <c r="AO37" s="18">
        <v>70</v>
      </c>
      <c r="AP37" s="6">
        <v>95</v>
      </c>
      <c r="AQ37" s="6">
        <v>95</v>
      </c>
      <c r="AR37" s="6">
        <v>80</v>
      </c>
      <c r="AS37" s="6">
        <v>80</v>
      </c>
      <c r="AT37" s="6">
        <v>105</v>
      </c>
      <c r="AU37" s="6">
        <v>90</v>
      </c>
      <c r="AV37" s="8">
        <v>35</v>
      </c>
      <c r="AW37" s="8">
        <v>150</v>
      </c>
      <c r="AX37" s="288">
        <v>75</v>
      </c>
      <c r="AY37" s="5">
        <v>10</v>
      </c>
      <c r="AZ37" s="5">
        <v>145</v>
      </c>
      <c r="BA37" s="19" t="s">
        <v>37</v>
      </c>
      <c r="BB37" s="3">
        <v>37</v>
      </c>
      <c r="BC37" s="1"/>
      <c r="BD37" s="112" t="s">
        <v>901</v>
      </c>
      <c r="BE37" s="113" t="s">
        <v>1200</v>
      </c>
      <c r="BF37" s="107">
        <v>1510</v>
      </c>
      <c r="BG37" s="107">
        <v>22635</v>
      </c>
      <c r="BH37" s="143">
        <v>44929</v>
      </c>
      <c r="BI37" s="107" t="s">
        <v>385</v>
      </c>
      <c r="BJ37" s="108" t="s">
        <v>1201</v>
      </c>
      <c r="BK37" s="107" t="s">
        <v>456</v>
      </c>
      <c r="BL37" s="144">
        <v>1</v>
      </c>
      <c r="BM37" s="1"/>
      <c r="BN37" s="1"/>
      <c r="BO37" s="1"/>
      <c r="BP37" s="1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0"/>
      <c r="DH37" t="s">
        <v>1202</v>
      </c>
      <c r="DI37" t="s">
        <v>1203</v>
      </c>
      <c r="DJ37" s="131" t="s">
        <v>1204</v>
      </c>
      <c r="DK37" t="s">
        <v>1205</v>
      </c>
      <c r="DL37" t="s">
        <v>721</v>
      </c>
      <c r="DM37" t="s">
        <v>722</v>
      </c>
      <c r="DN37" t="s">
        <v>1206</v>
      </c>
      <c r="DO37" t="s">
        <v>727</v>
      </c>
      <c r="DP37" t="s">
        <v>728</v>
      </c>
      <c r="DR37" t="s">
        <v>1202</v>
      </c>
      <c r="DS37" t="s">
        <v>1203</v>
      </c>
      <c r="DT37" s="131" t="s">
        <v>1204</v>
      </c>
      <c r="DU37" t="s">
        <v>1205</v>
      </c>
      <c r="DV37" t="s">
        <v>721</v>
      </c>
      <c r="DW37" t="s">
        <v>722</v>
      </c>
      <c r="DX37" t="s">
        <v>1206</v>
      </c>
      <c r="DY37" t="s">
        <v>727</v>
      </c>
      <c r="DZ37" t="s">
        <v>728</v>
      </c>
      <c r="EC37" s="147" t="s">
        <v>1207</v>
      </c>
      <c r="ED37" s="5" t="s">
        <v>1207</v>
      </c>
      <c r="EE37" s="5" t="s">
        <v>613</v>
      </c>
      <c r="EF37" s="5" t="s">
        <v>613</v>
      </c>
      <c r="EG37" s="5" t="s">
        <v>1208</v>
      </c>
      <c r="EH37" s="5">
        <v>2</v>
      </c>
      <c r="EK37" s="147" t="s">
        <v>1209</v>
      </c>
      <c r="EL37" s="5" t="s">
        <v>1210</v>
      </c>
      <c r="EM37" s="5" t="s">
        <v>1211</v>
      </c>
      <c r="EN37" s="5">
        <v>3</v>
      </c>
    </row>
    <row r="38" spans="1:165" ht="16.5" customHeight="1" x14ac:dyDescent="0.3">
      <c r="A38" s="134" t="s">
        <v>1212</v>
      </c>
      <c r="B38" s="134" t="s">
        <v>538</v>
      </c>
      <c r="C38" s="204"/>
      <c r="D38" s="206" t="s">
        <v>1213</v>
      </c>
      <c r="E38" s="209">
        <v>12</v>
      </c>
      <c r="F38" s="105"/>
      <c r="L38" s="138" t="s">
        <v>1214</v>
      </c>
      <c r="N38" s="138" t="s">
        <v>1215</v>
      </c>
      <c r="O38" s="110"/>
      <c r="AL38" s="110"/>
      <c r="AM38" s="17" t="s">
        <v>38</v>
      </c>
      <c r="AN38" s="18">
        <v>100</v>
      </c>
      <c r="AO38" s="18">
        <v>120</v>
      </c>
      <c r="AP38" s="6">
        <v>70</v>
      </c>
      <c r="AQ38" s="6">
        <v>70</v>
      </c>
      <c r="AR38" s="6">
        <v>100</v>
      </c>
      <c r="AS38" s="6">
        <v>100</v>
      </c>
      <c r="AT38" s="6">
        <v>60</v>
      </c>
      <c r="AU38" s="6">
        <v>90</v>
      </c>
      <c r="AV38" s="8">
        <v>80</v>
      </c>
      <c r="AW38" s="8">
        <v>80</v>
      </c>
      <c r="AX38" s="288">
        <v>110</v>
      </c>
      <c r="AY38" s="5">
        <v>110</v>
      </c>
      <c r="AZ38" s="5">
        <v>110</v>
      </c>
      <c r="BA38" s="19" t="s">
        <v>38</v>
      </c>
      <c r="BB38" s="3">
        <v>38</v>
      </c>
      <c r="BC38" s="1"/>
      <c r="BD38" s="112" t="s">
        <v>901</v>
      </c>
      <c r="BE38" s="113" t="s">
        <v>1216</v>
      </c>
      <c r="BF38" s="107">
        <v>1512</v>
      </c>
      <c r="BG38" s="107">
        <v>22680</v>
      </c>
      <c r="BH38" s="143">
        <v>44930</v>
      </c>
      <c r="BI38" s="107" t="s">
        <v>385</v>
      </c>
      <c r="BJ38" s="108" t="s">
        <v>502</v>
      </c>
      <c r="BK38" s="107" t="s">
        <v>456</v>
      </c>
      <c r="BL38" s="144">
        <v>1</v>
      </c>
      <c r="BM38" s="1"/>
      <c r="BN38" s="1"/>
      <c r="BO38" s="1"/>
      <c r="BP38" s="1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0"/>
      <c r="DH38" t="s">
        <v>1217</v>
      </c>
      <c r="DI38" t="s">
        <v>1218</v>
      </c>
      <c r="DJ38" s="131" t="s">
        <v>1219</v>
      </c>
      <c r="DK38" t="s">
        <v>1220</v>
      </c>
      <c r="DL38" t="s">
        <v>1221</v>
      </c>
      <c r="DM38">
        <v>2023</v>
      </c>
      <c r="DN38" t="s">
        <v>1222</v>
      </c>
      <c r="DO38" t="s">
        <v>1223</v>
      </c>
      <c r="DP38" t="s">
        <v>1224</v>
      </c>
      <c r="DR38" t="s">
        <v>1217</v>
      </c>
      <c r="DS38" t="s">
        <v>1218</v>
      </c>
      <c r="DT38" s="131" t="s">
        <v>1219</v>
      </c>
      <c r="DU38" t="s">
        <v>1220</v>
      </c>
      <c r="DV38" t="s">
        <v>1221</v>
      </c>
      <c r="DW38">
        <v>2023</v>
      </c>
      <c r="DX38" t="s">
        <v>1222</v>
      </c>
      <c r="DY38" t="s">
        <v>1223</v>
      </c>
      <c r="DZ38" t="s">
        <v>1224</v>
      </c>
      <c r="EC38" s="147" t="s">
        <v>1225</v>
      </c>
      <c r="ED38" s="5" t="s">
        <v>1225</v>
      </c>
      <c r="EE38" s="5" t="s">
        <v>613</v>
      </c>
      <c r="EF38" s="5" t="s">
        <v>613</v>
      </c>
      <c r="EG38" s="5" t="s">
        <v>1208</v>
      </c>
      <c r="EH38" s="5">
        <v>2</v>
      </c>
      <c r="EK38" s="147" t="s">
        <v>1226</v>
      </c>
      <c r="EL38" s="5" t="s">
        <v>1227</v>
      </c>
      <c r="EM38" s="5" t="s">
        <v>356</v>
      </c>
      <c r="EN38" s="5">
        <v>3</v>
      </c>
    </row>
    <row r="39" spans="1:165" ht="16.5" customHeight="1" x14ac:dyDescent="0.3">
      <c r="A39" s="134" t="s">
        <v>1228</v>
      </c>
      <c r="B39" s="134" t="s">
        <v>538</v>
      </c>
      <c r="C39" s="204"/>
      <c r="D39" s="206" t="s">
        <v>1229</v>
      </c>
      <c r="E39" s="209">
        <v>15</v>
      </c>
      <c r="F39" s="105"/>
      <c r="L39" s="138" t="s">
        <v>1230</v>
      </c>
      <c r="N39" s="138" t="s">
        <v>1231</v>
      </c>
      <c r="O39" s="110"/>
      <c r="AL39" s="110"/>
      <c r="AM39" s="17" t="s">
        <v>39</v>
      </c>
      <c r="AN39" s="18">
        <v>105</v>
      </c>
      <c r="AO39" s="18">
        <v>105</v>
      </c>
      <c r="AP39" s="6">
        <v>40</v>
      </c>
      <c r="AQ39" s="6">
        <v>40</v>
      </c>
      <c r="AR39" s="6">
        <v>67</v>
      </c>
      <c r="AS39" s="6">
        <v>67</v>
      </c>
      <c r="AT39" s="6">
        <v>42</v>
      </c>
      <c r="AU39" s="6">
        <v>42</v>
      </c>
      <c r="AV39" s="8">
        <v>65</v>
      </c>
      <c r="AW39" s="8">
        <v>65</v>
      </c>
      <c r="AX39" s="288">
        <v>100</v>
      </c>
      <c r="AY39" s="5">
        <v>60</v>
      </c>
      <c r="AZ39" s="5">
        <v>60</v>
      </c>
      <c r="BA39" s="19" t="s">
        <v>39</v>
      </c>
      <c r="BB39" s="3">
        <v>39</v>
      </c>
      <c r="BC39" s="1"/>
      <c r="BD39" s="112" t="s">
        <v>423</v>
      </c>
      <c r="BE39" s="113" t="s">
        <v>1232</v>
      </c>
      <c r="BF39" s="107">
        <v>1958</v>
      </c>
      <c r="BG39" s="107">
        <v>23496</v>
      </c>
      <c r="BH39" s="143">
        <v>44930</v>
      </c>
      <c r="BI39" s="107" t="s">
        <v>385</v>
      </c>
      <c r="BJ39" s="108" t="s">
        <v>743</v>
      </c>
      <c r="BK39" s="107" t="s">
        <v>456</v>
      </c>
      <c r="BL39" s="144">
        <v>1</v>
      </c>
      <c r="BM39" s="1"/>
      <c r="BN39" s="1"/>
      <c r="BO39" s="1"/>
      <c r="BP39" s="1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0"/>
      <c r="DH39" t="s">
        <v>1233</v>
      </c>
      <c r="DI39" t="s">
        <v>1234</v>
      </c>
      <c r="DJ39" s="131" t="s">
        <v>1235</v>
      </c>
      <c r="DK39" t="s">
        <v>1236</v>
      </c>
      <c r="DL39" t="s">
        <v>665</v>
      </c>
      <c r="DM39" t="s">
        <v>666</v>
      </c>
      <c r="DN39" t="s">
        <v>1237</v>
      </c>
      <c r="DO39" t="s">
        <v>1238</v>
      </c>
      <c r="DP39" t="s">
        <v>1239</v>
      </c>
      <c r="DR39" t="s">
        <v>1233</v>
      </c>
      <c r="DS39" t="s">
        <v>1234</v>
      </c>
      <c r="DT39" s="131" t="s">
        <v>1235</v>
      </c>
      <c r="DU39" t="s">
        <v>1236</v>
      </c>
      <c r="DV39" t="s">
        <v>665</v>
      </c>
      <c r="DW39" t="s">
        <v>666</v>
      </c>
      <c r="DX39" t="s">
        <v>1237</v>
      </c>
      <c r="DY39" t="s">
        <v>1238</v>
      </c>
      <c r="DZ39" t="s">
        <v>1239</v>
      </c>
      <c r="EC39" s="147" t="s">
        <v>1240</v>
      </c>
      <c r="ED39" s="5" t="s">
        <v>1241</v>
      </c>
      <c r="EE39" s="5" t="s">
        <v>613</v>
      </c>
      <c r="EF39" s="5" t="s">
        <v>613</v>
      </c>
      <c r="EG39" s="5" t="s">
        <v>1208</v>
      </c>
      <c r="EH39" s="5">
        <v>2</v>
      </c>
      <c r="EK39" s="147" t="s">
        <v>1242</v>
      </c>
      <c r="EL39" s="5" t="s">
        <v>1243</v>
      </c>
      <c r="EM39" s="5" t="s">
        <v>356</v>
      </c>
      <c r="EN39" s="5">
        <v>3</v>
      </c>
    </row>
    <row r="40" spans="1:165" ht="16.5" customHeight="1" thickBot="1" x14ac:dyDescent="0.35">
      <c r="A40" s="134" t="s">
        <v>1244</v>
      </c>
      <c r="B40" s="134" t="s">
        <v>1245</v>
      </c>
      <c r="C40" s="204"/>
      <c r="D40" s="206" t="s">
        <v>1246</v>
      </c>
      <c r="E40" s="209" t="s">
        <v>1247</v>
      </c>
      <c r="F40" s="105"/>
      <c r="L40" s="138" t="s">
        <v>1248</v>
      </c>
      <c r="N40" s="138" t="s">
        <v>1249</v>
      </c>
      <c r="O40" s="110"/>
      <c r="AL40" s="110"/>
      <c r="AM40" s="20" t="s">
        <v>40</v>
      </c>
      <c r="AN40" s="21">
        <v>90</v>
      </c>
      <c r="AO40" s="21">
        <v>90</v>
      </c>
      <c r="AP40" s="22">
        <v>34</v>
      </c>
      <c r="AQ40" s="22">
        <v>34</v>
      </c>
      <c r="AR40" s="22">
        <v>60</v>
      </c>
      <c r="AS40" s="22">
        <v>60</v>
      </c>
      <c r="AT40" s="22">
        <v>36</v>
      </c>
      <c r="AU40" s="22">
        <v>36</v>
      </c>
      <c r="AV40" s="23">
        <v>60</v>
      </c>
      <c r="AW40" s="23">
        <v>60</v>
      </c>
      <c r="AX40" s="289">
        <v>80</v>
      </c>
      <c r="AY40" s="291">
        <v>50</v>
      </c>
      <c r="AZ40" s="291">
        <v>50</v>
      </c>
      <c r="BA40" s="24" t="s">
        <v>40</v>
      </c>
      <c r="BB40" s="3"/>
      <c r="BC40" s="1"/>
      <c r="BD40" s="112" t="s">
        <v>901</v>
      </c>
      <c r="BE40" s="113" t="s">
        <v>1250</v>
      </c>
      <c r="BF40" s="107">
        <v>1568</v>
      </c>
      <c r="BG40" s="107">
        <v>23520</v>
      </c>
      <c r="BH40" s="143">
        <v>44931</v>
      </c>
      <c r="BI40" s="107" t="s">
        <v>385</v>
      </c>
      <c r="BJ40" s="108" t="s">
        <v>455</v>
      </c>
      <c r="BK40" s="107" t="s">
        <v>456</v>
      </c>
      <c r="BL40" s="144">
        <v>1</v>
      </c>
      <c r="BM40" s="1"/>
      <c r="BN40" s="1"/>
      <c r="BO40" s="1"/>
      <c r="BP40" s="1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0"/>
      <c r="DH40" t="s">
        <v>1251</v>
      </c>
      <c r="DI40" t="s">
        <v>1252</v>
      </c>
      <c r="DJ40" s="131" t="s">
        <v>1253</v>
      </c>
      <c r="DK40" t="s">
        <v>1254</v>
      </c>
      <c r="DL40" t="s">
        <v>1255</v>
      </c>
      <c r="DM40">
        <v>2023</v>
      </c>
      <c r="DN40" t="s">
        <v>1256</v>
      </c>
      <c r="DO40" t="s">
        <v>78</v>
      </c>
      <c r="DP40" t="s">
        <v>751</v>
      </c>
      <c r="DR40" t="s">
        <v>1251</v>
      </c>
      <c r="DS40" t="s">
        <v>1252</v>
      </c>
      <c r="DT40" s="131" t="s">
        <v>1253</v>
      </c>
      <c r="DU40" t="s">
        <v>1254</v>
      </c>
      <c r="DV40" t="s">
        <v>1255</v>
      </c>
      <c r="DW40">
        <v>2023</v>
      </c>
      <c r="DX40" t="s">
        <v>1256</v>
      </c>
      <c r="DY40" t="s">
        <v>78</v>
      </c>
      <c r="DZ40" t="s">
        <v>751</v>
      </c>
      <c r="EC40" s="147" t="s">
        <v>1257</v>
      </c>
      <c r="ED40" s="5" t="s">
        <v>1257</v>
      </c>
      <c r="EE40" s="5" t="s">
        <v>613</v>
      </c>
      <c r="EF40" s="5" t="s">
        <v>613</v>
      </c>
      <c r="EG40" s="5" t="s">
        <v>1258</v>
      </c>
      <c r="EH40" s="5">
        <v>2</v>
      </c>
      <c r="EK40" s="147" t="s">
        <v>1259</v>
      </c>
      <c r="EL40" s="5" t="s">
        <v>1260</v>
      </c>
      <c r="EM40" s="5" t="s">
        <v>356</v>
      </c>
      <c r="EN40" s="5">
        <v>3</v>
      </c>
    </row>
    <row r="41" spans="1:165" ht="16.5" customHeight="1" x14ac:dyDescent="0.3">
      <c r="A41" s="134" t="s">
        <v>1261</v>
      </c>
      <c r="B41" s="134" t="s">
        <v>1262</v>
      </c>
      <c r="C41" s="204"/>
      <c r="D41" s="206" t="s">
        <v>1263</v>
      </c>
      <c r="E41" s="209">
        <v>2</v>
      </c>
      <c r="F41" s="105"/>
      <c r="L41" s="138" t="s">
        <v>1264</v>
      </c>
      <c r="N41" s="138" t="s">
        <v>1265</v>
      </c>
      <c r="O41" s="110"/>
      <c r="AL41" s="110"/>
      <c r="AM41" s="11" t="s">
        <v>41</v>
      </c>
      <c r="AN41" s="12" t="s">
        <v>24</v>
      </c>
      <c r="AO41" s="12" t="s">
        <v>25</v>
      </c>
      <c r="AP41" s="13" t="s">
        <v>26</v>
      </c>
      <c r="AQ41" s="13" t="s">
        <v>27</v>
      </c>
      <c r="AR41" s="13" t="s">
        <v>28</v>
      </c>
      <c r="AS41" s="13" t="s">
        <v>29</v>
      </c>
      <c r="AT41" s="13" t="s">
        <v>30</v>
      </c>
      <c r="AU41" s="13" t="s">
        <v>31</v>
      </c>
      <c r="AV41" s="14" t="s">
        <v>32</v>
      </c>
      <c r="AW41" s="14" t="s">
        <v>33</v>
      </c>
      <c r="AX41" s="287" t="s">
        <v>33</v>
      </c>
      <c r="AY41" s="15" t="s">
        <v>34</v>
      </c>
      <c r="AZ41" s="15" t="s">
        <v>35</v>
      </c>
      <c r="BA41" s="16" t="s">
        <v>41</v>
      </c>
      <c r="BB41" s="3"/>
      <c r="BC41" s="1"/>
      <c r="BD41" s="112" t="s">
        <v>901</v>
      </c>
      <c r="BE41" s="113" t="s">
        <v>1266</v>
      </c>
      <c r="BF41" s="107">
        <v>1568</v>
      </c>
      <c r="BG41" s="107">
        <v>23520</v>
      </c>
      <c r="BH41" s="143">
        <v>44936</v>
      </c>
      <c r="BI41" s="107" t="s">
        <v>385</v>
      </c>
      <c r="BJ41" s="108" t="s">
        <v>634</v>
      </c>
      <c r="BK41" s="107" t="s">
        <v>456</v>
      </c>
      <c r="BL41" s="144">
        <v>1</v>
      </c>
      <c r="BM41" s="1"/>
      <c r="BN41" s="1"/>
      <c r="BO41" s="1"/>
      <c r="BP41" s="1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0"/>
      <c r="DH41" t="s">
        <v>1267</v>
      </c>
      <c r="DI41" t="s">
        <v>1268</v>
      </c>
      <c r="DJ41" s="131" t="s">
        <v>1269</v>
      </c>
      <c r="DK41" t="s">
        <v>1270</v>
      </c>
      <c r="DL41" t="s">
        <v>721</v>
      </c>
      <c r="DM41" t="s">
        <v>722</v>
      </c>
      <c r="DN41" t="s">
        <v>1271</v>
      </c>
      <c r="DO41" t="s">
        <v>80</v>
      </c>
      <c r="DP41" t="s">
        <v>776</v>
      </c>
      <c r="DR41" t="s">
        <v>1267</v>
      </c>
      <c r="DS41" t="s">
        <v>1268</v>
      </c>
      <c r="DT41" s="131" t="s">
        <v>1269</v>
      </c>
      <c r="DU41" t="s">
        <v>1270</v>
      </c>
      <c r="DV41" t="s">
        <v>721</v>
      </c>
      <c r="DW41" t="s">
        <v>722</v>
      </c>
      <c r="DX41" t="s">
        <v>1271</v>
      </c>
      <c r="DY41" t="s">
        <v>80</v>
      </c>
      <c r="DZ41" t="s">
        <v>776</v>
      </c>
      <c r="EC41" s="147" t="s">
        <v>1272</v>
      </c>
      <c r="ED41" s="5" t="s">
        <v>1273</v>
      </c>
      <c r="EE41" s="5" t="s">
        <v>613</v>
      </c>
      <c r="EF41" s="5" t="s">
        <v>613</v>
      </c>
      <c r="EG41" s="5" t="s">
        <v>1274</v>
      </c>
      <c r="EH41" s="5">
        <v>2</v>
      </c>
      <c r="EK41" s="147" t="s">
        <v>1275</v>
      </c>
      <c r="EL41" s="5" t="s">
        <v>1276</v>
      </c>
      <c r="EM41" s="5" t="s">
        <v>1277</v>
      </c>
      <c r="EN41" s="5">
        <v>3</v>
      </c>
    </row>
    <row r="42" spans="1:165" ht="16.5" customHeight="1" x14ac:dyDescent="0.3">
      <c r="A42" s="134" t="s">
        <v>1278</v>
      </c>
      <c r="B42" s="134" t="s">
        <v>1279</v>
      </c>
      <c r="C42" s="204"/>
      <c r="D42" s="105" t="s">
        <v>563</v>
      </c>
      <c r="E42" s="105"/>
      <c r="F42" s="105"/>
      <c r="L42" s="138" t="s">
        <v>1280</v>
      </c>
      <c r="N42" s="138" t="s">
        <v>1281</v>
      </c>
      <c r="O42" s="110"/>
      <c r="AL42" s="110"/>
      <c r="AM42" s="17" t="s">
        <v>36</v>
      </c>
      <c r="AN42" s="18">
        <v>25</v>
      </c>
      <c r="AO42" s="18">
        <v>25</v>
      </c>
      <c r="AP42" s="6">
        <v>5</v>
      </c>
      <c r="AQ42" s="6">
        <v>5</v>
      </c>
      <c r="AR42" s="6">
        <v>55</v>
      </c>
      <c r="AS42" s="6">
        <v>55</v>
      </c>
      <c r="AT42" s="6">
        <v>-3</v>
      </c>
      <c r="AU42" s="6">
        <v>-3</v>
      </c>
      <c r="AV42" s="8">
        <v>3</v>
      </c>
      <c r="AW42" s="8">
        <v>60</v>
      </c>
      <c r="AX42" s="288">
        <v>15</v>
      </c>
      <c r="AY42" s="5">
        <v>15</v>
      </c>
      <c r="AZ42" s="5">
        <v>60</v>
      </c>
      <c r="BA42" s="19" t="s">
        <v>36</v>
      </c>
      <c r="BB42" s="3"/>
      <c r="BC42" s="1"/>
      <c r="BD42" s="112" t="s">
        <v>676</v>
      </c>
      <c r="BE42" s="113" t="s">
        <v>1282</v>
      </c>
      <c r="BF42" s="107">
        <v>1728</v>
      </c>
      <c r="BG42" s="107">
        <v>24192</v>
      </c>
      <c r="BH42" s="143">
        <v>44936</v>
      </c>
      <c r="BI42" s="107" t="s">
        <v>385</v>
      </c>
      <c r="BJ42" s="108" t="s">
        <v>502</v>
      </c>
      <c r="BK42" s="107" t="s">
        <v>503</v>
      </c>
      <c r="BL42" s="144">
        <v>1</v>
      </c>
      <c r="BM42" s="1"/>
      <c r="BN42" s="1"/>
      <c r="BO42" s="1"/>
      <c r="BP42" s="1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0"/>
      <c r="DH42" t="s">
        <v>1066</v>
      </c>
      <c r="DI42" t="s">
        <v>800</v>
      </c>
      <c r="DJ42" s="211" t="s">
        <v>801</v>
      </c>
      <c r="DK42" t="s">
        <v>1283</v>
      </c>
      <c r="DL42" t="s">
        <v>638</v>
      </c>
      <c r="DM42" t="s">
        <v>639</v>
      </c>
      <c r="DN42" t="s">
        <v>1284</v>
      </c>
      <c r="DO42" t="s">
        <v>800</v>
      </c>
      <c r="DP42" s="203" t="s">
        <v>801</v>
      </c>
      <c r="DR42" t="s">
        <v>1066</v>
      </c>
      <c r="DS42" t="s">
        <v>800</v>
      </c>
      <c r="DT42" s="211" t="s">
        <v>801</v>
      </c>
      <c r="DU42" t="s">
        <v>1283</v>
      </c>
      <c r="DV42" t="s">
        <v>638</v>
      </c>
      <c r="DW42" t="s">
        <v>639</v>
      </c>
      <c r="DX42" t="s">
        <v>1284</v>
      </c>
      <c r="DY42" t="s">
        <v>800</v>
      </c>
      <c r="DZ42" s="203" t="s">
        <v>801</v>
      </c>
      <c r="EC42" s="147" t="s">
        <v>1285</v>
      </c>
      <c r="ED42" s="5" t="s">
        <v>1286</v>
      </c>
      <c r="EE42" s="5" t="s">
        <v>613</v>
      </c>
      <c r="EF42" s="5" t="s">
        <v>613</v>
      </c>
      <c r="EG42" s="5" t="s">
        <v>1287</v>
      </c>
      <c r="EH42" s="5">
        <v>2</v>
      </c>
      <c r="EK42" s="147" t="s">
        <v>1288</v>
      </c>
      <c r="EL42" s="5" t="s">
        <v>1289</v>
      </c>
      <c r="EM42" s="5" t="s">
        <v>1290</v>
      </c>
      <c r="EN42" s="5">
        <v>3</v>
      </c>
    </row>
    <row r="43" spans="1:165" ht="16.5" customHeight="1" x14ac:dyDescent="0.3">
      <c r="A43" s="134"/>
      <c r="B43" s="134"/>
      <c r="C43" s="204"/>
      <c r="D43" s="205" t="s">
        <v>1291</v>
      </c>
      <c r="E43" s="206" t="s">
        <v>69</v>
      </c>
      <c r="F43" s="105"/>
      <c r="L43" s="138" t="s">
        <v>1292</v>
      </c>
      <c r="N43" s="138" t="s">
        <v>1293</v>
      </c>
      <c r="O43" s="110"/>
      <c r="AL43" s="110"/>
      <c r="AM43" s="17" t="s">
        <v>37</v>
      </c>
      <c r="AN43" s="18">
        <v>40</v>
      </c>
      <c r="AO43" s="18">
        <v>30</v>
      </c>
      <c r="AP43" s="6">
        <v>85</v>
      </c>
      <c r="AQ43" s="6">
        <v>75</v>
      </c>
      <c r="AR43" s="6">
        <v>50</v>
      </c>
      <c r="AS43" s="6">
        <v>35</v>
      </c>
      <c r="AT43" s="6">
        <v>85</v>
      </c>
      <c r="AU43" s="6">
        <v>65</v>
      </c>
      <c r="AV43" s="8">
        <v>35</v>
      </c>
      <c r="AW43" s="8">
        <v>145</v>
      </c>
      <c r="AX43" s="288">
        <v>75</v>
      </c>
      <c r="AY43" s="5">
        <v>10</v>
      </c>
      <c r="AZ43" s="5">
        <v>145</v>
      </c>
      <c r="BA43" s="19" t="s">
        <v>37</v>
      </c>
      <c r="BB43" s="3"/>
      <c r="BC43" s="1"/>
      <c r="BD43" s="112" t="s">
        <v>676</v>
      </c>
      <c r="BE43" s="113" t="s">
        <v>1294</v>
      </c>
      <c r="BF43" s="107">
        <v>2300</v>
      </c>
      <c r="BG43" s="107">
        <v>23000</v>
      </c>
      <c r="BH43" s="143">
        <v>44936</v>
      </c>
      <c r="BI43" s="107" t="s">
        <v>385</v>
      </c>
      <c r="BJ43" s="108" t="s">
        <v>502</v>
      </c>
      <c r="BK43" s="107" t="s">
        <v>524</v>
      </c>
      <c r="BL43" s="144">
        <v>1</v>
      </c>
      <c r="BM43" s="1"/>
      <c r="BN43" s="1"/>
      <c r="BO43" s="1"/>
      <c r="BP43" s="1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0"/>
      <c r="DH43" t="s">
        <v>1092</v>
      </c>
      <c r="DI43" t="s">
        <v>822</v>
      </c>
      <c r="DJ43" s="131" t="s">
        <v>823</v>
      </c>
      <c r="DK43" t="s">
        <v>1295</v>
      </c>
      <c r="DL43" t="s">
        <v>696</v>
      </c>
      <c r="DM43" t="s">
        <v>697</v>
      </c>
      <c r="DN43" t="s">
        <v>1296</v>
      </c>
      <c r="DO43" t="s">
        <v>822</v>
      </c>
      <c r="DP43" t="s">
        <v>823</v>
      </c>
      <c r="DR43" t="s">
        <v>1092</v>
      </c>
      <c r="DS43" t="s">
        <v>822</v>
      </c>
      <c r="DT43" s="131" t="s">
        <v>823</v>
      </c>
      <c r="DU43" t="s">
        <v>1295</v>
      </c>
      <c r="DV43" t="s">
        <v>696</v>
      </c>
      <c r="DW43" t="s">
        <v>697</v>
      </c>
      <c r="DX43" t="s">
        <v>1296</v>
      </c>
      <c r="DY43" t="s">
        <v>822</v>
      </c>
      <c r="DZ43" t="s">
        <v>823</v>
      </c>
      <c r="EC43" s="147" t="s">
        <v>1297</v>
      </c>
      <c r="ED43" s="5" t="s">
        <v>1297</v>
      </c>
      <c r="EE43" s="5" t="s">
        <v>613</v>
      </c>
      <c r="EF43" s="5" t="s">
        <v>613</v>
      </c>
      <c r="EG43" s="5" t="s">
        <v>1287</v>
      </c>
      <c r="EH43" s="5">
        <v>2</v>
      </c>
      <c r="EK43" s="147" t="s">
        <v>1298</v>
      </c>
      <c r="EL43" s="5" t="s">
        <v>1299</v>
      </c>
      <c r="EM43" s="5" t="s">
        <v>1300</v>
      </c>
      <c r="EN43" s="5">
        <v>3</v>
      </c>
    </row>
    <row r="44" spans="1:165" ht="16.5" customHeight="1" x14ac:dyDescent="0.3">
      <c r="A44" s="134"/>
      <c r="B44" s="134"/>
      <c r="C44" s="204"/>
      <c r="D44" s="206" t="s">
        <v>1197</v>
      </c>
      <c r="E44" s="206" t="s">
        <v>583</v>
      </c>
      <c r="F44" s="105"/>
      <c r="L44" s="138" t="s">
        <v>1301</v>
      </c>
      <c r="N44" s="138" t="s">
        <v>1302</v>
      </c>
      <c r="O44" s="110"/>
      <c r="AL44" s="110"/>
      <c r="AM44" s="17" t="s">
        <v>38</v>
      </c>
      <c r="AN44" s="18">
        <v>190</v>
      </c>
      <c r="AO44" s="18">
        <v>210</v>
      </c>
      <c r="AP44" s="6">
        <v>90</v>
      </c>
      <c r="AQ44" s="6">
        <v>110</v>
      </c>
      <c r="AR44" s="6">
        <v>160</v>
      </c>
      <c r="AS44" s="6">
        <v>190</v>
      </c>
      <c r="AT44" s="6">
        <v>100</v>
      </c>
      <c r="AU44" s="6">
        <v>140</v>
      </c>
      <c r="AV44" s="8">
        <v>80</v>
      </c>
      <c r="AW44" s="8">
        <v>90</v>
      </c>
      <c r="AX44" s="288">
        <v>110</v>
      </c>
      <c r="AY44" s="5">
        <v>110</v>
      </c>
      <c r="AZ44" s="5">
        <v>110</v>
      </c>
      <c r="BA44" s="19" t="s">
        <v>38</v>
      </c>
      <c r="BB44" s="3"/>
      <c r="BC44" s="1"/>
      <c r="BD44" s="112" t="s">
        <v>1303</v>
      </c>
      <c r="BE44" s="113" t="s">
        <v>1304</v>
      </c>
      <c r="BF44" s="107">
        <v>1942</v>
      </c>
      <c r="BG44" s="107">
        <v>23304</v>
      </c>
      <c r="BH44" s="143">
        <v>44939</v>
      </c>
      <c r="BI44" s="107" t="s">
        <v>385</v>
      </c>
      <c r="BJ44" s="108" t="s">
        <v>743</v>
      </c>
      <c r="BK44" s="107" t="s">
        <v>456</v>
      </c>
      <c r="BL44" s="144">
        <v>1</v>
      </c>
      <c r="BM44" s="1"/>
      <c r="BN44" s="1"/>
      <c r="BO44" s="1"/>
      <c r="BP44" s="1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0"/>
      <c r="DH44" t="s">
        <v>1117</v>
      </c>
      <c r="DI44" t="s">
        <v>845</v>
      </c>
      <c r="DJ44" s="211" t="s">
        <v>846</v>
      </c>
      <c r="DK44" t="s">
        <v>1305</v>
      </c>
      <c r="DL44" t="s">
        <v>638</v>
      </c>
      <c r="DM44" t="s">
        <v>639</v>
      </c>
      <c r="DN44" t="s">
        <v>1306</v>
      </c>
      <c r="DO44" t="s">
        <v>845</v>
      </c>
      <c r="DP44" s="203" t="s">
        <v>846</v>
      </c>
      <c r="DR44" t="s">
        <v>1117</v>
      </c>
      <c r="DS44" t="s">
        <v>845</v>
      </c>
      <c r="DT44" s="211" t="s">
        <v>846</v>
      </c>
      <c r="DU44" t="s">
        <v>1305</v>
      </c>
      <c r="DV44" t="s">
        <v>638</v>
      </c>
      <c r="DW44" t="s">
        <v>639</v>
      </c>
      <c r="DX44" t="s">
        <v>1306</v>
      </c>
      <c r="DY44" t="s">
        <v>845</v>
      </c>
      <c r="DZ44" s="203" t="s">
        <v>846</v>
      </c>
      <c r="EC44" s="147" t="s">
        <v>1307</v>
      </c>
      <c r="ED44" s="5" t="s">
        <v>1307</v>
      </c>
      <c r="EE44" s="5" t="s">
        <v>613</v>
      </c>
      <c r="EF44" s="5" t="s">
        <v>613</v>
      </c>
      <c r="EG44" s="5" t="s">
        <v>1287</v>
      </c>
      <c r="EH44" s="5">
        <v>2</v>
      </c>
      <c r="EK44" s="147" t="s">
        <v>1308</v>
      </c>
      <c r="EL44" s="5" t="s">
        <v>1309</v>
      </c>
      <c r="EM44" s="5" t="s">
        <v>1310</v>
      </c>
      <c r="EN44" s="5">
        <v>3</v>
      </c>
    </row>
    <row r="45" spans="1:165" ht="16.5" customHeight="1" x14ac:dyDescent="0.3">
      <c r="A45" s="134"/>
      <c r="B45" s="134"/>
      <c r="C45" s="204"/>
      <c r="D45" s="206" t="s">
        <v>1213</v>
      </c>
      <c r="E45" s="206" t="s">
        <v>1311</v>
      </c>
      <c r="F45" s="105"/>
      <c r="L45" s="138" t="s">
        <v>351</v>
      </c>
      <c r="N45" s="138" t="s">
        <v>1312</v>
      </c>
      <c r="O45" s="110"/>
      <c r="AL45" s="110"/>
      <c r="AM45" s="17" t="s">
        <v>39</v>
      </c>
      <c r="AN45" s="18">
        <v>80</v>
      </c>
      <c r="AO45" s="18">
        <v>80</v>
      </c>
      <c r="AP45" s="6">
        <v>40</v>
      </c>
      <c r="AQ45" s="6">
        <v>40</v>
      </c>
      <c r="AR45" s="6">
        <v>67</v>
      </c>
      <c r="AS45" s="6">
        <v>67</v>
      </c>
      <c r="AT45" s="6">
        <v>42</v>
      </c>
      <c r="AU45" s="6">
        <v>42</v>
      </c>
      <c r="AV45" s="8">
        <v>75</v>
      </c>
      <c r="AW45" s="8">
        <v>65</v>
      </c>
      <c r="AX45" s="288">
        <v>100</v>
      </c>
      <c r="AY45" s="5">
        <v>60</v>
      </c>
      <c r="AZ45" s="5">
        <v>60</v>
      </c>
      <c r="BA45" s="19" t="s">
        <v>39</v>
      </c>
      <c r="BB45" s="3"/>
      <c r="BC45" s="1"/>
      <c r="BD45" s="112" t="s">
        <v>854</v>
      </c>
      <c r="BE45" s="113" t="s">
        <v>1313</v>
      </c>
      <c r="BF45" s="107">
        <v>1815</v>
      </c>
      <c r="BG45" s="107">
        <v>21780</v>
      </c>
      <c r="BH45" s="143">
        <v>44939</v>
      </c>
      <c r="BI45" s="107" t="s">
        <v>385</v>
      </c>
      <c r="BJ45" s="108" t="s">
        <v>1314</v>
      </c>
      <c r="BK45" s="107" t="s">
        <v>456</v>
      </c>
      <c r="BL45" s="144">
        <v>1</v>
      </c>
      <c r="BM45" s="1"/>
      <c r="BN45" s="1"/>
      <c r="BO45" s="1"/>
      <c r="BP45" s="1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0"/>
      <c r="DH45" t="s">
        <v>1140</v>
      </c>
      <c r="DI45" t="s">
        <v>869</v>
      </c>
      <c r="DJ45" s="131" t="s">
        <v>870</v>
      </c>
      <c r="DK45" t="s">
        <v>1315</v>
      </c>
      <c r="DL45" t="s">
        <v>696</v>
      </c>
      <c r="DM45" t="s">
        <v>697</v>
      </c>
      <c r="DN45" t="s">
        <v>1316</v>
      </c>
      <c r="DO45" t="s">
        <v>869</v>
      </c>
      <c r="DP45" t="s">
        <v>870</v>
      </c>
      <c r="DR45" t="s">
        <v>1140</v>
      </c>
      <c r="DS45" t="s">
        <v>869</v>
      </c>
      <c r="DT45" s="131" t="s">
        <v>870</v>
      </c>
      <c r="DU45" t="s">
        <v>1315</v>
      </c>
      <c r="DV45" t="s">
        <v>696</v>
      </c>
      <c r="DW45" t="s">
        <v>697</v>
      </c>
      <c r="DX45" t="s">
        <v>1316</v>
      </c>
      <c r="DY45" t="s">
        <v>869</v>
      </c>
      <c r="DZ45" t="s">
        <v>870</v>
      </c>
      <c r="EC45" s="147" t="s">
        <v>1317</v>
      </c>
      <c r="ED45" s="5" t="s">
        <v>1318</v>
      </c>
      <c r="EE45" s="5" t="s">
        <v>613</v>
      </c>
      <c r="EF45" s="5" t="s">
        <v>613</v>
      </c>
      <c r="EG45" s="5" t="s">
        <v>897</v>
      </c>
      <c r="EH45" s="5">
        <v>2</v>
      </c>
      <c r="EK45" s="147" t="s">
        <v>1319</v>
      </c>
      <c r="EL45" s="5" t="s">
        <v>1320</v>
      </c>
      <c r="EM45" s="5" t="s">
        <v>1321</v>
      </c>
      <c r="EN45" s="5">
        <v>3</v>
      </c>
    </row>
    <row r="46" spans="1:165" ht="16.5" customHeight="1" thickBot="1" x14ac:dyDescent="0.35">
      <c r="A46" s="134"/>
      <c r="B46" s="134"/>
      <c r="C46" s="204"/>
      <c r="D46" s="206" t="s">
        <v>1229</v>
      </c>
      <c r="E46" s="206" t="s">
        <v>1322</v>
      </c>
      <c r="F46" s="105"/>
      <c r="L46" s="138" t="s">
        <v>1323</v>
      </c>
      <c r="N46" s="138" t="s">
        <v>1324</v>
      </c>
      <c r="O46" s="110"/>
      <c r="AL46" s="110"/>
      <c r="AM46" s="25" t="s">
        <v>40</v>
      </c>
      <c r="AN46" s="26">
        <v>70</v>
      </c>
      <c r="AO46" s="26">
        <v>70</v>
      </c>
      <c r="AP46" s="27">
        <v>34</v>
      </c>
      <c r="AQ46" s="27">
        <v>32</v>
      </c>
      <c r="AR46" s="27">
        <v>60</v>
      </c>
      <c r="AS46" s="22">
        <v>60</v>
      </c>
      <c r="AT46" s="22">
        <v>36</v>
      </c>
      <c r="AU46" s="22">
        <v>36</v>
      </c>
      <c r="AV46" s="23">
        <v>60</v>
      </c>
      <c r="AW46" s="10">
        <v>60</v>
      </c>
      <c r="AX46" s="289">
        <v>80</v>
      </c>
      <c r="AY46" s="291">
        <v>50</v>
      </c>
      <c r="AZ46" s="291">
        <v>50</v>
      </c>
      <c r="BA46" s="28" t="s">
        <v>40</v>
      </c>
      <c r="BB46" s="3"/>
      <c r="BC46" s="1"/>
      <c r="BD46" s="112" t="s">
        <v>854</v>
      </c>
      <c r="BE46" s="113" t="s">
        <v>1325</v>
      </c>
      <c r="BF46" s="107">
        <v>1815</v>
      </c>
      <c r="BG46" s="107">
        <v>21780</v>
      </c>
      <c r="BH46" s="143">
        <v>44939</v>
      </c>
      <c r="BI46" s="107" t="s">
        <v>385</v>
      </c>
      <c r="BJ46" s="108" t="s">
        <v>1314</v>
      </c>
      <c r="BK46" s="107" t="s">
        <v>456</v>
      </c>
      <c r="BL46" s="144">
        <v>1</v>
      </c>
      <c r="BM46" s="1"/>
      <c r="BN46" s="1"/>
      <c r="BO46" s="1"/>
      <c r="BP46" s="1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0"/>
      <c r="DH46" t="s">
        <v>1326</v>
      </c>
      <c r="DI46" t="s">
        <v>343</v>
      </c>
      <c r="DJ46" s="131" t="s">
        <v>344</v>
      </c>
      <c r="DK46" t="s">
        <v>1327</v>
      </c>
      <c r="DL46" t="s">
        <v>747</v>
      </c>
      <c r="DM46" t="s">
        <v>748</v>
      </c>
      <c r="DN46" t="s">
        <v>1328</v>
      </c>
      <c r="DO46" t="s">
        <v>343</v>
      </c>
      <c r="DP46" t="s">
        <v>344</v>
      </c>
      <c r="DR46" t="s">
        <v>1326</v>
      </c>
      <c r="DS46" t="s">
        <v>343</v>
      </c>
      <c r="DT46" s="131" t="s">
        <v>344</v>
      </c>
      <c r="DU46" t="s">
        <v>1327</v>
      </c>
      <c r="DV46" t="s">
        <v>747</v>
      </c>
      <c r="DW46" t="s">
        <v>748</v>
      </c>
      <c r="DX46" t="s">
        <v>1328</v>
      </c>
      <c r="DY46" t="s">
        <v>343</v>
      </c>
      <c r="DZ46" t="s">
        <v>344</v>
      </c>
      <c r="EC46" s="147" t="s">
        <v>1329</v>
      </c>
      <c r="ED46" s="5" t="s">
        <v>1330</v>
      </c>
      <c r="EE46" s="5" t="s">
        <v>613</v>
      </c>
      <c r="EF46" s="5" t="s">
        <v>613</v>
      </c>
      <c r="EG46" s="5" t="s">
        <v>1331</v>
      </c>
      <c r="EH46" s="5">
        <v>2</v>
      </c>
      <c r="EK46" s="147" t="s">
        <v>1332</v>
      </c>
      <c r="EL46" s="5" t="s">
        <v>1333</v>
      </c>
      <c r="EM46" s="5" t="s">
        <v>1334</v>
      </c>
      <c r="EN46" s="5">
        <v>3</v>
      </c>
    </row>
    <row r="47" spans="1:165" ht="16.5" customHeight="1" x14ac:dyDescent="0.3">
      <c r="A47" s="134"/>
      <c r="B47" s="134"/>
      <c r="C47" s="204"/>
      <c r="D47" s="206" t="s">
        <v>1335</v>
      </c>
      <c r="E47" s="206">
        <v>1</v>
      </c>
      <c r="F47" s="105"/>
      <c r="L47" s="138" t="s">
        <v>1336</v>
      </c>
      <c r="N47" s="138" t="s">
        <v>1337</v>
      </c>
      <c r="O47" s="110"/>
      <c r="AL47" s="110"/>
      <c r="AM47" s="11" t="s">
        <v>42</v>
      </c>
      <c r="AN47" s="12" t="s">
        <v>24</v>
      </c>
      <c r="AO47" s="12" t="s">
        <v>25</v>
      </c>
      <c r="AP47" s="13" t="s">
        <v>26</v>
      </c>
      <c r="AQ47" s="13" t="s">
        <v>27</v>
      </c>
      <c r="AR47" s="13" t="s">
        <v>28</v>
      </c>
      <c r="AS47" s="13" t="s">
        <v>29</v>
      </c>
      <c r="AT47" s="13" t="s">
        <v>30</v>
      </c>
      <c r="AU47" s="13" t="s">
        <v>31</v>
      </c>
      <c r="AV47" s="14" t="s">
        <v>32</v>
      </c>
      <c r="AW47" s="14" t="s">
        <v>33</v>
      </c>
      <c r="AX47" s="287" t="s">
        <v>33</v>
      </c>
      <c r="AY47" s="15" t="s">
        <v>34</v>
      </c>
      <c r="AZ47" s="15" t="s">
        <v>35</v>
      </c>
      <c r="BA47" s="16" t="s">
        <v>42</v>
      </c>
      <c r="BB47" s="3"/>
      <c r="BC47" s="1"/>
      <c r="BD47" s="112" t="s">
        <v>854</v>
      </c>
      <c r="BE47" s="113" t="s">
        <v>1338</v>
      </c>
      <c r="BF47" s="107">
        <v>1815</v>
      </c>
      <c r="BG47" s="107">
        <v>21780</v>
      </c>
      <c r="BH47" s="143">
        <v>44939</v>
      </c>
      <c r="BI47" s="107" t="s">
        <v>385</v>
      </c>
      <c r="BJ47" s="108" t="s">
        <v>1314</v>
      </c>
      <c r="BK47" s="107" t="s">
        <v>456</v>
      </c>
      <c r="BL47" s="144">
        <v>1</v>
      </c>
      <c r="BM47" s="1"/>
      <c r="BN47" s="1"/>
      <c r="BO47" s="1"/>
      <c r="BP47" s="1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0"/>
      <c r="DH47" t="s">
        <v>1339</v>
      </c>
      <c r="DI47" t="s">
        <v>402</v>
      </c>
      <c r="DJ47" s="131" t="s">
        <v>403</v>
      </c>
      <c r="DK47" t="s">
        <v>1340</v>
      </c>
      <c r="DL47" t="s">
        <v>796</v>
      </c>
      <c r="DM47" t="s">
        <v>797</v>
      </c>
      <c r="DN47" t="s">
        <v>1341</v>
      </c>
      <c r="DO47" t="s">
        <v>402</v>
      </c>
      <c r="DP47" t="s">
        <v>403</v>
      </c>
      <c r="DR47" t="s">
        <v>1339</v>
      </c>
      <c r="DS47" t="s">
        <v>402</v>
      </c>
      <c r="DT47" s="131" t="s">
        <v>403</v>
      </c>
      <c r="DU47" t="s">
        <v>1340</v>
      </c>
      <c r="DV47" t="s">
        <v>796</v>
      </c>
      <c r="DW47" t="s">
        <v>797</v>
      </c>
      <c r="DX47" t="s">
        <v>1341</v>
      </c>
      <c r="DY47" t="s">
        <v>402</v>
      </c>
      <c r="DZ47" t="s">
        <v>403</v>
      </c>
      <c r="EC47" s="147" t="s">
        <v>1342</v>
      </c>
      <c r="ED47" s="5" t="s">
        <v>1343</v>
      </c>
      <c r="EE47" s="5" t="s">
        <v>613</v>
      </c>
      <c r="EF47" s="5" t="s">
        <v>613</v>
      </c>
      <c r="EG47" s="5" t="s">
        <v>1331</v>
      </c>
      <c r="EH47" s="5">
        <v>2</v>
      </c>
      <c r="EK47" s="147" t="s">
        <v>1344</v>
      </c>
      <c r="EL47" s="5" t="s">
        <v>1345</v>
      </c>
      <c r="EM47" s="5" t="s">
        <v>1346</v>
      </c>
      <c r="EN47" s="5">
        <v>3</v>
      </c>
    </row>
    <row r="48" spans="1:165" ht="16.5" customHeight="1" x14ac:dyDescent="0.3">
      <c r="A48" s="134"/>
      <c r="B48" s="134"/>
      <c r="C48" s="204"/>
      <c r="D48" s="105" t="s">
        <v>1347</v>
      </c>
      <c r="E48" s="105"/>
      <c r="F48" s="105"/>
      <c r="L48" s="138" t="s">
        <v>1348</v>
      </c>
      <c r="N48" s="138" t="s">
        <v>1349</v>
      </c>
      <c r="O48" s="110"/>
      <c r="AL48" s="110"/>
      <c r="AM48" s="17" t="s">
        <v>36</v>
      </c>
      <c r="AN48" s="18">
        <v>25</v>
      </c>
      <c r="AO48" s="18">
        <v>25</v>
      </c>
      <c r="AP48" s="6">
        <v>5</v>
      </c>
      <c r="AQ48" s="6">
        <v>5</v>
      </c>
      <c r="AR48" s="6">
        <v>55</v>
      </c>
      <c r="AS48" s="6">
        <v>55</v>
      </c>
      <c r="AT48" s="6">
        <v>-3</v>
      </c>
      <c r="AU48" s="6">
        <v>-3</v>
      </c>
      <c r="AV48" s="8">
        <v>15</v>
      </c>
      <c r="AW48" s="8">
        <v>60</v>
      </c>
      <c r="AX48" s="288">
        <v>15</v>
      </c>
      <c r="AY48" s="5">
        <v>15</v>
      </c>
      <c r="AZ48" s="5">
        <v>60</v>
      </c>
      <c r="BA48" s="19" t="s">
        <v>36</v>
      </c>
      <c r="BB48" s="3"/>
      <c r="BC48" s="1"/>
      <c r="BD48" s="112" t="s">
        <v>791</v>
      </c>
      <c r="BE48" s="113" t="s">
        <v>1350</v>
      </c>
      <c r="BF48" s="107">
        <v>1960</v>
      </c>
      <c r="BG48" s="107">
        <v>23520</v>
      </c>
      <c r="BH48" s="143">
        <v>44943</v>
      </c>
      <c r="BI48" s="107" t="s">
        <v>385</v>
      </c>
      <c r="BJ48" s="108" t="s">
        <v>718</v>
      </c>
      <c r="BK48" s="107" t="s">
        <v>456</v>
      </c>
      <c r="BL48" s="144">
        <v>1</v>
      </c>
      <c r="BM48" s="1"/>
      <c r="BN48" s="1"/>
      <c r="BO48" s="1"/>
      <c r="BP48" s="1"/>
      <c r="BQ48" s="118"/>
      <c r="BR48" s="118"/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0"/>
      <c r="DH48" t="s">
        <v>1160</v>
      </c>
      <c r="DI48" t="s">
        <v>434</v>
      </c>
      <c r="DJ48" s="131" t="s">
        <v>435</v>
      </c>
      <c r="DK48" t="s">
        <v>1351</v>
      </c>
      <c r="DL48" t="s">
        <v>747</v>
      </c>
      <c r="DM48" t="s">
        <v>748</v>
      </c>
      <c r="DN48" t="s">
        <v>1352</v>
      </c>
      <c r="DO48" t="s">
        <v>434</v>
      </c>
      <c r="DP48" t="s">
        <v>435</v>
      </c>
      <c r="DR48" t="s">
        <v>1160</v>
      </c>
      <c r="DS48" t="s">
        <v>434</v>
      </c>
      <c r="DT48" s="131" t="s">
        <v>435</v>
      </c>
      <c r="DU48" t="s">
        <v>1351</v>
      </c>
      <c r="DV48" t="s">
        <v>747</v>
      </c>
      <c r="DW48" t="s">
        <v>748</v>
      </c>
      <c r="DX48" t="s">
        <v>1352</v>
      </c>
      <c r="DY48" t="s">
        <v>434</v>
      </c>
      <c r="DZ48" t="s">
        <v>435</v>
      </c>
      <c r="EC48" s="147" t="s">
        <v>1353</v>
      </c>
      <c r="ED48" s="5" t="s">
        <v>1354</v>
      </c>
      <c r="EE48" s="5" t="s">
        <v>613</v>
      </c>
      <c r="EF48" s="5" t="s">
        <v>613</v>
      </c>
      <c r="EG48" s="5" t="s">
        <v>1355</v>
      </c>
      <c r="EH48" s="5">
        <v>2</v>
      </c>
      <c r="EK48" s="147" t="s">
        <v>1356</v>
      </c>
      <c r="EL48" s="5" t="s">
        <v>1357</v>
      </c>
      <c r="EM48" s="5" t="s">
        <v>1358</v>
      </c>
      <c r="EN48" s="5">
        <v>3</v>
      </c>
    </row>
    <row r="49" spans="1:144" ht="16.5" customHeight="1" x14ac:dyDescent="0.3">
      <c r="A49" s="134"/>
      <c r="B49" s="134"/>
      <c r="C49" s="204"/>
      <c r="D49" s="205" t="s">
        <v>1359</v>
      </c>
      <c r="E49" s="206" t="s">
        <v>1181</v>
      </c>
      <c r="F49" s="105"/>
      <c r="L49" s="138" t="s">
        <v>1360</v>
      </c>
      <c r="N49" s="138" t="s">
        <v>1361</v>
      </c>
      <c r="O49" s="110"/>
      <c r="AL49" s="110"/>
      <c r="AM49" s="17" t="s">
        <v>37</v>
      </c>
      <c r="AN49" s="18">
        <v>35</v>
      </c>
      <c r="AO49" s="18">
        <v>5</v>
      </c>
      <c r="AP49" s="6">
        <v>66</v>
      </c>
      <c r="AQ49" s="6">
        <v>57</v>
      </c>
      <c r="AR49" s="6">
        <v>35</v>
      </c>
      <c r="AS49" s="6">
        <v>30</v>
      </c>
      <c r="AT49" s="6">
        <v>65</v>
      </c>
      <c r="AU49" s="6">
        <v>40</v>
      </c>
      <c r="AV49" s="8">
        <v>10</v>
      </c>
      <c r="AW49" s="8">
        <v>145</v>
      </c>
      <c r="AX49" s="288">
        <v>75</v>
      </c>
      <c r="AY49" s="5">
        <v>10</v>
      </c>
      <c r="AZ49" s="5">
        <v>145</v>
      </c>
      <c r="BA49" s="19" t="s">
        <v>37</v>
      </c>
      <c r="BB49" s="3"/>
      <c r="BC49" s="1"/>
      <c r="BD49" s="112" t="s">
        <v>330</v>
      </c>
      <c r="BE49" s="113" t="s">
        <v>1362</v>
      </c>
      <c r="BF49" s="107">
        <v>1980</v>
      </c>
      <c r="BG49" s="107">
        <v>23760</v>
      </c>
      <c r="BH49" s="143">
        <v>44944</v>
      </c>
      <c r="BI49" s="107" t="s">
        <v>385</v>
      </c>
      <c r="BJ49" s="108" t="s">
        <v>1363</v>
      </c>
      <c r="BK49" s="107" t="s">
        <v>456</v>
      </c>
      <c r="BL49" s="144">
        <v>1</v>
      </c>
      <c r="BM49" s="1"/>
      <c r="BN49" s="1"/>
      <c r="BO49" s="1"/>
      <c r="BP49" s="1"/>
      <c r="CC49" s="110"/>
      <c r="DH49" t="s">
        <v>1173</v>
      </c>
      <c r="DI49" t="s">
        <v>461</v>
      </c>
      <c r="DJ49" s="131" t="s">
        <v>462</v>
      </c>
      <c r="DK49" t="s">
        <v>1364</v>
      </c>
      <c r="DL49" t="s">
        <v>796</v>
      </c>
      <c r="DM49" t="s">
        <v>797</v>
      </c>
      <c r="DN49" t="s">
        <v>1365</v>
      </c>
      <c r="DO49" t="s">
        <v>461</v>
      </c>
      <c r="DP49" t="s">
        <v>462</v>
      </c>
      <c r="DR49" t="s">
        <v>1173</v>
      </c>
      <c r="DS49" t="s">
        <v>461</v>
      </c>
      <c r="DT49" s="131" t="s">
        <v>462</v>
      </c>
      <c r="DU49" t="s">
        <v>1364</v>
      </c>
      <c r="DV49" t="s">
        <v>796</v>
      </c>
      <c r="DW49" t="s">
        <v>797</v>
      </c>
      <c r="DX49" t="s">
        <v>1365</v>
      </c>
      <c r="DY49" t="s">
        <v>461</v>
      </c>
      <c r="DZ49" t="s">
        <v>462</v>
      </c>
      <c r="EC49" s="147" t="s">
        <v>1366</v>
      </c>
      <c r="ED49" s="5" t="s">
        <v>1367</v>
      </c>
      <c r="EE49" s="5" t="s">
        <v>613</v>
      </c>
      <c r="EF49" s="5" t="s">
        <v>613</v>
      </c>
      <c r="EG49" s="5" t="s">
        <v>1355</v>
      </c>
      <c r="EH49" s="5">
        <v>2</v>
      </c>
      <c r="EK49" s="147" t="s">
        <v>1368</v>
      </c>
      <c r="EL49" s="5" t="s">
        <v>1369</v>
      </c>
      <c r="EM49" s="5" t="s">
        <v>1370</v>
      </c>
      <c r="EN49" s="5">
        <v>3</v>
      </c>
    </row>
    <row r="50" spans="1:144" ht="16.5" customHeight="1" x14ac:dyDescent="0.3">
      <c r="A50" s="134"/>
      <c r="B50" s="134"/>
      <c r="C50" s="204"/>
      <c r="D50" s="206" t="s">
        <v>1371</v>
      </c>
      <c r="E50" s="206" t="s">
        <v>1372</v>
      </c>
      <c r="F50" s="105"/>
      <c r="L50" s="138" t="s">
        <v>469</v>
      </c>
      <c r="N50" s="138" t="s">
        <v>1373</v>
      </c>
      <c r="O50" s="110"/>
      <c r="AL50" s="110"/>
      <c r="AM50" s="17" t="s">
        <v>38</v>
      </c>
      <c r="AN50" s="18">
        <v>200</v>
      </c>
      <c r="AO50" s="18">
        <v>250</v>
      </c>
      <c r="AP50" s="6">
        <v>130</v>
      </c>
      <c r="AQ50" s="6">
        <v>150</v>
      </c>
      <c r="AR50" s="6">
        <v>190</v>
      </c>
      <c r="AS50" s="6">
        <v>200</v>
      </c>
      <c r="AT50" s="6">
        <v>140</v>
      </c>
      <c r="AU50" s="6">
        <v>190</v>
      </c>
      <c r="AV50" s="8">
        <v>110</v>
      </c>
      <c r="AW50" s="8">
        <v>110</v>
      </c>
      <c r="AX50" s="288">
        <v>110</v>
      </c>
      <c r="AY50" s="5">
        <v>110</v>
      </c>
      <c r="AZ50" s="5">
        <v>110</v>
      </c>
      <c r="BA50" s="19" t="s">
        <v>38</v>
      </c>
      <c r="BB50" s="3"/>
      <c r="BC50" s="1"/>
      <c r="BD50" s="112" t="s">
        <v>854</v>
      </c>
      <c r="BE50" s="113" t="s">
        <v>1374</v>
      </c>
      <c r="BF50" s="107">
        <v>1980</v>
      </c>
      <c r="BG50" s="107">
        <v>23760</v>
      </c>
      <c r="BH50" s="143">
        <v>44944</v>
      </c>
      <c r="BI50" s="107" t="s">
        <v>385</v>
      </c>
      <c r="BJ50" s="108" t="s">
        <v>962</v>
      </c>
      <c r="BK50" s="107" t="s">
        <v>456</v>
      </c>
      <c r="BL50" s="144">
        <v>1</v>
      </c>
      <c r="BM50" s="1"/>
      <c r="BN50" s="1"/>
      <c r="BO50" s="1"/>
      <c r="BP50" s="1"/>
      <c r="CC50" s="110"/>
      <c r="DH50" t="s">
        <v>1190</v>
      </c>
      <c r="DI50" t="s">
        <v>508</v>
      </c>
      <c r="DJ50" s="131" t="s">
        <v>509</v>
      </c>
      <c r="DK50" t="s">
        <v>821</v>
      </c>
      <c r="DL50" t="s">
        <v>549</v>
      </c>
      <c r="DM50" t="s">
        <v>550</v>
      </c>
      <c r="DN50" t="s">
        <v>1375</v>
      </c>
      <c r="DO50" t="s">
        <v>73</v>
      </c>
      <c r="DP50" t="s">
        <v>487</v>
      </c>
      <c r="DR50" t="s">
        <v>1190</v>
      </c>
      <c r="DS50" t="s">
        <v>508</v>
      </c>
      <c r="DT50" s="131" t="s">
        <v>509</v>
      </c>
      <c r="DU50" t="s">
        <v>821</v>
      </c>
      <c r="DV50" t="s">
        <v>549</v>
      </c>
      <c r="DW50" t="s">
        <v>550</v>
      </c>
      <c r="DX50" t="s">
        <v>1375</v>
      </c>
      <c r="DY50" t="s">
        <v>73</v>
      </c>
      <c r="DZ50" t="s">
        <v>487</v>
      </c>
      <c r="EC50" s="147" t="s">
        <v>1376</v>
      </c>
      <c r="ED50" s="5" t="s">
        <v>1377</v>
      </c>
      <c r="EE50" s="5" t="s">
        <v>613</v>
      </c>
      <c r="EF50" s="5" t="s">
        <v>613</v>
      </c>
      <c r="EG50" s="5" t="s">
        <v>1355</v>
      </c>
      <c r="EH50" s="5">
        <v>2</v>
      </c>
      <c r="EK50" s="147" t="s">
        <v>1378</v>
      </c>
      <c r="EL50" s="5" t="s">
        <v>1379</v>
      </c>
      <c r="EM50" s="5" t="s">
        <v>1370</v>
      </c>
      <c r="EN50" s="5">
        <v>3</v>
      </c>
    </row>
    <row r="51" spans="1:144" ht="16.5" customHeight="1" x14ac:dyDescent="0.3">
      <c r="A51" s="134"/>
      <c r="B51" s="134"/>
      <c r="C51" s="204"/>
      <c r="D51" s="206" t="s">
        <v>1380</v>
      </c>
      <c r="E51" s="206" t="s">
        <v>1381</v>
      </c>
      <c r="F51" s="105"/>
      <c r="L51" s="138" t="s">
        <v>1382</v>
      </c>
      <c r="N51" s="138" t="s">
        <v>1383</v>
      </c>
      <c r="O51" s="110"/>
      <c r="AL51" s="110"/>
      <c r="AM51" s="17" t="s">
        <v>39</v>
      </c>
      <c r="AN51" s="18">
        <v>80</v>
      </c>
      <c r="AO51" s="18">
        <v>80</v>
      </c>
      <c r="AP51" s="6">
        <v>40</v>
      </c>
      <c r="AQ51" s="6">
        <v>40</v>
      </c>
      <c r="AR51" s="6">
        <v>67</v>
      </c>
      <c r="AS51" s="6">
        <v>67</v>
      </c>
      <c r="AT51" s="6">
        <v>42</v>
      </c>
      <c r="AU51" s="6">
        <v>42</v>
      </c>
      <c r="AV51" s="8">
        <v>60</v>
      </c>
      <c r="AW51" s="8">
        <v>60</v>
      </c>
      <c r="AX51" s="288">
        <v>100</v>
      </c>
      <c r="AY51" s="5">
        <v>60</v>
      </c>
      <c r="AZ51" s="5">
        <v>60</v>
      </c>
      <c r="BA51" s="19" t="s">
        <v>39</v>
      </c>
      <c r="BB51" s="3"/>
      <c r="BC51" s="1"/>
      <c r="BD51" s="112" t="s">
        <v>1384</v>
      </c>
      <c r="BE51" s="113" t="s">
        <v>1385</v>
      </c>
      <c r="BF51" s="107">
        <v>1916</v>
      </c>
      <c r="BG51" s="107">
        <v>22992</v>
      </c>
      <c r="BH51" s="143">
        <v>44944</v>
      </c>
      <c r="BI51" s="107" t="s">
        <v>385</v>
      </c>
      <c r="BJ51" s="108" t="s">
        <v>1386</v>
      </c>
      <c r="BK51" s="107" t="s">
        <v>456</v>
      </c>
      <c r="BL51" s="144">
        <v>1</v>
      </c>
      <c r="BM51" s="1"/>
      <c r="BN51" s="1"/>
      <c r="BO51" s="1"/>
      <c r="BP51" s="1"/>
      <c r="CC51" s="110"/>
      <c r="DH51" t="s">
        <v>1206</v>
      </c>
      <c r="DI51" t="s">
        <v>552</v>
      </c>
      <c r="DJ51" s="131" t="s">
        <v>553</v>
      </c>
      <c r="DK51" t="s">
        <v>1387</v>
      </c>
      <c r="DL51" t="s">
        <v>526</v>
      </c>
      <c r="DM51" t="s">
        <v>527</v>
      </c>
      <c r="DN51" t="s">
        <v>1388</v>
      </c>
      <c r="DO51" t="s">
        <v>76</v>
      </c>
      <c r="DP51" t="s">
        <v>506</v>
      </c>
      <c r="DR51" t="s">
        <v>1206</v>
      </c>
      <c r="DS51" t="s">
        <v>552</v>
      </c>
      <c r="DT51" s="131" t="s">
        <v>553</v>
      </c>
      <c r="DU51" t="s">
        <v>1387</v>
      </c>
      <c r="DV51" t="s">
        <v>526</v>
      </c>
      <c r="DW51" t="s">
        <v>527</v>
      </c>
      <c r="DX51" t="s">
        <v>1388</v>
      </c>
      <c r="DY51" t="s">
        <v>76</v>
      </c>
      <c r="DZ51" t="s">
        <v>506</v>
      </c>
      <c r="EC51" s="147" t="s">
        <v>1389</v>
      </c>
      <c r="ED51" s="5" t="s">
        <v>1390</v>
      </c>
      <c r="EE51" s="5" t="s">
        <v>613</v>
      </c>
      <c r="EF51" s="5" t="s">
        <v>613</v>
      </c>
      <c r="EG51" s="5" t="s">
        <v>1355</v>
      </c>
      <c r="EH51" s="5">
        <v>2</v>
      </c>
      <c r="EK51" s="147" t="s">
        <v>1391</v>
      </c>
      <c r="EL51" s="5" t="s">
        <v>1392</v>
      </c>
      <c r="EM51" s="5" t="s">
        <v>1393</v>
      </c>
      <c r="EN51" s="5">
        <v>3</v>
      </c>
    </row>
    <row r="52" spans="1:144" ht="16.5" customHeight="1" thickBot="1" x14ac:dyDescent="0.35">
      <c r="C52" s="204"/>
      <c r="D52" s="206" t="s">
        <v>1394</v>
      </c>
      <c r="E52" s="206" t="s">
        <v>1395</v>
      </c>
      <c r="F52" s="105"/>
      <c r="L52" s="138" t="s">
        <v>1396</v>
      </c>
      <c r="N52" s="138" t="s">
        <v>1397</v>
      </c>
      <c r="O52" s="110"/>
      <c r="AL52" s="110"/>
      <c r="AM52" s="20" t="s">
        <v>40</v>
      </c>
      <c r="AN52" s="21">
        <v>60</v>
      </c>
      <c r="AO52" s="21">
        <v>60</v>
      </c>
      <c r="AP52" s="22">
        <v>34</v>
      </c>
      <c r="AQ52" s="22">
        <v>34</v>
      </c>
      <c r="AR52" s="22">
        <v>60</v>
      </c>
      <c r="AS52" s="22">
        <v>50</v>
      </c>
      <c r="AT52" s="22">
        <v>36</v>
      </c>
      <c r="AU52" s="22">
        <v>36</v>
      </c>
      <c r="AV52" s="23">
        <v>60</v>
      </c>
      <c r="AW52" s="23">
        <v>60</v>
      </c>
      <c r="AX52" s="289">
        <v>80</v>
      </c>
      <c r="AY52" s="291">
        <v>50</v>
      </c>
      <c r="AZ52" s="291">
        <v>50</v>
      </c>
      <c r="BA52" s="24" t="s">
        <v>40</v>
      </c>
      <c r="BB52" s="3"/>
      <c r="BC52" s="1"/>
      <c r="BD52" s="112" t="s">
        <v>1398</v>
      </c>
      <c r="BE52" s="113" t="s">
        <v>1399</v>
      </c>
      <c r="BF52" s="107">
        <v>1958</v>
      </c>
      <c r="BG52" s="107">
        <v>23496</v>
      </c>
      <c r="BH52" s="143">
        <v>44944</v>
      </c>
      <c r="BI52" s="107" t="s">
        <v>385</v>
      </c>
      <c r="BJ52" s="108" t="s">
        <v>743</v>
      </c>
      <c r="BK52" s="107" t="s">
        <v>456</v>
      </c>
      <c r="BL52" s="144">
        <v>1</v>
      </c>
      <c r="BM52" s="1"/>
      <c r="BN52" s="1"/>
      <c r="BO52" s="1"/>
      <c r="BP52" s="1"/>
      <c r="CC52" s="110"/>
      <c r="DH52" t="s">
        <v>1222</v>
      </c>
      <c r="DI52" t="s">
        <v>73</v>
      </c>
      <c r="DJ52" s="131" t="s">
        <v>487</v>
      </c>
      <c r="DK52" t="s">
        <v>1400</v>
      </c>
      <c r="DL52" t="s">
        <v>605</v>
      </c>
      <c r="DM52" t="s">
        <v>606</v>
      </c>
      <c r="DN52" t="s">
        <v>1401</v>
      </c>
      <c r="DO52" t="s">
        <v>530</v>
      </c>
      <c r="DP52" s="203" t="s">
        <v>531</v>
      </c>
      <c r="DR52" t="s">
        <v>1222</v>
      </c>
      <c r="DS52" t="s">
        <v>73</v>
      </c>
      <c r="DT52" s="131" t="s">
        <v>487</v>
      </c>
      <c r="DU52" t="s">
        <v>1400</v>
      </c>
      <c r="DV52" t="s">
        <v>605</v>
      </c>
      <c r="DW52" t="s">
        <v>606</v>
      </c>
      <c r="DX52" t="s">
        <v>1401</v>
      </c>
      <c r="DY52" t="s">
        <v>530</v>
      </c>
      <c r="DZ52" s="203" t="s">
        <v>531</v>
      </c>
      <c r="EC52" s="147" t="s">
        <v>1402</v>
      </c>
      <c r="ED52" s="5" t="s">
        <v>1403</v>
      </c>
      <c r="EE52" s="5" t="s">
        <v>613</v>
      </c>
      <c r="EF52" s="5" t="s">
        <v>613</v>
      </c>
      <c r="EG52" s="5" t="s">
        <v>1355</v>
      </c>
      <c r="EH52" s="5">
        <v>2</v>
      </c>
      <c r="EK52" s="147" t="s">
        <v>1404</v>
      </c>
      <c r="EL52" s="5" t="s">
        <v>1405</v>
      </c>
      <c r="EM52" s="5" t="s">
        <v>1406</v>
      </c>
      <c r="EN52" s="5">
        <v>3</v>
      </c>
    </row>
    <row r="53" spans="1:144" ht="16.5" customHeight="1" x14ac:dyDescent="0.3">
      <c r="C53" s="204"/>
      <c r="D53" s="206" t="s">
        <v>1407</v>
      </c>
      <c r="E53" s="206" t="s">
        <v>1408</v>
      </c>
      <c r="F53" s="105"/>
      <c r="L53" s="138" t="s">
        <v>1409</v>
      </c>
      <c r="N53" s="138" t="s">
        <v>1410</v>
      </c>
      <c r="O53" s="110"/>
      <c r="AL53" s="110"/>
      <c r="AM53" s="29" t="s">
        <v>43</v>
      </c>
      <c r="AN53" s="30" t="s">
        <v>24</v>
      </c>
      <c r="AO53" s="30" t="s">
        <v>25</v>
      </c>
      <c r="AP53" s="30" t="s">
        <v>26</v>
      </c>
      <c r="AQ53" s="30" t="s">
        <v>27</v>
      </c>
      <c r="AR53" s="30" t="s">
        <v>28</v>
      </c>
      <c r="AS53" s="30" t="s">
        <v>29</v>
      </c>
      <c r="AT53" s="30" t="s">
        <v>30</v>
      </c>
      <c r="AU53" s="30" t="s">
        <v>31</v>
      </c>
      <c r="AV53" s="31" t="s">
        <v>32</v>
      </c>
      <c r="AW53" s="31" t="s">
        <v>33</v>
      </c>
      <c r="AX53" s="290" t="s">
        <v>33</v>
      </c>
      <c r="AY53" s="292" t="s">
        <v>34</v>
      </c>
      <c r="AZ53" s="292" t="s">
        <v>35</v>
      </c>
      <c r="BA53" s="32" t="s">
        <v>43</v>
      </c>
      <c r="BB53" s="3"/>
      <c r="BC53" s="1"/>
      <c r="BD53" s="112" t="s">
        <v>330</v>
      </c>
      <c r="BE53" s="113" t="s">
        <v>1411</v>
      </c>
      <c r="BF53" s="107">
        <v>1958</v>
      </c>
      <c r="BG53" s="107">
        <v>23496</v>
      </c>
      <c r="BH53" s="143">
        <v>44945</v>
      </c>
      <c r="BI53" s="107" t="s">
        <v>385</v>
      </c>
      <c r="BJ53" s="108" t="s">
        <v>743</v>
      </c>
      <c r="BK53" s="107" t="s">
        <v>456</v>
      </c>
      <c r="BL53" s="144">
        <v>1</v>
      </c>
      <c r="BM53" s="1"/>
      <c r="BN53" s="1"/>
      <c r="BO53" s="1"/>
      <c r="BP53" s="1"/>
      <c r="CC53" s="110"/>
      <c r="DH53" t="s">
        <v>1237</v>
      </c>
      <c r="DI53" t="s">
        <v>76</v>
      </c>
      <c r="DJ53" s="131" t="s">
        <v>506</v>
      </c>
      <c r="DK53" t="s">
        <v>1412</v>
      </c>
      <c r="DL53" t="s">
        <v>573</v>
      </c>
      <c r="DM53" t="s">
        <v>574</v>
      </c>
      <c r="DN53" t="s">
        <v>1413</v>
      </c>
      <c r="DO53" t="s">
        <v>555</v>
      </c>
      <c r="DP53" t="s">
        <v>556</v>
      </c>
      <c r="DR53" t="s">
        <v>1237</v>
      </c>
      <c r="DS53" t="s">
        <v>76</v>
      </c>
      <c r="DT53" s="131" t="s">
        <v>506</v>
      </c>
      <c r="DU53" t="s">
        <v>1412</v>
      </c>
      <c r="DV53" t="s">
        <v>573</v>
      </c>
      <c r="DW53" t="s">
        <v>574</v>
      </c>
      <c r="DX53" t="s">
        <v>1413</v>
      </c>
      <c r="DY53" t="s">
        <v>555</v>
      </c>
      <c r="DZ53" t="s">
        <v>556</v>
      </c>
      <c r="EC53" s="147" t="s">
        <v>1414</v>
      </c>
      <c r="ED53" s="5" t="s">
        <v>1415</v>
      </c>
      <c r="EE53" s="5" t="s">
        <v>613</v>
      </c>
      <c r="EF53" s="5" t="s">
        <v>613</v>
      </c>
      <c r="EG53" s="5" t="s">
        <v>1416</v>
      </c>
      <c r="EH53" s="5">
        <v>2</v>
      </c>
      <c r="EK53" s="147" t="s">
        <v>1417</v>
      </c>
      <c r="EL53" s="5" t="s">
        <v>1418</v>
      </c>
      <c r="EM53" s="5" t="s">
        <v>1419</v>
      </c>
      <c r="EN53" s="5">
        <v>3</v>
      </c>
    </row>
    <row r="54" spans="1:144" ht="16.5" customHeight="1" x14ac:dyDescent="0.3">
      <c r="C54" s="204"/>
      <c r="D54" s="206" t="s">
        <v>1420</v>
      </c>
      <c r="E54" s="206">
        <v>1</v>
      </c>
      <c r="F54" s="105"/>
      <c r="L54" s="138" t="s">
        <v>1421</v>
      </c>
      <c r="N54" s="138" t="s">
        <v>1422</v>
      </c>
      <c r="O54" s="110"/>
      <c r="AL54" s="110"/>
      <c r="AM54" s="17" t="s">
        <v>36</v>
      </c>
      <c r="AN54" s="6">
        <v>30</v>
      </c>
      <c r="AO54" s="6">
        <v>25</v>
      </c>
      <c r="AP54" s="6">
        <v>5</v>
      </c>
      <c r="AQ54" s="6">
        <v>5</v>
      </c>
      <c r="AR54" s="6">
        <v>55</v>
      </c>
      <c r="AS54" s="6">
        <v>55</v>
      </c>
      <c r="AT54" s="6">
        <v>-3</v>
      </c>
      <c r="AU54" s="6">
        <v>-3</v>
      </c>
      <c r="AV54" s="8">
        <v>15</v>
      </c>
      <c r="AW54" s="8">
        <v>60</v>
      </c>
      <c r="AX54" s="288">
        <v>15</v>
      </c>
      <c r="AY54" s="5">
        <v>15</v>
      </c>
      <c r="AZ54" s="5">
        <v>60</v>
      </c>
      <c r="BA54" s="19" t="s">
        <v>36</v>
      </c>
      <c r="BB54" s="3"/>
      <c r="BC54" s="1"/>
      <c r="BD54" s="112" t="s">
        <v>854</v>
      </c>
      <c r="BE54" s="113" t="s">
        <v>1423</v>
      </c>
      <c r="BF54" s="107">
        <v>1958</v>
      </c>
      <c r="BG54" s="107">
        <v>23496</v>
      </c>
      <c r="BH54" s="143">
        <v>44945</v>
      </c>
      <c r="BI54" s="107" t="s">
        <v>385</v>
      </c>
      <c r="BJ54" s="108" t="s">
        <v>743</v>
      </c>
      <c r="BK54" s="107" t="s">
        <v>456</v>
      </c>
      <c r="BL54" s="144">
        <v>1</v>
      </c>
      <c r="BM54" s="1"/>
      <c r="BN54" s="1"/>
      <c r="BO54" s="1"/>
      <c r="BP54" s="1"/>
      <c r="DH54" t="s">
        <v>1424</v>
      </c>
      <c r="DI54" t="s">
        <v>526</v>
      </c>
      <c r="DJ54" s="131" t="s">
        <v>527</v>
      </c>
      <c r="DK54" t="s">
        <v>1425</v>
      </c>
      <c r="DL54" t="s">
        <v>549</v>
      </c>
      <c r="DM54" t="s">
        <v>550</v>
      </c>
      <c r="DN54" t="s">
        <v>1426</v>
      </c>
      <c r="DO54" t="s">
        <v>577</v>
      </c>
      <c r="DP54" s="203" t="s">
        <v>578</v>
      </c>
      <c r="DR54" t="s">
        <v>1424</v>
      </c>
      <c r="DS54" t="s">
        <v>526</v>
      </c>
      <c r="DT54" s="131" t="s">
        <v>527</v>
      </c>
      <c r="DU54" t="s">
        <v>1425</v>
      </c>
      <c r="DV54" t="s">
        <v>549</v>
      </c>
      <c r="DW54" t="s">
        <v>550</v>
      </c>
      <c r="DX54" t="s">
        <v>1426</v>
      </c>
      <c r="DY54" t="s">
        <v>577</v>
      </c>
      <c r="DZ54" s="203" t="s">
        <v>578</v>
      </c>
      <c r="EC54" s="147" t="s">
        <v>1427</v>
      </c>
      <c r="ED54" s="5" t="s">
        <v>1428</v>
      </c>
      <c r="EE54" s="5" t="s">
        <v>613</v>
      </c>
      <c r="EF54" s="5" t="s">
        <v>613</v>
      </c>
      <c r="EG54" s="5" t="s">
        <v>1429</v>
      </c>
      <c r="EH54" s="5">
        <v>2</v>
      </c>
      <c r="EK54" s="147" t="s">
        <v>1430</v>
      </c>
      <c r="EL54" s="5" t="s">
        <v>1431</v>
      </c>
      <c r="EM54" s="5" t="s">
        <v>1419</v>
      </c>
      <c r="EN54" s="5">
        <v>3</v>
      </c>
    </row>
    <row r="55" spans="1:144" ht="16.5" customHeight="1" x14ac:dyDescent="0.3">
      <c r="C55" s="105"/>
      <c r="D55" s="105"/>
      <c r="E55" s="105"/>
      <c r="F55" s="105"/>
      <c r="L55" s="138" t="s">
        <v>1432</v>
      </c>
      <c r="N55" s="138" t="s">
        <v>1433</v>
      </c>
      <c r="O55" s="110"/>
      <c r="AL55" s="110"/>
      <c r="AM55" s="17" t="s">
        <v>37</v>
      </c>
      <c r="AN55" s="6">
        <v>10</v>
      </c>
      <c r="AO55" s="6">
        <v>0</v>
      </c>
      <c r="AP55" s="6">
        <v>50</v>
      </c>
      <c r="AQ55" s="6">
        <v>33</v>
      </c>
      <c r="AR55" s="6">
        <v>3</v>
      </c>
      <c r="AS55" s="6">
        <v>3</v>
      </c>
      <c r="AT55" s="6">
        <v>50</v>
      </c>
      <c r="AU55" s="6">
        <v>25</v>
      </c>
      <c r="AV55" s="8">
        <v>5</v>
      </c>
      <c r="AW55" s="8">
        <v>142</v>
      </c>
      <c r="AX55" s="288">
        <v>75</v>
      </c>
      <c r="AY55" s="5">
        <v>5</v>
      </c>
      <c r="AZ55" s="5">
        <v>142</v>
      </c>
      <c r="BA55" s="19" t="s">
        <v>37</v>
      </c>
      <c r="BB55" s="3"/>
      <c r="BC55" s="1"/>
      <c r="BD55" s="112" t="s">
        <v>791</v>
      </c>
      <c r="BE55" s="113" t="s">
        <v>1434</v>
      </c>
      <c r="BF55" s="107">
        <v>1960</v>
      </c>
      <c r="BG55" s="107">
        <v>23520</v>
      </c>
      <c r="BH55" s="143">
        <v>44945</v>
      </c>
      <c r="BI55" s="107" t="s">
        <v>385</v>
      </c>
      <c r="BJ55" s="108" t="s">
        <v>718</v>
      </c>
      <c r="BK55" s="107" t="s">
        <v>456</v>
      </c>
      <c r="BL55" s="144">
        <v>1</v>
      </c>
      <c r="BM55" s="1"/>
      <c r="BN55" s="1"/>
      <c r="BO55" s="1"/>
      <c r="BP55" s="1"/>
      <c r="DH55" t="s">
        <v>1435</v>
      </c>
      <c r="DI55" t="s">
        <v>549</v>
      </c>
      <c r="DJ55" s="131" t="s">
        <v>550</v>
      </c>
      <c r="DK55" t="s">
        <v>1436</v>
      </c>
      <c r="DL55" t="s">
        <v>526</v>
      </c>
      <c r="DM55" t="s">
        <v>527</v>
      </c>
      <c r="DN55" t="s">
        <v>1437</v>
      </c>
      <c r="DO55" t="s">
        <v>609</v>
      </c>
      <c r="DP55" t="s">
        <v>610</v>
      </c>
      <c r="DR55" t="s">
        <v>1435</v>
      </c>
      <c r="DS55" t="s">
        <v>549</v>
      </c>
      <c r="DT55" s="131" t="s">
        <v>550</v>
      </c>
      <c r="DU55" t="s">
        <v>1436</v>
      </c>
      <c r="DV55" t="s">
        <v>526</v>
      </c>
      <c r="DW55" t="s">
        <v>527</v>
      </c>
      <c r="DX55" t="s">
        <v>1437</v>
      </c>
      <c r="DY55" t="s">
        <v>609</v>
      </c>
      <c r="DZ55" t="s">
        <v>610</v>
      </c>
      <c r="EC55" s="147" t="s">
        <v>1438</v>
      </c>
      <c r="ED55" s="5" t="s">
        <v>1438</v>
      </c>
      <c r="EE55" s="5" t="s">
        <v>613</v>
      </c>
      <c r="EF55" s="5" t="s">
        <v>613</v>
      </c>
      <c r="EG55" s="5" t="s">
        <v>1429</v>
      </c>
      <c r="EH55" s="5">
        <v>2</v>
      </c>
      <c r="EK55" s="147" t="s">
        <v>1439</v>
      </c>
      <c r="EL55" s="5" t="s">
        <v>1440</v>
      </c>
      <c r="EM55" s="5" t="s">
        <v>1441</v>
      </c>
      <c r="EN55" s="5">
        <v>3</v>
      </c>
    </row>
    <row r="56" spans="1:144" ht="16.5" customHeight="1" x14ac:dyDescent="0.3">
      <c r="C56" s="105"/>
      <c r="D56" s="105"/>
      <c r="E56" s="105"/>
      <c r="F56" s="105"/>
      <c r="L56" s="138" t="s">
        <v>1442</v>
      </c>
      <c r="N56" s="138" t="s">
        <v>1443</v>
      </c>
      <c r="O56" s="110"/>
      <c r="AL56" s="110"/>
      <c r="AM56" s="17" t="s">
        <v>38</v>
      </c>
      <c r="AN56" s="6">
        <v>250</v>
      </c>
      <c r="AO56" s="6">
        <v>267</v>
      </c>
      <c r="AP56" s="6">
        <v>170</v>
      </c>
      <c r="AQ56" s="6">
        <v>200</v>
      </c>
      <c r="AR56" s="6">
        <v>260</v>
      </c>
      <c r="AS56" s="6">
        <v>260</v>
      </c>
      <c r="AT56" s="6">
        <v>170</v>
      </c>
      <c r="AU56" s="6">
        <v>220</v>
      </c>
      <c r="AV56" s="8">
        <v>120</v>
      </c>
      <c r="AW56" s="8">
        <v>120</v>
      </c>
      <c r="AX56" s="288">
        <v>110</v>
      </c>
      <c r="AY56" s="5">
        <v>120</v>
      </c>
      <c r="AZ56" s="5">
        <v>120</v>
      </c>
      <c r="BA56" s="19" t="s">
        <v>38</v>
      </c>
      <c r="BB56" s="3"/>
      <c r="BC56" s="1"/>
      <c r="BD56" s="112" t="s">
        <v>791</v>
      </c>
      <c r="BE56" s="113" t="s">
        <v>1444</v>
      </c>
      <c r="BF56" s="107">
        <v>1940</v>
      </c>
      <c r="BG56" s="107">
        <v>23280</v>
      </c>
      <c r="BH56" s="143">
        <v>44946</v>
      </c>
      <c r="BI56" s="107" t="s">
        <v>385</v>
      </c>
      <c r="BJ56" s="108" t="s">
        <v>962</v>
      </c>
      <c r="BK56" s="107" t="s">
        <v>456</v>
      </c>
      <c r="BL56" s="144">
        <v>1</v>
      </c>
      <c r="BM56" s="1"/>
      <c r="BN56" s="1"/>
      <c r="BO56" s="1"/>
      <c r="BP56" s="1"/>
      <c r="DH56" t="s">
        <v>1445</v>
      </c>
      <c r="DI56" t="s">
        <v>573</v>
      </c>
      <c r="DJ56" s="131" t="s">
        <v>574</v>
      </c>
      <c r="DK56" t="s">
        <v>1446</v>
      </c>
      <c r="DL56" t="s">
        <v>605</v>
      </c>
      <c r="DM56" t="s">
        <v>606</v>
      </c>
      <c r="DN56" t="s">
        <v>1447</v>
      </c>
      <c r="DO56" t="s">
        <v>642</v>
      </c>
      <c r="DP56" t="s">
        <v>643</v>
      </c>
      <c r="DR56" t="s">
        <v>1445</v>
      </c>
      <c r="DS56" t="s">
        <v>573</v>
      </c>
      <c r="DT56" s="131" t="s">
        <v>574</v>
      </c>
      <c r="DU56" t="s">
        <v>1446</v>
      </c>
      <c r="DV56" t="s">
        <v>605</v>
      </c>
      <c r="DW56" t="s">
        <v>606</v>
      </c>
      <c r="DX56" t="s">
        <v>1447</v>
      </c>
      <c r="DY56" t="s">
        <v>642</v>
      </c>
      <c r="DZ56" t="s">
        <v>643</v>
      </c>
      <c r="EC56" s="147" t="s">
        <v>1448</v>
      </c>
      <c r="ED56" s="5" t="s">
        <v>1449</v>
      </c>
      <c r="EE56" s="5" t="s">
        <v>613</v>
      </c>
      <c r="EF56" s="5" t="s">
        <v>613</v>
      </c>
      <c r="EG56" s="5" t="s">
        <v>1450</v>
      </c>
      <c r="EH56" s="5">
        <v>2</v>
      </c>
      <c r="EK56" s="147" t="s">
        <v>1451</v>
      </c>
      <c r="EL56" s="5" t="s">
        <v>1452</v>
      </c>
      <c r="EM56" s="5" t="s">
        <v>1453</v>
      </c>
      <c r="EN56" s="5">
        <v>3</v>
      </c>
    </row>
    <row r="57" spans="1:144" ht="16.5" customHeight="1" x14ac:dyDescent="0.3">
      <c r="C57" s="105"/>
      <c r="D57" s="105"/>
      <c r="E57" s="105"/>
      <c r="F57" s="105"/>
      <c r="L57" s="138" t="s">
        <v>1454</v>
      </c>
      <c r="N57" s="138" t="s">
        <v>1455</v>
      </c>
      <c r="O57" s="110"/>
      <c r="AL57" s="110"/>
      <c r="AM57" s="17" t="s">
        <v>39</v>
      </c>
      <c r="AN57" s="6">
        <v>80</v>
      </c>
      <c r="AO57" s="6">
        <v>80</v>
      </c>
      <c r="AP57" s="6">
        <v>40</v>
      </c>
      <c r="AQ57" s="6">
        <v>40</v>
      </c>
      <c r="AR57" s="6">
        <v>67</v>
      </c>
      <c r="AS57" s="6">
        <v>67</v>
      </c>
      <c r="AT57" s="6">
        <v>42</v>
      </c>
      <c r="AU57" s="6">
        <v>42</v>
      </c>
      <c r="AV57" s="8">
        <v>60</v>
      </c>
      <c r="AW57" s="8">
        <v>60</v>
      </c>
      <c r="AX57" s="288">
        <v>100</v>
      </c>
      <c r="AY57" s="5">
        <v>60</v>
      </c>
      <c r="AZ57" s="5">
        <v>60</v>
      </c>
      <c r="BA57" s="19" t="s">
        <v>39</v>
      </c>
      <c r="BB57" s="3"/>
      <c r="BC57" s="1"/>
      <c r="BD57" s="112" t="s">
        <v>330</v>
      </c>
      <c r="BE57" s="113" t="s">
        <v>1456</v>
      </c>
      <c r="BF57" s="107">
        <v>1958</v>
      </c>
      <c r="BG57" s="107">
        <v>23496</v>
      </c>
      <c r="BH57" s="143">
        <v>44946</v>
      </c>
      <c r="BI57" s="107" t="s">
        <v>385</v>
      </c>
      <c r="BJ57" s="108" t="s">
        <v>743</v>
      </c>
      <c r="BK57" s="107" t="s">
        <v>456</v>
      </c>
      <c r="BL57" s="144">
        <v>1</v>
      </c>
      <c r="BM57" s="1"/>
      <c r="BN57" s="1"/>
      <c r="BO57" s="1"/>
      <c r="BP57" s="1"/>
      <c r="DH57" t="s">
        <v>1457</v>
      </c>
      <c r="DI57" t="s">
        <v>605</v>
      </c>
      <c r="DJ57" s="131" t="s">
        <v>606</v>
      </c>
      <c r="DK57" t="s">
        <v>1458</v>
      </c>
      <c r="DL57" t="s">
        <v>573</v>
      </c>
      <c r="DM57" t="s">
        <v>574</v>
      </c>
      <c r="DN57" t="s">
        <v>1459</v>
      </c>
      <c r="DO57" t="s">
        <v>669</v>
      </c>
      <c r="DP57" t="s">
        <v>670</v>
      </c>
      <c r="DR57" t="s">
        <v>1457</v>
      </c>
      <c r="DS57" t="s">
        <v>605</v>
      </c>
      <c r="DT57" s="131" t="s">
        <v>606</v>
      </c>
      <c r="DU57" t="s">
        <v>1458</v>
      </c>
      <c r="DV57" t="s">
        <v>573</v>
      </c>
      <c r="DW57" t="s">
        <v>574</v>
      </c>
      <c r="DX57" t="s">
        <v>1459</v>
      </c>
      <c r="DY57" t="s">
        <v>669</v>
      </c>
      <c r="DZ57" t="s">
        <v>670</v>
      </c>
      <c r="EC57" s="147" t="s">
        <v>1460</v>
      </c>
      <c r="ED57" s="5" t="s">
        <v>1461</v>
      </c>
      <c r="EE57" s="5" t="s">
        <v>613</v>
      </c>
      <c r="EF57" s="5" t="s">
        <v>613</v>
      </c>
      <c r="EG57" s="5" t="s">
        <v>1462</v>
      </c>
      <c r="EH57" s="5">
        <v>2</v>
      </c>
      <c r="EK57" s="147" t="s">
        <v>1463</v>
      </c>
      <c r="EL57" s="5" t="s">
        <v>1464</v>
      </c>
      <c r="EM57" s="5" t="s">
        <v>1465</v>
      </c>
      <c r="EN57" s="5">
        <v>3</v>
      </c>
    </row>
    <row r="58" spans="1:144" ht="16.5" customHeight="1" thickBot="1" x14ac:dyDescent="0.35">
      <c r="D58" s="105"/>
      <c r="E58" s="105"/>
      <c r="L58" s="138" t="s">
        <v>1466</v>
      </c>
      <c r="N58" s="138" t="s">
        <v>1467</v>
      </c>
      <c r="O58" s="110"/>
      <c r="AL58" s="110"/>
      <c r="AM58" s="25" t="s">
        <v>40</v>
      </c>
      <c r="AN58" s="22">
        <v>60</v>
      </c>
      <c r="AO58" s="27">
        <v>50</v>
      </c>
      <c r="AP58" s="27">
        <v>34</v>
      </c>
      <c r="AQ58" s="27">
        <v>34</v>
      </c>
      <c r="AR58" s="27">
        <v>60</v>
      </c>
      <c r="AS58" s="27">
        <v>48</v>
      </c>
      <c r="AT58" s="22">
        <v>36</v>
      </c>
      <c r="AU58" s="22">
        <v>36</v>
      </c>
      <c r="AV58" s="10">
        <v>55</v>
      </c>
      <c r="AW58" s="10">
        <v>55</v>
      </c>
      <c r="AX58" s="289">
        <v>80</v>
      </c>
      <c r="AY58" s="9">
        <v>40</v>
      </c>
      <c r="AZ58" s="9">
        <v>40</v>
      </c>
      <c r="BA58" s="28" t="s">
        <v>40</v>
      </c>
      <c r="BB58" s="3"/>
      <c r="BC58" s="1"/>
      <c r="BD58" s="112" t="s">
        <v>330</v>
      </c>
      <c r="BE58" s="113" t="s">
        <v>1468</v>
      </c>
      <c r="BF58" s="107">
        <v>1533</v>
      </c>
      <c r="BG58" s="107">
        <v>22995</v>
      </c>
      <c r="BH58" s="143">
        <v>44946</v>
      </c>
      <c r="BI58" s="107" t="s">
        <v>385</v>
      </c>
      <c r="BJ58" s="108" t="s">
        <v>1469</v>
      </c>
      <c r="BK58" s="107" t="s">
        <v>456</v>
      </c>
      <c r="BL58" s="144">
        <v>1</v>
      </c>
      <c r="BM58" s="1"/>
      <c r="BN58" s="1"/>
      <c r="BO58" s="1"/>
      <c r="BP58" s="1"/>
      <c r="DH58" t="s">
        <v>1470</v>
      </c>
      <c r="DI58" t="s">
        <v>638</v>
      </c>
      <c r="DJ58" s="131" t="s">
        <v>639</v>
      </c>
      <c r="DK58" t="s">
        <v>1471</v>
      </c>
      <c r="DL58" t="s">
        <v>642</v>
      </c>
      <c r="DM58" t="s">
        <v>643</v>
      </c>
      <c r="DN58" t="s">
        <v>1472</v>
      </c>
      <c r="DO58" t="s">
        <v>700</v>
      </c>
      <c r="DP58" t="s">
        <v>701</v>
      </c>
      <c r="DR58" t="s">
        <v>1470</v>
      </c>
      <c r="DS58" t="s">
        <v>638</v>
      </c>
      <c r="DT58" s="131" t="s">
        <v>639</v>
      </c>
      <c r="DU58" t="s">
        <v>1471</v>
      </c>
      <c r="DV58" t="s">
        <v>642</v>
      </c>
      <c r="DW58" t="s">
        <v>643</v>
      </c>
      <c r="DX58" t="s">
        <v>1472</v>
      </c>
      <c r="DY58" t="s">
        <v>700</v>
      </c>
      <c r="DZ58" t="s">
        <v>701</v>
      </c>
      <c r="EC58" s="147" t="s">
        <v>1473</v>
      </c>
      <c r="ED58" s="5" t="s">
        <v>1474</v>
      </c>
      <c r="EE58" s="5" t="s">
        <v>613</v>
      </c>
      <c r="EF58" s="5" t="s">
        <v>613</v>
      </c>
      <c r="EG58" s="5" t="s">
        <v>1475</v>
      </c>
      <c r="EH58" s="5">
        <v>2</v>
      </c>
      <c r="EK58" s="147" t="s">
        <v>1476</v>
      </c>
      <c r="EL58" s="5" t="s">
        <v>1477</v>
      </c>
      <c r="EM58" s="5" t="s">
        <v>1478</v>
      </c>
      <c r="EN58" s="5">
        <v>3</v>
      </c>
    </row>
    <row r="59" spans="1:144" ht="16.5" customHeight="1" x14ac:dyDescent="0.3">
      <c r="D59" s="105"/>
      <c r="E59" s="105"/>
      <c r="L59" s="138" t="s">
        <v>1479</v>
      </c>
      <c r="N59" s="138" t="s">
        <v>1480</v>
      </c>
      <c r="O59" s="110"/>
      <c r="AL59" s="110"/>
      <c r="AM59" s="11" t="s">
        <v>44</v>
      </c>
      <c r="AN59" s="13" t="s">
        <v>24</v>
      </c>
      <c r="AO59" s="13" t="s">
        <v>25</v>
      </c>
      <c r="AP59" s="13" t="s">
        <v>26</v>
      </c>
      <c r="AQ59" s="13" t="s">
        <v>27</v>
      </c>
      <c r="AR59" s="13" t="s">
        <v>28</v>
      </c>
      <c r="AS59" s="13" t="s">
        <v>29</v>
      </c>
      <c r="AT59" s="13" t="s">
        <v>30</v>
      </c>
      <c r="AU59" s="13" t="s">
        <v>31</v>
      </c>
      <c r="AV59" s="14" t="s">
        <v>32</v>
      </c>
      <c r="AW59" s="14" t="s">
        <v>33</v>
      </c>
      <c r="AX59" s="287" t="s">
        <v>33</v>
      </c>
      <c r="AY59" s="15" t="s">
        <v>34</v>
      </c>
      <c r="AZ59" s="15" t="s">
        <v>35</v>
      </c>
      <c r="BA59" s="16" t="s">
        <v>44</v>
      </c>
      <c r="BB59" s="3"/>
      <c r="BC59" s="1"/>
      <c r="BD59" s="112" t="s">
        <v>330</v>
      </c>
      <c r="BE59" s="113" t="s">
        <v>1481</v>
      </c>
      <c r="BF59" s="107">
        <v>1533</v>
      </c>
      <c r="BG59" s="107">
        <v>22995</v>
      </c>
      <c r="BH59" s="143">
        <v>44946</v>
      </c>
      <c r="BI59" s="107" t="s">
        <v>385</v>
      </c>
      <c r="BJ59" s="108" t="s">
        <v>1469</v>
      </c>
      <c r="BK59" s="107" t="s">
        <v>456</v>
      </c>
      <c r="BL59" s="144">
        <v>1</v>
      </c>
      <c r="BM59" s="1"/>
      <c r="BN59" s="1"/>
      <c r="BO59" s="1"/>
      <c r="BP59" s="1"/>
      <c r="DH59" t="s">
        <v>1482</v>
      </c>
      <c r="DI59" t="s">
        <v>665</v>
      </c>
      <c r="DJ59" s="131" t="s">
        <v>666</v>
      </c>
      <c r="DK59" t="s">
        <v>1483</v>
      </c>
      <c r="DL59" t="s">
        <v>669</v>
      </c>
      <c r="DM59" t="s">
        <v>670</v>
      </c>
      <c r="DN59" t="s">
        <v>1484</v>
      </c>
      <c r="DO59" t="s">
        <v>727</v>
      </c>
      <c r="DP59" t="s">
        <v>728</v>
      </c>
      <c r="DR59" t="s">
        <v>1482</v>
      </c>
      <c r="DS59" t="s">
        <v>665</v>
      </c>
      <c r="DT59" s="131" t="s">
        <v>666</v>
      </c>
      <c r="DU59" t="s">
        <v>1483</v>
      </c>
      <c r="DV59" t="s">
        <v>669</v>
      </c>
      <c r="DW59" t="s">
        <v>670</v>
      </c>
      <c r="DX59" t="s">
        <v>1484</v>
      </c>
      <c r="DY59" t="s">
        <v>727</v>
      </c>
      <c r="DZ59" t="s">
        <v>728</v>
      </c>
      <c r="EC59" s="147" t="s">
        <v>1485</v>
      </c>
      <c r="ED59" s="5" t="s">
        <v>1485</v>
      </c>
      <c r="EE59" s="5" t="s">
        <v>613</v>
      </c>
      <c r="EF59" s="5" t="s">
        <v>613</v>
      </c>
      <c r="EG59" s="5" t="s">
        <v>1486</v>
      </c>
      <c r="EH59" s="5"/>
      <c r="EK59" s="147" t="s">
        <v>1487</v>
      </c>
      <c r="EL59" s="5" t="s">
        <v>1488</v>
      </c>
      <c r="EM59" s="5" t="s">
        <v>1489</v>
      </c>
      <c r="EN59" s="5"/>
    </row>
    <row r="60" spans="1:144" ht="16.5" customHeight="1" x14ac:dyDescent="0.3">
      <c r="D60" s="105"/>
      <c r="E60" s="105"/>
      <c r="L60" s="138" t="s">
        <v>1490</v>
      </c>
      <c r="N60" s="138" t="s">
        <v>1491</v>
      </c>
      <c r="O60" s="110"/>
      <c r="AL60" s="110"/>
      <c r="AM60" s="17" t="s">
        <v>36</v>
      </c>
      <c r="AN60" s="6">
        <v>30</v>
      </c>
      <c r="AO60" s="6">
        <v>25</v>
      </c>
      <c r="AP60" s="6">
        <v>5</v>
      </c>
      <c r="AQ60" s="6">
        <v>5</v>
      </c>
      <c r="AR60" s="6">
        <v>55</v>
      </c>
      <c r="AS60" s="6">
        <v>55</v>
      </c>
      <c r="AT60" s="6">
        <v>-3</v>
      </c>
      <c r="AU60" s="6">
        <v>-3</v>
      </c>
      <c r="AV60" s="8">
        <v>15</v>
      </c>
      <c r="AW60" s="8">
        <v>60</v>
      </c>
      <c r="AX60" s="288">
        <v>15</v>
      </c>
      <c r="AY60" s="5">
        <v>15</v>
      </c>
      <c r="AZ60" s="5">
        <v>60</v>
      </c>
      <c r="BA60" s="19" t="s">
        <v>36</v>
      </c>
      <c r="BB60" s="3"/>
      <c r="BC60" s="1"/>
      <c r="BD60" s="112" t="s">
        <v>791</v>
      </c>
      <c r="BE60" s="113" t="s">
        <v>1492</v>
      </c>
      <c r="BF60" s="107">
        <v>1960</v>
      </c>
      <c r="BG60" s="107">
        <v>23520</v>
      </c>
      <c r="BH60" s="143">
        <v>44946</v>
      </c>
      <c r="BI60" s="107" t="s">
        <v>385</v>
      </c>
      <c r="BJ60" s="108" t="s">
        <v>718</v>
      </c>
      <c r="BK60" s="107" t="s">
        <v>456</v>
      </c>
      <c r="BL60" s="144">
        <v>1</v>
      </c>
      <c r="BM60" s="1"/>
      <c r="BN60" s="1"/>
      <c r="BO60" s="1"/>
      <c r="BP60" s="1"/>
      <c r="DH60" t="s">
        <v>1493</v>
      </c>
      <c r="DI60" t="s">
        <v>696</v>
      </c>
      <c r="DJ60" s="131" t="s">
        <v>697</v>
      </c>
      <c r="DK60" t="s">
        <v>1494</v>
      </c>
      <c r="DL60" t="s">
        <v>642</v>
      </c>
      <c r="DM60" t="s">
        <v>643</v>
      </c>
      <c r="DN60" t="s">
        <v>1495</v>
      </c>
      <c r="DO60" t="s">
        <v>78</v>
      </c>
      <c r="DP60" t="s">
        <v>751</v>
      </c>
      <c r="DR60" t="s">
        <v>1493</v>
      </c>
      <c r="DS60" t="s">
        <v>696</v>
      </c>
      <c r="DT60" s="131" t="s">
        <v>697</v>
      </c>
      <c r="DU60" t="s">
        <v>1494</v>
      </c>
      <c r="DV60" t="s">
        <v>642</v>
      </c>
      <c r="DW60" t="s">
        <v>643</v>
      </c>
      <c r="DX60" t="s">
        <v>1495</v>
      </c>
      <c r="DY60" t="s">
        <v>78</v>
      </c>
      <c r="DZ60" t="s">
        <v>751</v>
      </c>
      <c r="EC60" s="147" t="s">
        <v>1496</v>
      </c>
      <c r="ED60" s="5" t="s">
        <v>1497</v>
      </c>
      <c r="EE60" s="5" t="s">
        <v>613</v>
      </c>
      <c r="EF60" s="5" t="s">
        <v>613</v>
      </c>
      <c r="EG60" s="5" t="s">
        <v>1498</v>
      </c>
      <c r="EH60" s="5"/>
      <c r="EK60" s="147" t="s">
        <v>1499</v>
      </c>
      <c r="EL60" s="5" t="s">
        <v>1500</v>
      </c>
      <c r="EM60" s="5" t="s">
        <v>1211</v>
      </c>
      <c r="EN60" s="5"/>
    </row>
    <row r="61" spans="1:144" ht="16.5" customHeight="1" x14ac:dyDescent="0.3">
      <c r="L61" s="138" t="s">
        <v>1501</v>
      </c>
      <c r="N61" s="138" t="s">
        <v>1502</v>
      </c>
      <c r="O61" s="110"/>
      <c r="AL61" s="110"/>
      <c r="AM61" s="17" t="s">
        <v>37</v>
      </c>
      <c r="AN61" s="6">
        <v>10</v>
      </c>
      <c r="AO61" s="6">
        <v>0</v>
      </c>
      <c r="AP61" s="6">
        <v>40</v>
      </c>
      <c r="AQ61" s="6">
        <v>12</v>
      </c>
      <c r="AR61" s="6">
        <v>3</v>
      </c>
      <c r="AS61" s="6">
        <v>3</v>
      </c>
      <c r="AT61" s="6">
        <v>40</v>
      </c>
      <c r="AU61" s="6">
        <v>10</v>
      </c>
      <c r="AV61" s="8">
        <v>5</v>
      </c>
      <c r="AW61" s="8">
        <v>142</v>
      </c>
      <c r="AX61" s="288">
        <v>75</v>
      </c>
      <c r="AY61" s="5">
        <v>0</v>
      </c>
      <c r="AZ61" s="5">
        <v>137</v>
      </c>
      <c r="BA61" s="19" t="s">
        <v>37</v>
      </c>
      <c r="BB61" s="3"/>
      <c r="BC61" s="1"/>
      <c r="BD61" s="112" t="s">
        <v>1020</v>
      </c>
      <c r="BE61" s="113" t="s">
        <v>1503</v>
      </c>
      <c r="BF61" s="107">
        <v>1958</v>
      </c>
      <c r="BG61" s="107">
        <v>23496</v>
      </c>
      <c r="BH61" s="143">
        <v>44951</v>
      </c>
      <c r="BI61" s="107" t="s">
        <v>385</v>
      </c>
      <c r="BJ61" s="108" t="s">
        <v>743</v>
      </c>
      <c r="BK61" s="107" t="s">
        <v>456</v>
      </c>
      <c r="BL61" s="144">
        <v>1</v>
      </c>
      <c r="BM61" s="1"/>
      <c r="BN61" s="1"/>
      <c r="BO61" s="1"/>
      <c r="BP61" s="1"/>
      <c r="DH61" t="s">
        <v>1504</v>
      </c>
      <c r="DI61" t="s">
        <v>721</v>
      </c>
      <c r="DJ61" s="131" t="s">
        <v>722</v>
      </c>
      <c r="DK61" t="s">
        <v>1505</v>
      </c>
      <c r="DL61" t="s">
        <v>669</v>
      </c>
      <c r="DM61" t="s">
        <v>670</v>
      </c>
      <c r="DN61" t="s">
        <v>1506</v>
      </c>
      <c r="DO61" t="s">
        <v>80</v>
      </c>
      <c r="DP61" t="s">
        <v>776</v>
      </c>
      <c r="DR61" t="s">
        <v>1504</v>
      </c>
      <c r="DS61" t="s">
        <v>721</v>
      </c>
      <c r="DT61" s="131" t="s">
        <v>722</v>
      </c>
      <c r="DU61" t="s">
        <v>1505</v>
      </c>
      <c r="DV61" t="s">
        <v>669</v>
      </c>
      <c r="DW61" t="s">
        <v>670</v>
      </c>
      <c r="DX61" t="s">
        <v>1506</v>
      </c>
      <c r="DY61" t="s">
        <v>80</v>
      </c>
      <c r="DZ61" t="s">
        <v>776</v>
      </c>
      <c r="EC61" s="147" t="s">
        <v>1507</v>
      </c>
      <c r="ED61" s="5" t="s">
        <v>1507</v>
      </c>
      <c r="EE61" s="5" t="s">
        <v>613</v>
      </c>
      <c r="EF61" s="5" t="s">
        <v>613</v>
      </c>
      <c r="EG61" s="5" t="s">
        <v>1508</v>
      </c>
      <c r="EH61" s="5"/>
      <c r="EK61" s="147" t="s">
        <v>1509</v>
      </c>
      <c r="EL61" s="5" t="s">
        <v>1510</v>
      </c>
      <c r="EM61" s="5" t="s">
        <v>1511</v>
      </c>
      <c r="EN61" s="5"/>
    </row>
    <row r="62" spans="1:144" ht="16.5" customHeight="1" x14ac:dyDescent="0.3">
      <c r="L62" s="138" t="s">
        <v>534</v>
      </c>
      <c r="N62" s="138" t="s">
        <v>1512</v>
      </c>
      <c r="O62" s="110"/>
      <c r="AL62" s="110"/>
      <c r="AM62" s="17" t="s">
        <v>38</v>
      </c>
      <c r="AN62" s="6">
        <v>250</v>
      </c>
      <c r="AO62" s="6">
        <v>267</v>
      </c>
      <c r="AP62" s="6">
        <v>190</v>
      </c>
      <c r="AQ62" s="6">
        <v>240</v>
      </c>
      <c r="AR62" s="6">
        <v>260</v>
      </c>
      <c r="AS62" s="6">
        <v>260</v>
      </c>
      <c r="AT62" s="6">
        <v>190</v>
      </c>
      <c r="AU62" s="6">
        <v>250</v>
      </c>
      <c r="AV62" s="8">
        <v>120</v>
      </c>
      <c r="AW62" s="8">
        <v>120</v>
      </c>
      <c r="AX62" s="288">
        <v>110</v>
      </c>
      <c r="AY62" s="5">
        <v>130</v>
      </c>
      <c r="AZ62" s="5">
        <v>130</v>
      </c>
      <c r="BA62" s="19" t="s">
        <v>38</v>
      </c>
      <c r="BB62" s="3"/>
      <c r="BC62" s="1"/>
      <c r="BD62" s="112" t="s">
        <v>676</v>
      </c>
      <c r="BE62" s="113" t="s">
        <v>1513</v>
      </c>
      <c r="BF62" s="107">
        <v>2300</v>
      </c>
      <c r="BG62" s="107">
        <v>23000</v>
      </c>
      <c r="BH62" s="143">
        <v>44952</v>
      </c>
      <c r="BI62" s="107" t="s">
        <v>385</v>
      </c>
      <c r="BJ62" s="108" t="s">
        <v>502</v>
      </c>
      <c r="BK62" s="107" t="s">
        <v>524</v>
      </c>
      <c r="BL62" s="144">
        <v>1</v>
      </c>
      <c r="BM62" s="1"/>
      <c r="BN62" s="1"/>
      <c r="BO62" s="1"/>
      <c r="BP62" s="1"/>
      <c r="DH62" t="s">
        <v>1514</v>
      </c>
      <c r="DI62" t="s">
        <v>747</v>
      </c>
      <c r="DJ62" s="131" t="s">
        <v>748</v>
      </c>
      <c r="DK62" t="s">
        <v>984</v>
      </c>
      <c r="DL62" t="s">
        <v>700</v>
      </c>
      <c r="DM62" t="s">
        <v>701</v>
      </c>
      <c r="DN62" t="s">
        <v>1515</v>
      </c>
      <c r="DO62" t="s">
        <v>800</v>
      </c>
      <c r="DP62" s="203" t="s">
        <v>801</v>
      </c>
      <c r="DR62" t="s">
        <v>1514</v>
      </c>
      <c r="DS62" t="s">
        <v>747</v>
      </c>
      <c r="DT62" s="131" t="s">
        <v>748</v>
      </c>
      <c r="DU62" t="s">
        <v>984</v>
      </c>
      <c r="DV62" t="s">
        <v>700</v>
      </c>
      <c r="DW62" t="s">
        <v>701</v>
      </c>
      <c r="DX62" t="s">
        <v>1515</v>
      </c>
      <c r="DY62" t="s">
        <v>800</v>
      </c>
      <c r="DZ62" s="203" t="s">
        <v>801</v>
      </c>
      <c r="EC62" s="147" t="s">
        <v>1516</v>
      </c>
      <c r="ED62" s="5" t="s">
        <v>1517</v>
      </c>
      <c r="EE62" s="5" t="s">
        <v>613</v>
      </c>
      <c r="EF62" s="5" t="s">
        <v>613</v>
      </c>
      <c r="EG62" s="5" t="s">
        <v>1518</v>
      </c>
      <c r="EH62" s="5"/>
      <c r="EK62" s="147" t="s">
        <v>1519</v>
      </c>
      <c r="EL62" s="5" t="s">
        <v>1520</v>
      </c>
      <c r="EM62" s="5" t="s">
        <v>1521</v>
      </c>
      <c r="EN62" s="5"/>
    </row>
    <row r="63" spans="1:144" ht="16.5" customHeight="1" x14ac:dyDescent="0.3">
      <c r="L63" s="138" t="s">
        <v>1522</v>
      </c>
      <c r="N63" s="138" t="s">
        <v>1523</v>
      </c>
      <c r="O63" s="110"/>
      <c r="AL63" s="110"/>
      <c r="AM63" s="17" t="s">
        <v>39</v>
      </c>
      <c r="AN63" s="6">
        <v>80</v>
      </c>
      <c r="AO63" s="6">
        <v>80</v>
      </c>
      <c r="AP63" s="6">
        <v>40</v>
      </c>
      <c r="AQ63" s="6">
        <v>40</v>
      </c>
      <c r="AR63" s="6">
        <v>67</v>
      </c>
      <c r="AS63" s="6">
        <v>67</v>
      </c>
      <c r="AT63" s="6">
        <v>42</v>
      </c>
      <c r="AU63" s="6">
        <v>42</v>
      </c>
      <c r="AV63" s="8">
        <v>50</v>
      </c>
      <c r="AW63" s="8">
        <v>50</v>
      </c>
      <c r="AX63" s="288">
        <v>100</v>
      </c>
      <c r="AY63" s="5">
        <v>50</v>
      </c>
      <c r="AZ63" s="5">
        <v>50</v>
      </c>
      <c r="BA63" s="19" t="s">
        <v>39</v>
      </c>
      <c r="BB63" s="3"/>
      <c r="BC63" s="1"/>
      <c r="BD63" s="112" t="s">
        <v>901</v>
      </c>
      <c r="BE63" s="113" t="s">
        <v>1524</v>
      </c>
      <c r="BF63" s="107">
        <v>1500</v>
      </c>
      <c r="BG63" s="107">
        <v>22500</v>
      </c>
      <c r="BH63" s="143">
        <v>44952</v>
      </c>
      <c r="BI63" s="107" t="s">
        <v>385</v>
      </c>
      <c r="BJ63" s="108" t="s">
        <v>502</v>
      </c>
      <c r="BK63" s="107" t="s">
        <v>456</v>
      </c>
      <c r="BL63" s="144">
        <v>1</v>
      </c>
      <c r="BM63" s="1"/>
      <c r="BN63" s="1"/>
      <c r="BO63" s="1"/>
      <c r="BP63" s="1"/>
      <c r="DH63" t="s">
        <v>1525</v>
      </c>
      <c r="DI63" t="s">
        <v>770</v>
      </c>
      <c r="DJ63" s="131" t="s">
        <v>771</v>
      </c>
      <c r="DK63" t="s">
        <v>1526</v>
      </c>
      <c r="DL63" t="s">
        <v>1223</v>
      </c>
      <c r="DM63" t="s">
        <v>1224</v>
      </c>
      <c r="DN63" t="s">
        <v>1527</v>
      </c>
      <c r="DO63" t="s">
        <v>822</v>
      </c>
      <c r="DP63" t="s">
        <v>823</v>
      </c>
      <c r="DR63" t="s">
        <v>1525</v>
      </c>
      <c r="DS63" t="s">
        <v>770</v>
      </c>
      <c r="DT63" s="131" t="s">
        <v>771</v>
      </c>
      <c r="DU63" t="s">
        <v>1526</v>
      </c>
      <c r="DV63" t="s">
        <v>1223</v>
      </c>
      <c r="DW63" t="s">
        <v>1224</v>
      </c>
      <c r="DX63" t="s">
        <v>1527</v>
      </c>
      <c r="DY63" t="s">
        <v>822</v>
      </c>
      <c r="DZ63" t="s">
        <v>823</v>
      </c>
      <c r="EC63" s="147" t="s">
        <v>1528</v>
      </c>
      <c r="ED63" s="5" t="s">
        <v>1529</v>
      </c>
      <c r="EE63" s="5" t="s">
        <v>613</v>
      </c>
      <c r="EF63" s="5" t="s">
        <v>613</v>
      </c>
      <c r="EG63" s="5" t="s">
        <v>1530</v>
      </c>
      <c r="EH63" s="5"/>
      <c r="EK63" s="147" t="s">
        <v>1531</v>
      </c>
      <c r="EL63" s="5" t="s">
        <v>1532</v>
      </c>
      <c r="EM63" s="5" t="s">
        <v>1533</v>
      </c>
      <c r="EN63" s="5"/>
    </row>
    <row r="64" spans="1:144" ht="16.5" customHeight="1" thickBot="1" x14ac:dyDescent="0.35">
      <c r="L64" s="138" t="s">
        <v>559</v>
      </c>
      <c r="N64" s="138" t="s">
        <v>1534</v>
      </c>
      <c r="O64" s="110"/>
      <c r="AL64" s="110"/>
      <c r="AM64" s="20" t="s">
        <v>40</v>
      </c>
      <c r="AN64" s="22">
        <v>50</v>
      </c>
      <c r="AO64" s="22">
        <v>40</v>
      </c>
      <c r="AP64" s="22">
        <v>34</v>
      </c>
      <c r="AQ64" s="22">
        <v>32</v>
      </c>
      <c r="AR64" s="22">
        <v>50</v>
      </c>
      <c r="AS64" s="22">
        <v>37</v>
      </c>
      <c r="AT64" s="22">
        <v>36</v>
      </c>
      <c r="AU64" s="22">
        <v>36</v>
      </c>
      <c r="AV64" s="23">
        <v>45</v>
      </c>
      <c r="AW64" s="23">
        <v>45</v>
      </c>
      <c r="AX64" s="289">
        <v>80</v>
      </c>
      <c r="AY64" s="291">
        <v>35</v>
      </c>
      <c r="AZ64" s="291">
        <v>35</v>
      </c>
      <c r="BA64" s="24" t="s">
        <v>40</v>
      </c>
      <c r="BB64" s="3"/>
      <c r="BC64" s="1"/>
      <c r="BD64" s="112" t="s">
        <v>676</v>
      </c>
      <c r="BE64" s="113" t="s">
        <v>1535</v>
      </c>
      <c r="BF64" s="107">
        <v>2300</v>
      </c>
      <c r="BG64" s="107">
        <v>23000</v>
      </c>
      <c r="BH64" s="143">
        <v>44953</v>
      </c>
      <c r="BI64" s="107" t="s">
        <v>385</v>
      </c>
      <c r="BJ64" s="108" t="s">
        <v>502</v>
      </c>
      <c r="BK64" s="107" t="s">
        <v>524</v>
      </c>
      <c r="BL64" s="144">
        <v>1</v>
      </c>
      <c r="BM64" s="1"/>
      <c r="BN64" s="1"/>
      <c r="BO64" s="1"/>
      <c r="BP64" s="1"/>
      <c r="DH64" t="s">
        <v>1536</v>
      </c>
      <c r="DI64" t="s">
        <v>796</v>
      </c>
      <c r="DJ64" s="131" t="s">
        <v>797</v>
      </c>
      <c r="DK64" t="s">
        <v>1537</v>
      </c>
      <c r="DL64" t="s">
        <v>727</v>
      </c>
      <c r="DM64" t="s">
        <v>728</v>
      </c>
      <c r="DN64" t="s">
        <v>1538</v>
      </c>
      <c r="DO64" t="s">
        <v>845</v>
      </c>
      <c r="DP64" s="203" t="s">
        <v>846</v>
      </c>
      <c r="DR64" t="s">
        <v>1536</v>
      </c>
      <c r="DS64" t="s">
        <v>796</v>
      </c>
      <c r="DT64" s="131" t="s">
        <v>797</v>
      </c>
      <c r="DU64" t="s">
        <v>1537</v>
      </c>
      <c r="DV64" t="s">
        <v>727</v>
      </c>
      <c r="DW64" t="s">
        <v>728</v>
      </c>
      <c r="DX64" t="s">
        <v>1538</v>
      </c>
      <c r="DY64" t="s">
        <v>845</v>
      </c>
      <c r="DZ64" s="203" t="s">
        <v>846</v>
      </c>
      <c r="EC64" s="147" t="s">
        <v>1539</v>
      </c>
      <c r="ED64" s="5" t="s">
        <v>1540</v>
      </c>
      <c r="EE64" s="5" t="s">
        <v>613</v>
      </c>
      <c r="EF64" s="5" t="s">
        <v>613</v>
      </c>
      <c r="EG64" s="5" t="s">
        <v>1541</v>
      </c>
      <c r="EH64" s="5"/>
      <c r="EK64" s="147" t="s">
        <v>1542</v>
      </c>
      <c r="EL64" s="5" t="s">
        <v>1543</v>
      </c>
      <c r="EM64" s="5" t="s">
        <v>1358</v>
      </c>
      <c r="EN64" s="5"/>
    </row>
    <row r="65" spans="12:144" ht="16.5" customHeight="1" x14ac:dyDescent="0.3">
      <c r="L65" s="138" t="s">
        <v>1544</v>
      </c>
      <c r="N65" s="138" t="s">
        <v>1545</v>
      </c>
      <c r="O65" s="110"/>
      <c r="AL65" s="110"/>
      <c r="AM65" s="2" t="s">
        <v>60</v>
      </c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4"/>
      <c r="BA65" s="4"/>
      <c r="BB65" s="3"/>
      <c r="BC65" s="1"/>
      <c r="BD65" s="112" t="s">
        <v>1546</v>
      </c>
      <c r="BE65" s="113" t="s">
        <v>1547</v>
      </c>
      <c r="BF65" s="107">
        <v>1958</v>
      </c>
      <c r="BG65" s="107">
        <v>23496</v>
      </c>
      <c r="BH65" s="143">
        <v>44953</v>
      </c>
      <c r="BI65" s="107" t="s">
        <v>385</v>
      </c>
      <c r="BJ65" s="108" t="s">
        <v>743</v>
      </c>
      <c r="BK65" s="107" t="s">
        <v>456</v>
      </c>
      <c r="BL65" s="144">
        <v>1</v>
      </c>
      <c r="BM65" s="1"/>
      <c r="BN65" s="1"/>
      <c r="BO65" s="1"/>
      <c r="BP65" s="1"/>
      <c r="DH65" t="s">
        <v>1548</v>
      </c>
      <c r="DI65" t="s">
        <v>818</v>
      </c>
      <c r="DJ65" s="131" t="s">
        <v>819</v>
      </c>
      <c r="DK65" t="s">
        <v>1549</v>
      </c>
      <c r="DL65" t="s">
        <v>1238</v>
      </c>
      <c r="DM65" t="s">
        <v>1239</v>
      </c>
      <c r="DN65" t="s">
        <v>1550</v>
      </c>
      <c r="DO65" t="s">
        <v>869</v>
      </c>
      <c r="DP65" t="s">
        <v>870</v>
      </c>
      <c r="DR65" t="s">
        <v>1548</v>
      </c>
      <c r="DS65" t="s">
        <v>818</v>
      </c>
      <c r="DT65" s="131" t="s">
        <v>819</v>
      </c>
      <c r="DU65" t="s">
        <v>1549</v>
      </c>
      <c r="DV65" t="s">
        <v>1238</v>
      </c>
      <c r="DW65" t="s">
        <v>1239</v>
      </c>
      <c r="DX65" t="s">
        <v>1550</v>
      </c>
      <c r="DY65" t="s">
        <v>869</v>
      </c>
      <c r="DZ65" t="s">
        <v>870</v>
      </c>
      <c r="EC65" s="147" t="s">
        <v>1551</v>
      </c>
      <c r="ED65" s="5" t="s">
        <v>1551</v>
      </c>
      <c r="EE65" s="5" t="s">
        <v>613</v>
      </c>
      <c r="EF65" s="5" t="s">
        <v>613</v>
      </c>
      <c r="EG65" s="5" t="s">
        <v>1552</v>
      </c>
      <c r="EH65" s="5"/>
      <c r="EK65" s="147" t="s">
        <v>1553</v>
      </c>
      <c r="EL65" s="5" t="s">
        <v>1554</v>
      </c>
      <c r="EM65" s="5" t="s">
        <v>1555</v>
      </c>
      <c r="EN65" s="5"/>
    </row>
    <row r="66" spans="12:144" ht="16.5" customHeight="1" x14ac:dyDescent="0.3">
      <c r="L66" s="138" t="s">
        <v>1556</v>
      </c>
      <c r="N66" s="138" t="s">
        <v>1557</v>
      </c>
      <c r="O66" s="110"/>
      <c r="AL66" s="110"/>
      <c r="AM66" s="5" t="s">
        <v>3</v>
      </c>
      <c r="AN66" s="5" t="s">
        <v>4</v>
      </c>
      <c r="AO66" s="5" t="s">
        <v>5</v>
      </c>
      <c r="AP66" s="5" t="s">
        <v>6</v>
      </c>
      <c r="AQ66" s="5" t="s">
        <v>7</v>
      </c>
      <c r="AR66" s="5" t="s">
        <v>8</v>
      </c>
      <c r="AS66" s="5" t="s">
        <v>9</v>
      </c>
      <c r="AT66" s="1"/>
      <c r="AU66" s="1"/>
      <c r="AV66" s="1"/>
      <c r="AW66" s="1"/>
      <c r="AX66" s="1"/>
      <c r="AY66" s="4"/>
      <c r="BA66" s="4"/>
      <c r="BB66" s="3"/>
      <c r="BC66" s="1"/>
      <c r="BD66" s="112" t="s">
        <v>1546</v>
      </c>
      <c r="BE66" s="113" t="s">
        <v>1558</v>
      </c>
      <c r="BF66" s="107">
        <v>1958</v>
      </c>
      <c r="BG66" s="107">
        <v>23496</v>
      </c>
      <c r="BH66" s="143">
        <v>44953</v>
      </c>
      <c r="BI66" s="107" t="s">
        <v>385</v>
      </c>
      <c r="BJ66" s="108" t="s">
        <v>743</v>
      </c>
      <c r="BK66" s="107" t="s">
        <v>456</v>
      </c>
      <c r="BL66" s="144">
        <v>1</v>
      </c>
      <c r="BM66" s="1"/>
      <c r="BN66" s="1"/>
      <c r="BO66" s="1"/>
      <c r="BP66" s="1"/>
      <c r="DH66" t="s">
        <v>1352</v>
      </c>
      <c r="DI66" t="s">
        <v>530</v>
      </c>
      <c r="DJ66" s="211" t="s">
        <v>531</v>
      </c>
      <c r="DK66" t="s">
        <v>1559</v>
      </c>
      <c r="DL66" t="s">
        <v>700</v>
      </c>
      <c r="DM66" t="s">
        <v>701</v>
      </c>
      <c r="DR66" t="s">
        <v>1352</v>
      </c>
      <c r="DS66" t="s">
        <v>530</v>
      </c>
      <c r="DT66" s="211" t="s">
        <v>531</v>
      </c>
      <c r="DU66" t="s">
        <v>1559</v>
      </c>
      <c r="DV66" t="s">
        <v>700</v>
      </c>
      <c r="DW66" t="s">
        <v>701</v>
      </c>
      <c r="EC66" s="147" t="s">
        <v>1560</v>
      </c>
      <c r="ED66" s="5" t="s">
        <v>1560</v>
      </c>
      <c r="EE66" s="5" t="s">
        <v>613</v>
      </c>
      <c r="EF66" s="5" t="s">
        <v>613</v>
      </c>
      <c r="EG66" s="5" t="s">
        <v>1561</v>
      </c>
      <c r="EH66" s="5"/>
      <c r="EK66" s="147" t="s">
        <v>1562</v>
      </c>
      <c r="EL66" s="5" t="s">
        <v>1563</v>
      </c>
      <c r="EM66" s="5" t="s">
        <v>1564</v>
      </c>
      <c r="EN66" s="5"/>
    </row>
    <row r="67" spans="12:144" ht="16.5" customHeight="1" x14ac:dyDescent="0.3">
      <c r="L67" s="138" t="s">
        <v>1565</v>
      </c>
      <c r="N67" s="138" t="s">
        <v>1566</v>
      </c>
      <c r="O67" s="110"/>
      <c r="AL67" s="110"/>
      <c r="AM67" s="5" t="s">
        <v>10</v>
      </c>
      <c r="AN67" s="5" t="s">
        <v>11</v>
      </c>
      <c r="AO67" s="5" t="s">
        <v>12</v>
      </c>
      <c r="AP67" s="5" t="s">
        <v>13</v>
      </c>
      <c r="AQ67" s="5" t="s">
        <v>14</v>
      </c>
      <c r="AR67" s="5" t="s">
        <v>15</v>
      </c>
      <c r="AS67" s="5" t="s">
        <v>16</v>
      </c>
      <c r="AT67" s="1"/>
      <c r="AU67" s="1"/>
      <c r="AV67" s="1"/>
      <c r="AW67" s="1"/>
      <c r="AX67" s="1"/>
      <c r="AY67" s="4"/>
      <c r="BA67" s="4"/>
      <c r="BB67" s="3"/>
      <c r="BC67" s="1"/>
      <c r="BD67" s="112" t="s">
        <v>676</v>
      </c>
      <c r="BE67" s="113" t="s">
        <v>1567</v>
      </c>
      <c r="BF67" s="107">
        <v>2300</v>
      </c>
      <c r="BG67" s="107">
        <v>23000</v>
      </c>
      <c r="BH67" s="143">
        <v>44953</v>
      </c>
      <c r="BI67" s="107" t="s">
        <v>385</v>
      </c>
      <c r="BJ67" s="108" t="s">
        <v>502</v>
      </c>
      <c r="BK67" s="107" t="s">
        <v>524</v>
      </c>
      <c r="BL67" s="144">
        <v>1</v>
      </c>
      <c r="BM67" s="1"/>
      <c r="BN67" s="1"/>
      <c r="BO67" s="1"/>
      <c r="BP67" s="1"/>
      <c r="DH67" t="s">
        <v>1568</v>
      </c>
      <c r="DI67" t="s">
        <v>555</v>
      </c>
      <c r="DJ67" s="131" t="s">
        <v>556</v>
      </c>
      <c r="DK67" t="s">
        <v>1569</v>
      </c>
      <c r="DL67" t="s">
        <v>1223</v>
      </c>
      <c r="DM67" t="s">
        <v>1224</v>
      </c>
      <c r="DR67" t="s">
        <v>1568</v>
      </c>
      <c r="DS67" t="s">
        <v>555</v>
      </c>
      <c r="DT67" s="131" t="s">
        <v>556</v>
      </c>
      <c r="DU67" t="s">
        <v>1569</v>
      </c>
      <c r="DV67" t="s">
        <v>1223</v>
      </c>
      <c r="DW67" t="s">
        <v>1224</v>
      </c>
      <c r="EC67" s="147" t="s">
        <v>1570</v>
      </c>
      <c r="ED67" s="5" t="s">
        <v>1571</v>
      </c>
      <c r="EE67" s="5" t="s">
        <v>613</v>
      </c>
      <c r="EF67" s="5" t="s">
        <v>613</v>
      </c>
      <c r="EG67" s="5" t="s">
        <v>1572</v>
      </c>
      <c r="EH67" s="5"/>
      <c r="EK67"/>
    </row>
    <row r="68" spans="12:144" ht="16.5" customHeight="1" x14ac:dyDescent="0.3">
      <c r="L68" s="138" t="s">
        <v>1573</v>
      </c>
      <c r="N68" s="138" t="s">
        <v>1574</v>
      </c>
      <c r="O68" s="110"/>
      <c r="AL68" s="110"/>
      <c r="AM68" s="1" t="s">
        <v>70</v>
      </c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4"/>
      <c r="BA68" s="4"/>
      <c r="BB68" s="3"/>
      <c r="BC68" s="1"/>
      <c r="BD68" s="112" t="s">
        <v>676</v>
      </c>
      <c r="BE68" s="113" t="s">
        <v>1575</v>
      </c>
      <c r="BF68" s="107">
        <v>2300</v>
      </c>
      <c r="BG68" s="107">
        <v>23000</v>
      </c>
      <c r="BH68" s="143">
        <v>44953</v>
      </c>
      <c r="BI68" s="107" t="s">
        <v>385</v>
      </c>
      <c r="BJ68" s="108" t="s">
        <v>502</v>
      </c>
      <c r="BK68" s="107" t="s">
        <v>524</v>
      </c>
      <c r="BL68" s="144">
        <v>1</v>
      </c>
      <c r="BM68" s="1"/>
      <c r="BN68" s="1"/>
      <c r="BO68" s="1"/>
      <c r="BP68" s="1"/>
      <c r="DH68" t="s">
        <v>1365</v>
      </c>
      <c r="DI68" t="s">
        <v>577</v>
      </c>
      <c r="DJ68" s="211" t="s">
        <v>578</v>
      </c>
      <c r="DK68" t="s">
        <v>1576</v>
      </c>
      <c r="DL68" t="s">
        <v>727</v>
      </c>
      <c r="DM68" t="s">
        <v>728</v>
      </c>
      <c r="DR68" t="s">
        <v>1365</v>
      </c>
      <c r="DS68" t="s">
        <v>577</v>
      </c>
      <c r="DT68" s="211" t="s">
        <v>578</v>
      </c>
      <c r="DU68" t="s">
        <v>1576</v>
      </c>
      <c r="DV68" t="s">
        <v>727</v>
      </c>
      <c r="DW68" t="s">
        <v>728</v>
      </c>
      <c r="EC68" s="147" t="s">
        <v>1577</v>
      </c>
      <c r="ED68" s="5" t="s">
        <v>1578</v>
      </c>
      <c r="EE68" s="5" t="s">
        <v>613</v>
      </c>
      <c r="EF68" s="5" t="s">
        <v>613</v>
      </c>
      <c r="EG68" s="5" t="s">
        <v>1572</v>
      </c>
      <c r="EH68" s="5"/>
      <c r="EK68"/>
    </row>
    <row r="69" spans="12:144" ht="16.5" customHeight="1" x14ac:dyDescent="0.3">
      <c r="L69" s="138" t="s">
        <v>1579</v>
      </c>
      <c r="N69" s="138" t="s">
        <v>1580</v>
      </c>
      <c r="O69" s="110"/>
      <c r="AL69" s="110"/>
      <c r="AM69" s="1" t="s">
        <v>2874</v>
      </c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4"/>
      <c r="BA69" s="4"/>
      <c r="BB69" s="3"/>
      <c r="BC69" s="1"/>
      <c r="BD69" s="112" t="s">
        <v>423</v>
      </c>
      <c r="BE69" s="113" t="s">
        <v>1581</v>
      </c>
      <c r="BF69" s="107">
        <v>1958</v>
      </c>
      <c r="BG69" s="107">
        <v>23496</v>
      </c>
      <c r="BH69" s="143">
        <v>44953</v>
      </c>
      <c r="BI69" s="107" t="s">
        <v>385</v>
      </c>
      <c r="BJ69" s="108" t="s">
        <v>743</v>
      </c>
      <c r="BK69" s="107" t="s">
        <v>456</v>
      </c>
      <c r="BL69" s="144">
        <v>1</v>
      </c>
      <c r="BM69" s="1"/>
      <c r="BN69" s="1"/>
      <c r="BO69" s="1"/>
      <c r="BP69" s="1"/>
      <c r="DH69" t="s">
        <v>1582</v>
      </c>
      <c r="DI69" t="s">
        <v>609</v>
      </c>
      <c r="DJ69" s="131" t="s">
        <v>610</v>
      </c>
      <c r="DK69" t="s">
        <v>1583</v>
      </c>
      <c r="DL69" t="s">
        <v>1238</v>
      </c>
      <c r="DM69" t="s">
        <v>1239</v>
      </c>
      <c r="DR69" t="s">
        <v>1582</v>
      </c>
      <c r="DS69" t="s">
        <v>609</v>
      </c>
      <c r="DT69" s="131" t="s">
        <v>610</v>
      </c>
      <c r="DU69" t="s">
        <v>1583</v>
      </c>
      <c r="DV69" t="s">
        <v>1238</v>
      </c>
      <c r="DW69" t="s">
        <v>1239</v>
      </c>
      <c r="EC69" s="147" t="s">
        <v>1584</v>
      </c>
      <c r="ED69" s="5" t="s">
        <v>1585</v>
      </c>
      <c r="EE69" s="5" t="s">
        <v>613</v>
      </c>
      <c r="EF69" s="5" t="s">
        <v>613</v>
      </c>
      <c r="EG69" s="5" t="s">
        <v>1586</v>
      </c>
      <c r="EH69" s="5"/>
      <c r="EK69"/>
    </row>
    <row r="70" spans="12:144" ht="16.5" customHeight="1" x14ac:dyDescent="0.3">
      <c r="L70" s="138" t="s">
        <v>1587</v>
      </c>
      <c r="N70" s="138" t="s">
        <v>1588</v>
      </c>
      <c r="O70" s="110"/>
      <c r="AL70" s="110"/>
      <c r="AM70" s="269" t="s">
        <v>2870</v>
      </c>
      <c r="AN70" s="267" t="s">
        <v>1</v>
      </c>
      <c r="AO70" s="268" t="s">
        <v>2</v>
      </c>
      <c r="AP70" s="268" t="s">
        <v>2866</v>
      </c>
      <c r="AQ70" s="268" t="s">
        <v>2868</v>
      </c>
      <c r="AR70" s="268" t="s">
        <v>2869</v>
      </c>
      <c r="AS70" s="1"/>
      <c r="AT70" s="1"/>
      <c r="AU70" s="1"/>
      <c r="AV70" s="1"/>
      <c r="AW70" s="1"/>
      <c r="AX70" s="1"/>
      <c r="AY70" s="4"/>
      <c r="BA70" s="4"/>
      <c r="BB70" s="3"/>
      <c r="BC70" s="1"/>
      <c r="BD70" s="112" t="s">
        <v>1589</v>
      </c>
      <c r="BE70" s="90" t="s">
        <v>1590</v>
      </c>
      <c r="BF70" s="107">
        <v>1958</v>
      </c>
      <c r="BG70" s="107">
        <v>23496</v>
      </c>
      <c r="BH70" s="143">
        <v>44953</v>
      </c>
      <c r="BI70" s="107" t="s">
        <v>1591</v>
      </c>
      <c r="BJ70" s="108" t="s">
        <v>1592</v>
      </c>
      <c r="BK70" s="107" t="s">
        <v>1593</v>
      </c>
      <c r="BL70" s="144">
        <v>1</v>
      </c>
      <c r="BM70" s="1"/>
      <c r="BN70" s="1"/>
      <c r="BO70" s="1"/>
      <c r="BP70" s="1"/>
      <c r="DH70" t="s">
        <v>1594</v>
      </c>
      <c r="DI70" t="s">
        <v>642</v>
      </c>
      <c r="DJ70" s="131" t="s">
        <v>643</v>
      </c>
      <c r="DK70" t="s">
        <v>1156</v>
      </c>
      <c r="DL70" t="s">
        <v>78</v>
      </c>
      <c r="DM70" t="s">
        <v>751</v>
      </c>
      <c r="DR70" t="s">
        <v>1594</v>
      </c>
      <c r="DS70" t="s">
        <v>642</v>
      </c>
      <c r="DT70" s="131" t="s">
        <v>643</v>
      </c>
      <c r="DU70" t="s">
        <v>1156</v>
      </c>
      <c r="DV70" t="s">
        <v>78</v>
      </c>
      <c r="DW70" t="s">
        <v>751</v>
      </c>
      <c r="EC70" s="147" t="s">
        <v>1595</v>
      </c>
      <c r="ED70" s="5" t="s">
        <v>1596</v>
      </c>
      <c r="EE70" s="5" t="s">
        <v>613</v>
      </c>
      <c r="EF70" s="5" t="s">
        <v>613</v>
      </c>
      <c r="EG70" s="5" t="s">
        <v>1597</v>
      </c>
      <c r="EH70" s="5"/>
      <c r="EK70"/>
    </row>
    <row r="71" spans="12:144" ht="16.5" customHeight="1" x14ac:dyDescent="0.3">
      <c r="L71" s="138" t="s">
        <v>1598</v>
      </c>
      <c r="N71" s="138" t="s">
        <v>1599</v>
      </c>
      <c r="O71" s="110"/>
      <c r="AL71" s="110"/>
      <c r="AM71" s="1" t="s">
        <v>74</v>
      </c>
      <c r="AN71" s="58" t="s">
        <v>2872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4"/>
      <c r="BA71" s="4"/>
      <c r="BB71" s="3"/>
      <c r="BC71" s="1"/>
      <c r="BD71" s="112" t="s">
        <v>709</v>
      </c>
      <c r="BE71" s="90" t="s">
        <v>1600</v>
      </c>
      <c r="BF71" s="107">
        <v>1960</v>
      </c>
      <c r="BG71" s="107">
        <v>23520</v>
      </c>
      <c r="BH71" s="143">
        <v>44953</v>
      </c>
      <c r="BI71" s="107" t="s">
        <v>1591</v>
      </c>
      <c r="BJ71" s="108" t="s">
        <v>1601</v>
      </c>
      <c r="BK71" s="107" t="s">
        <v>1593</v>
      </c>
      <c r="BL71" s="144">
        <v>1</v>
      </c>
      <c r="BM71" s="1"/>
      <c r="BN71" s="1"/>
      <c r="BO71" s="1"/>
      <c r="BP71" s="1"/>
      <c r="DH71" t="s">
        <v>1602</v>
      </c>
      <c r="DI71" t="s">
        <v>669</v>
      </c>
      <c r="DJ71" s="131" t="s">
        <v>670</v>
      </c>
      <c r="DK71" t="s">
        <v>1185</v>
      </c>
      <c r="DL71" t="s">
        <v>1603</v>
      </c>
      <c r="DM71" t="s">
        <v>1604</v>
      </c>
      <c r="DR71" t="s">
        <v>1602</v>
      </c>
      <c r="DS71" t="s">
        <v>669</v>
      </c>
      <c r="DT71" s="131" t="s">
        <v>670</v>
      </c>
      <c r="DU71" t="s">
        <v>1185</v>
      </c>
      <c r="DV71" t="s">
        <v>1603</v>
      </c>
      <c r="DW71" t="s">
        <v>1604</v>
      </c>
      <c r="EC71" s="147" t="s">
        <v>1605</v>
      </c>
      <c r="ED71" s="5" t="s">
        <v>1605</v>
      </c>
      <c r="EE71" s="5" t="s">
        <v>613</v>
      </c>
      <c r="EF71" s="5" t="s">
        <v>613</v>
      </c>
      <c r="EG71" s="5" t="s">
        <v>1606</v>
      </c>
      <c r="EH71" s="5"/>
      <c r="EK71"/>
    </row>
    <row r="72" spans="12:144" ht="16.5" customHeight="1" x14ac:dyDescent="0.3">
      <c r="L72" s="138" t="s">
        <v>1607</v>
      </c>
      <c r="N72" s="138" t="s">
        <v>1608</v>
      </c>
      <c r="O72" s="110"/>
      <c r="AL72" s="110"/>
      <c r="AM72" s="1" t="s">
        <v>74</v>
      </c>
      <c r="AN72" s="1" t="s">
        <v>2871</v>
      </c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4"/>
      <c r="BA72" s="4"/>
      <c r="BB72" s="3"/>
      <c r="BC72" s="1"/>
      <c r="BD72" s="112" t="s">
        <v>1384</v>
      </c>
      <c r="BE72" s="90" t="s">
        <v>1609</v>
      </c>
      <c r="BF72" s="107">
        <v>1916</v>
      </c>
      <c r="BG72" s="107">
        <v>22992</v>
      </c>
      <c r="BH72" s="143">
        <v>44956</v>
      </c>
      <c r="BI72" s="107" t="s">
        <v>1591</v>
      </c>
      <c r="BJ72" s="108" t="s">
        <v>1610</v>
      </c>
      <c r="BK72" s="107" t="s">
        <v>1593</v>
      </c>
      <c r="BL72" s="144">
        <v>1</v>
      </c>
      <c r="BM72" s="1"/>
      <c r="BN72" s="1"/>
      <c r="BO72" s="1"/>
      <c r="BP72" s="1"/>
      <c r="DH72" t="s">
        <v>1401</v>
      </c>
      <c r="DI72" t="s">
        <v>700</v>
      </c>
      <c r="DJ72" s="131" t="s">
        <v>701</v>
      </c>
      <c r="DK72" t="s">
        <v>1202</v>
      </c>
      <c r="DL72" t="s">
        <v>80</v>
      </c>
      <c r="DM72" t="s">
        <v>776</v>
      </c>
      <c r="DR72" t="s">
        <v>1401</v>
      </c>
      <c r="DS72" t="s">
        <v>700</v>
      </c>
      <c r="DT72" s="131" t="s">
        <v>701</v>
      </c>
      <c r="DU72" t="s">
        <v>1202</v>
      </c>
      <c r="DV72" t="s">
        <v>80</v>
      </c>
      <c r="DW72" t="s">
        <v>776</v>
      </c>
      <c r="EC72" s="147" t="s">
        <v>1611</v>
      </c>
      <c r="ED72" s="5" t="s">
        <v>1611</v>
      </c>
      <c r="EE72" s="5" t="s">
        <v>613</v>
      </c>
      <c r="EF72" s="5" t="s">
        <v>613</v>
      </c>
      <c r="EG72" s="5" t="s">
        <v>1612</v>
      </c>
      <c r="EH72" s="5"/>
      <c r="EK72"/>
    </row>
    <row r="73" spans="12:144" ht="16.5" customHeight="1" x14ac:dyDescent="0.3">
      <c r="L73" s="138" t="s">
        <v>1613</v>
      </c>
      <c r="N73" s="138" t="s">
        <v>1614</v>
      </c>
      <c r="O73" s="110"/>
      <c r="AL73" s="110"/>
      <c r="AM73" s="1" t="s">
        <v>74</v>
      </c>
      <c r="AN73" s="1" t="s">
        <v>2873</v>
      </c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4"/>
      <c r="BA73" s="4"/>
      <c r="BB73" s="3"/>
      <c r="BC73" s="1"/>
      <c r="BD73" s="112" t="s">
        <v>1384</v>
      </c>
      <c r="BE73" s="90" t="s">
        <v>1615</v>
      </c>
      <c r="BF73" s="107">
        <v>1916</v>
      </c>
      <c r="BG73" s="107">
        <v>22992</v>
      </c>
      <c r="BH73" s="143">
        <v>44956</v>
      </c>
      <c r="BI73" s="107" t="s">
        <v>1591</v>
      </c>
      <c r="BJ73" s="108" t="s">
        <v>1610</v>
      </c>
      <c r="BK73" s="107" t="s">
        <v>1593</v>
      </c>
      <c r="BL73" s="144">
        <v>1</v>
      </c>
      <c r="BM73" s="1"/>
      <c r="BN73" s="1"/>
      <c r="BO73" s="1"/>
      <c r="BP73" s="1"/>
      <c r="DH73" t="s">
        <v>1426</v>
      </c>
      <c r="DI73" t="s">
        <v>727</v>
      </c>
      <c r="DJ73" s="131" t="s">
        <v>728</v>
      </c>
      <c r="DK73" t="s">
        <v>1616</v>
      </c>
      <c r="DL73" t="s">
        <v>1617</v>
      </c>
      <c r="DM73" t="s">
        <v>1618</v>
      </c>
      <c r="DR73" t="s">
        <v>1426</v>
      </c>
      <c r="DS73" t="s">
        <v>727</v>
      </c>
      <c r="DT73" s="131" t="s">
        <v>728</v>
      </c>
      <c r="DU73" t="s">
        <v>1616</v>
      </c>
      <c r="DV73" t="s">
        <v>1617</v>
      </c>
      <c r="DW73" t="s">
        <v>1618</v>
      </c>
      <c r="EC73" s="147" t="s">
        <v>1619</v>
      </c>
      <c r="ED73" s="5" t="s">
        <v>1619</v>
      </c>
      <c r="EE73" s="5" t="s">
        <v>613</v>
      </c>
      <c r="EF73" s="5" t="s">
        <v>613</v>
      </c>
      <c r="EG73" s="5" t="s">
        <v>1620</v>
      </c>
      <c r="EH73" s="5"/>
      <c r="EK73"/>
    </row>
    <row r="74" spans="12:144" ht="16.5" customHeight="1" x14ac:dyDescent="0.3">
      <c r="L74" s="217" t="s">
        <v>1621</v>
      </c>
      <c r="N74" s="138" t="s">
        <v>1622</v>
      </c>
      <c r="O74" s="110"/>
      <c r="AL74" s="110"/>
      <c r="AM74" s="2" t="s">
        <v>17</v>
      </c>
      <c r="AN74" s="1"/>
      <c r="AO74" s="9" t="s">
        <v>81</v>
      </c>
      <c r="AP74" s="10" t="s">
        <v>82</v>
      </c>
      <c r="AQ74" s="9" t="s">
        <v>83</v>
      </c>
      <c r="AR74" s="10" t="s">
        <v>84</v>
      </c>
      <c r="AS74" s="1"/>
      <c r="AT74" s="1"/>
      <c r="AU74" s="1"/>
      <c r="AV74" s="1"/>
      <c r="AW74" s="1"/>
      <c r="AX74" s="1"/>
      <c r="AY74" s="4"/>
      <c r="BA74" s="4"/>
      <c r="BB74" s="3"/>
      <c r="BC74" s="1"/>
      <c r="BD74" s="112" t="s">
        <v>1589</v>
      </c>
      <c r="BE74" s="90" t="s">
        <v>1623</v>
      </c>
      <c r="BF74" s="107">
        <v>1958</v>
      </c>
      <c r="BG74" s="107">
        <v>23496</v>
      </c>
      <c r="BH74" s="143">
        <v>44956</v>
      </c>
      <c r="BI74" s="107" t="s">
        <v>1591</v>
      </c>
      <c r="BJ74" s="108" t="s">
        <v>1592</v>
      </c>
      <c r="BK74" s="107" t="s">
        <v>1593</v>
      </c>
      <c r="BL74" s="144">
        <v>1</v>
      </c>
      <c r="BM74" s="1"/>
      <c r="BN74" s="1"/>
      <c r="BO74" s="1"/>
      <c r="BP74" s="1"/>
      <c r="DH74" t="s">
        <v>1624</v>
      </c>
      <c r="DI74" t="s">
        <v>1223</v>
      </c>
      <c r="DJ74" s="131" t="s">
        <v>1224</v>
      </c>
      <c r="DK74" t="s">
        <v>1625</v>
      </c>
      <c r="DL74" t="s">
        <v>78</v>
      </c>
      <c r="DM74" t="s">
        <v>751</v>
      </c>
      <c r="DR74" t="s">
        <v>1624</v>
      </c>
      <c r="DS74" t="s">
        <v>1223</v>
      </c>
      <c r="DT74" s="131" t="s">
        <v>1224</v>
      </c>
      <c r="DU74" t="s">
        <v>1625</v>
      </c>
      <c r="DV74" t="s">
        <v>78</v>
      </c>
      <c r="DW74" t="s">
        <v>751</v>
      </c>
      <c r="EC74" s="147" t="s">
        <v>1626</v>
      </c>
      <c r="ED74" s="5" t="s">
        <v>1627</v>
      </c>
      <c r="EE74" s="5" t="s">
        <v>613</v>
      </c>
      <c r="EF74" s="5" t="s">
        <v>613</v>
      </c>
      <c r="EG74" s="5" t="s">
        <v>1628</v>
      </c>
      <c r="EH74" s="5"/>
      <c r="EK74"/>
    </row>
    <row r="75" spans="12:144" ht="16.5" customHeight="1" x14ac:dyDescent="0.3">
      <c r="L75" s="138" t="s">
        <v>1629</v>
      </c>
      <c r="N75" s="138" t="s">
        <v>1630</v>
      </c>
      <c r="O75" s="110"/>
      <c r="AL75" s="110"/>
      <c r="AM75" s="5" t="s">
        <v>3</v>
      </c>
      <c r="AN75" s="5" t="s">
        <v>4</v>
      </c>
      <c r="AO75" s="5" t="s">
        <v>5</v>
      </c>
      <c r="AP75" s="5" t="s">
        <v>6</v>
      </c>
      <c r="AQ75" s="5" t="s">
        <v>7</v>
      </c>
      <c r="AR75" s="5" t="s">
        <v>8</v>
      </c>
      <c r="AS75" s="5" t="s">
        <v>9</v>
      </c>
      <c r="AT75" s="1"/>
      <c r="AU75" s="1"/>
      <c r="AV75" s="1"/>
      <c r="AW75" s="1"/>
      <c r="AX75" s="1"/>
      <c r="AY75" s="4"/>
      <c r="BA75" s="4"/>
      <c r="BB75" s="3"/>
      <c r="BC75" s="1"/>
      <c r="BD75" s="112" t="s">
        <v>901</v>
      </c>
      <c r="BE75" s="90" t="s">
        <v>1631</v>
      </c>
      <c r="BF75" s="107">
        <v>1500</v>
      </c>
      <c r="BG75" s="107">
        <v>22500</v>
      </c>
      <c r="BH75" s="143">
        <v>44957</v>
      </c>
      <c r="BI75" s="107" t="s">
        <v>1591</v>
      </c>
      <c r="BJ75" s="108" t="s">
        <v>475</v>
      </c>
      <c r="BK75" s="107" t="s">
        <v>1593</v>
      </c>
      <c r="BL75" s="144">
        <v>1</v>
      </c>
      <c r="BM75" s="1"/>
      <c r="BN75" s="1"/>
      <c r="BO75" s="1"/>
      <c r="BP75" s="1"/>
      <c r="DH75" t="s">
        <v>1632</v>
      </c>
      <c r="DI75" t="s">
        <v>1238</v>
      </c>
      <c r="DJ75" s="131" t="s">
        <v>1239</v>
      </c>
      <c r="DK75" t="s">
        <v>1633</v>
      </c>
      <c r="DL75" t="s">
        <v>1603</v>
      </c>
      <c r="DM75" t="s">
        <v>1604</v>
      </c>
      <c r="DR75" t="s">
        <v>1632</v>
      </c>
      <c r="DS75" t="s">
        <v>1238</v>
      </c>
      <c r="DT75" s="131" t="s">
        <v>1239</v>
      </c>
      <c r="DU75" t="s">
        <v>1633</v>
      </c>
      <c r="DV75" t="s">
        <v>1603</v>
      </c>
      <c r="DW75" t="s">
        <v>1604</v>
      </c>
      <c r="EC75" s="147" t="s">
        <v>1634</v>
      </c>
      <c r="ED75" s="5" t="s">
        <v>1635</v>
      </c>
      <c r="EE75" s="5" t="s">
        <v>613</v>
      </c>
      <c r="EF75" s="5" t="s">
        <v>613</v>
      </c>
      <c r="EG75" s="5" t="s">
        <v>1636</v>
      </c>
      <c r="EH75" s="5"/>
      <c r="EK75"/>
    </row>
    <row r="76" spans="12:144" ht="16.5" customHeight="1" x14ac:dyDescent="0.3">
      <c r="L76" s="138" t="s">
        <v>1637</v>
      </c>
      <c r="N76" s="138" t="s">
        <v>1638</v>
      </c>
      <c r="O76" s="110"/>
      <c r="AL76" s="110"/>
      <c r="AM76" s="5" t="s">
        <v>18</v>
      </c>
      <c r="AN76" s="5" t="s">
        <v>19</v>
      </c>
      <c r="AO76" s="5" t="s">
        <v>12</v>
      </c>
      <c r="AP76" s="5" t="s">
        <v>13</v>
      </c>
      <c r="AQ76" s="5" t="s">
        <v>20</v>
      </c>
      <c r="AR76" s="5" t="s">
        <v>21</v>
      </c>
      <c r="AS76" s="5" t="s">
        <v>22</v>
      </c>
      <c r="AT76" s="1"/>
      <c r="AU76" s="1"/>
      <c r="AV76" s="1"/>
      <c r="AW76" s="1"/>
      <c r="AX76" s="1"/>
      <c r="AY76" s="4"/>
      <c r="BA76" s="4"/>
      <c r="BB76" s="3"/>
      <c r="BC76" s="1"/>
      <c r="BD76" s="112" t="s">
        <v>330</v>
      </c>
      <c r="BE76" s="90" t="s">
        <v>1639</v>
      </c>
      <c r="BF76" s="107">
        <v>1533</v>
      </c>
      <c r="BG76" s="107">
        <v>22995</v>
      </c>
      <c r="BH76" s="143">
        <v>44957</v>
      </c>
      <c r="BI76" s="107" t="s">
        <v>1591</v>
      </c>
      <c r="BJ76" s="108" t="s">
        <v>1640</v>
      </c>
      <c r="BK76" s="107" t="s">
        <v>1593</v>
      </c>
      <c r="BL76" s="144">
        <v>1</v>
      </c>
      <c r="BM76" s="1"/>
      <c r="BN76" s="1"/>
      <c r="BO76" s="1"/>
      <c r="BP76" s="1"/>
      <c r="DH76" t="s">
        <v>1447</v>
      </c>
      <c r="DI76" t="s">
        <v>78</v>
      </c>
      <c r="DJ76" s="131" t="s">
        <v>751</v>
      </c>
      <c r="DK76" t="s">
        <v>1641</v>
      </c>
      <c r="DL76" t="s">
        <v>80</v>
      </c>
      <c r="DM76" t="s">
        <v>776</v>
      </c>
      <c r="DR76" t="s">
        <v>1447</v>
      </c>
      <c r="DS76" t="s">
        <v>78</v>
      </c>
      <c r="DT76" s="131" t="s">
        <v>751</v>
      </c>
      <c r="DU76" t="s">
        <v>1641</v>
      </c>
      <c r="DV76" t="s">
        <v>80</v>
      </c>
      <c r="DW76" t="s">
        <v>776</v>
      </c>
      <c r="EC76" s="147" t="s">
        <v>1642</v>
      </c>
      <c r="ED76" s="5" t="s">
        <v>1643</v>
      </c>
      <c r="EE76" s="5" t="s">
        <v>613</v>
      </c>
      <c r="EF76" s="5" t="s">
        <v>613</v>
      </c>
      <c r="EG76" s="5" t="s">
        <v>1644</v>
      </c>
      <c r="EH76" s="5"/>
      <c r="EK76"/>
    </row>
    <row r="77" spans="12:144" ht="16.5" customHeight="1" x14ac:dyDescent="0.3">
      <c r="L77" s="138" t="s">
        <v>1645</v>
      </c>
      <c r="N77" s="138" t="s">
        <v>1646</v>
      </c>
      <c r="O77" s="110"/>
      <c r="AL77" s="110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3"/>
      <c r="BC77" s="1"/>
      <c r="BD77" s="112" t="s">
        <v>1020</v>
      </c>
      <c r="BE77" s="90" t="s">
        <v>1647</v>
      </c>
      <c r="BF77" s="107">
        <v>1958</v>
      </c>
      <c r="BG77" s="107">
        <v>23496</v>
      </c>
      <c r="BH77" s="143">
        <v>44957</v>
      </c>
      <c r="BI77" s="107" t="s">
        <v>1591</v>
      </c>
      <c r="BJ77" s="108" t="s">
        <v>1592</v>
      </c>
      <c r="BK77" s="107" t="s">
        <v>1593</v>
      </c>
      <c r="BL77" s="144">
        <v>1</v>
      </c>
      <c r="BM77" s="1"/>
      <c r="BN77" s="1"/>
      <c r="BO77" s="1"/>
      <c r="BP77" s="1"/>
      <c r="DH77" t="s">
        <v>1459</v>
      </c>
      <c r="DI77" t="s">
        <v>80</v>
      </c>
      <c r="DJ77" s="131" t="s">
        <v>776</v>
      </c>
      <c r="DK77" t="s">
        <v>1648</v>
      </c>
      <c r="DL77" t="s">
        <v>1617</v>
      </c>
      <c r="DM77" t="s">
        <v>1618</v>
      </c>
      <c r="DR77" t="s">
        <v>1459</v>
      </c>
      <c r="DS77" t="s">
        <v>80</v>
      </c>
      <c r="DT77" s="131" t="s">
        <v>776</v>
      </c>
      <c r="DU77" t="s">
        <v>1648</v>
      </c>
      <c r="DV77" t="s">
        <v>1617</v>
      </c>
      <c r="DW77" t="s">
        <v>1618</v>
      </c>
      <c r="EC77" s="147" t="s">
        <v>1649</v>
      </c>
      <c r="ED77" s="5" t="s">
        <v>1650</v>
      </c>
      <c r="EE77" s="5" t="s">
        <v>613</v>
      </c>
      <c r="EF77" s="5" t="s">
        <v>613</v>
      </c>
      <c r="EG77" s="5" t="s">
        <v>1644</v>
      </c>
      <c r="EH77" s="5"/>
      <c r="EK77"/>
    </row>
    <row r="78" spans="12:144" ht="16.5" customHeight="1" x14ac:dyDescent="0.3">
      <c r="L78" s="138" t="s">
        <v>705</v>
      </c>
      <c r="N78" s="138" t="s">
        <v>1651</v>
      </c>
      <c r="O78" s="110"/>
      <c r="AL78" s="110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3"/>
      <c r="BC78" s="1"/>
      <c r="BD78" s="112" t="s">
        <v>676</v>
      </c>
      <c r="BE78" s="90" t="s">
        <v>1652</v>
      </c>
      <c r="BF78" s="107">
        <v>2300</v>
      </c>
      <c r="BG78" s="107">
        <v>23000</v>
      </c>
      <c r="BH78" s="143">
        <v>44958</v>
      </c>
      <c r="BI78" s="107" t="s">
        <v>1591</v>
      </c>
      <c r="BJ78" s="108" t="s">
        <v>475</v>
      </c>
      <c r="BK78" s="107" t="s">
        <v>1653</v>
      </c>
      <c r="BL78" s="144">
        <v>1</v>
      </c>
      <c r="BM78" s="1"/>
      <c r="BN78" s="1"/>
      <c r="BO78" s="1"/>
      <c r="BP78" s="1"/>
      <c r="DH78" t="s">
        <v>1654</v>
      </c>
      <c r="DI78" t="s">
        <v>1063</v>
      </c>
      <c r="DJ78" s="131" t="s">
        <v>1064</v>
      </c>
      <c r="DK78" t="s">
        <v>1655</v>
      </c>
      <c r="DL78" t="s">
        <v>1234</v>
      </c>
      <c r="DM78" t="s">
        <v>1235</v>
      </c>
      <c r="DR78" t="s">
        <v>1654</v>
      </c>
      <c r="DS78" t="s">
        <v>1063</v>
      </c>
      <c r="DT78" s="131" t="s">
        <v>1064</v>
      </c>
      <c r="DU78" t="s">
        <v>1655</v>
      </c>
      <c r="DV78" t="s">
        <v>1234</v>
      </c>
      <c r="DW78" t="s">
        <v>1235</v>
      </c>
      <c r="EC78" s="147" t="s">
        <v>1656</v>
      </c>
      <c r="ED78" s="5" t="s">
        <v>1656</v>
      </c>
      <c r="EE78" s="5" t="s">
        <v>613</v>
      </c>
      <c r="EF78" s="5" t="s">
        <v>613</v>
      </c>
      <c r="EG78" s="5" t="s">
        <v>1657</v>
      </c>
      <c r="EH78" s="5"/>
      <c r="EK78"/>
    </row>
    <row r="79" spans="12:144" ht="16.5" customHeight="1" x14ac:dyDescent="0.3">
      <c r="L79" s="138" t="s">
        <v>1658</v>
      </c>
      <c r="N79" s="138" t="s">
        <v>1659</v>
      </c>
      <c r="O79" s="110"/>
      <c r="AL79" s="110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3"/>
      <c r="BC79" s="1"/>
      <c r="BD79" s="112" t="s">
        <v>901</v>
      </c>
      <c r="BE79" s="90" t="s">
        <v>1660</v>
      </c>
      <c r="BF79" s="107">
        <v>1568</v>
      </c>
      <c r="BG79" s="107">
        <v>23520</v>
      </c>
      <c r="BH79" s="143">
        <v>44960</v>
      </c>
      <c r="BI79" s="107" t="s">
        <v>1591</v>
      </c>
      <c r="BJ79" s="108" t="s">
        <v>1661</v>
      </c>
      <c r="BK79" s="107" t="s">
        <v>1593</v>
      </c>
      <c r="BL79" s="144">
        <v>1</v>
      </c>
      <c r="BM79" s="1"/>
      <c r="BN79" s="1"/>
      <c r="BO79" s="1"/>
      <c r="BP79" s="1"/>
      <c r="DH79" t="s">
        <v>1662</v>
      </c>
      <c r="DI79" t="s">
        <v>1089</v>
      </c>
      <c r="DJ79" s="131" t="s">
        <v>1090</v>
      </c>
      <c r="DK79" t="s">
        <v>1663</v>
      </c>
      <c r="DL79" t="s">
        <v>1268</v>
      </c>
      <c r="DM79" t="s">
        <v>1269</v>
      </c>
      <c r="DR79" t="s">
        <v>1662</v>
      </c>
      <c r="DS79" t="s">
        <v>1089</v>
      </c>
      <c r="DT79" s="131" t="s">
        <v>1090</v>
      </c>
      <c r="DU79" t="s">
        <v>1663</v>
      </c>
      <c r="DV79" t="s">
        <v>1268</v>
      </c>
      <c r="DW79" t="s">
        <v>1269</v>
      </c>
      <c r="EC79" s="147" t="s">
        <v>1664</v>
      </c>
      <c r="ED79" s="5" t="s">
        <v>1665</v>
      </c>
      <c r="EE79" s="5" t="s">
        <v>613</v>
      </c>
      <c r="EF79" s="5" t="s">
        <v>613</v>
      </c>
      <c r="EG79" s="5" t="s">
        <v>1666</v>
      </c>
      <c r="EH79" s="5"/>
      <c r="EK79"/>
    </row>
    <row r="80" spans="12:144" ht="16.5" customHeight="1" x14ac:dyDescent="0.3">
      <c r="L80" s="138" t="s">
        <v>1667</v>
      </c>
      <c r="N80" s="138" t="s">
        <v>1668</v>
      </c>
      <c r="O80" s="110"/>
      <c r="AL80" s="110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3"/>
      <c r="BC80" s="1"/>
      <c r="BD80" s="112" t="s">
        <v>1384</v>
      </c>
      <c r="BE80" s="90" t="s">
        <v>1669</v>
      </c>
      <c r="BF80" s="107">
        <v>1916</v>
      </c>
      <c r="BG80" s="107">
        <v>22992</v>
      </c>
      <c r="BH80" s="143">
        <v>44963</v>
      </c>
      <c r="BI80" s="107" t="s">
        <v>1591</v>
      </c>
      <c r="BJ80" s="108" t="s">
        <v>1610</v>
      </c>
      <c r="BK80" s="107" t="s">
        <v>1593</v>
      </c>
      <c r="BL80" s="144">
        <v>1</v>
      </c>
      <c r="BM80" s="1"/>
      <c r="BN80" s="1"/>
      <c r="BO80" s="1"/>
      <c r="BP80" s="1"/>
      <c r="DH80" t="s">
        <v>1670</v>
      </c>
      <c r="DI80" t="s">
        <v>1114</v>
      </c>
      <c r="DJ80" s="131" t="s">
        <v>1115</v>
      </c>
      <c r="DK80" t="s">
        <v>1671</v>
      </c>
      <c r="DL80" t="s">
        <v>1234</v>
      </c>
      <c r="DM80" t="s">
        <v>1235</v>
      </c>
      <c r="DR80" t="s">
        <v>1670</v>
      </c>
      <c r="DS80" t="s">
        <v>1114</v>
      </c>
      <c r="DT80" s="131" t="s">
        <v>1115</v>
      </c>
      <c r="DU80" t="s">
        <v>1671</v>
      </c>
      <c r="DV80" t="s">
        <v>1234</v>
      </c>
      <c r="DW80" t="s">
        <v>1235</v>
      </c>
      <c r="EC80" s="147" t="s">
        <v>1672</v>
      </c>
      <c r="ED80" s="5" t="s">
        <v>1672</v>
      </c>
      <c r="EE80" s="5" t="s">
        <v>613</v>
      </c>
      <c r="EF80" s="5" t="s">
        <v>613</v>
      </c>
      <c r="EG80" s="5" t="s">
        <v>1673</v>
      </c>
      <c r="EH80" s="5"/>
      <c r="EK80"/>
    </row>
    <row r="81" spans="12:141" ht="16.5" customHeight="1" x14ac:dyDescent="0.3">
      <c r="L81" s="138" t="s">
        <v>1674</v>
      </c>
      <c r="N81" s="138" t="s">
        <v>1675</v>
      </c>
      <c r="O81" s="110"/>
      <c r="AL81" s="110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3"/>
      <c r="BC81" s="1"/>
      <c r="BD81" s="112" t="s">
        <v>1384</v>
      </c>
      <c r="BE81" s="90" t="s">
        <v>1676</v>
      </c>
      <c r="BF81" s="107">
        <v>1916</v>
      </c>
      <c r="BG81" s="107">
        <v>22992</v>
      </c>
      <c r="BH81" s="143">
        <v>44963</v>
      </c>
      <c r="BI81" s="107" t="s">
        <v>1591</v>
      </c>
      <c r="BJ81" s="108" t="s">
        <v>1610</v>
      </c>
      <c r="BK81" s="107" t="s">
        <v>1593</v>
      </c>
      <c r="BL81" s="144">
        <v>1</v>
      </c>
      <c r="BM81" s="1"/>
      <c r="BN81" s="1"/>
      <c r="BO81" s="1"/>
      <c r="BP81" s="1"/>
      <c r="DH81" t="s">
        <v>1677</v>
      </c>
      <c r="DI81" t="s">
        <v>1137</v>
      </c>
      <c r="DJ81" s="131" t="s">
        <v>1138</v>
      </c>
      <c r="DK81" t="s">
        <v>1678</v>
      </c>
      <c r="DL81" t="s">
        <v>1268</v>
      </c>
      <c r="DM81" t="s">
        <v>1269</v>
      </c>
      <c r="DR81" t="s">
        <v>1677</v>
      </c>
      <c r="DS81" t="s">
        <v>1137</v>
      </c>
      <c r="DT81" s="131" t="s">
        <v>1138</v>
      </c>
      <c r="DU81" t="s">
        <v>1678</v>
      </c>
      <c r="DV81" t="s">
        <v>1268</v>
      </c>
      <c r="DW81" t="s">
        <v>1269</v>
      </c>
      <c r="EC81" s="147" t="s">
        <v>1679</v>
      </c>
      <c r="ED81" s="5" t="s">
        <v>1679</v>
      </c>
      <c r="EE81" s="5" t="s">
        <v>613</v>
      </c>
      <c r="EF81" s="5" t="s">
        <v>613</v>
      </c>
      <c r="EG81" s="5" t="s">
        <v>1680</v>
      </c>
      <c r="EH81" s="5"/>
      <c r="EK81"/>
    </row>
    <row r="82" spans="12:141" ht="16.5" customHeight="1" x14ac:dyDescent="0.3">
      <c r="L82" s="138" t="s">
        <v>1681</v>
      </c>
      <c r="N82" s="138" t="s">
        <v>1682</v>
      </c>
      <c r="O82" s="110"/>
      <c r="AL82" s="110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3"/>
      <c r="BC82" s="1"/>
      <c r="BD82" s="112" t="s">
        <v>330</v>
      </c>
      <c r="BE82" s="90" t="s">
        <v>1683</v>
      </c>
      <c r="BF82" s="107">
        <v>1958</v>
      </c>
      <c r="BG82" s="107">
        <v>23496</v>
      </c>
      <c r="BH82" s="143">
        <v>44963</v>
      </c>
      <c r="BI82" s="107" t="s">
        <v>1591</v>
      </c>
      <c r="BJ82" s="108" t="s">
        <v>1592</v>
      </c>
      <c r="BK82" s="107" t="s">
        <v>1593</v>
      </c>
      <c r="BL82" s="144">
        <v>1</v>
      </c>
      <c r="BM82" s="1"/>
      <c r="BN82" s="1"/>
      <c r="BO82" s="1"/>
      <c r="BP82" s="1"/>
      <c r="DH82" t="s">
        <v>1684</v>
      </c>
      <c r="DI82" t="s">
        <v>1157</v>
      </c>
      <c r="DJ82" s="131" t="s">
        <v>1158</v>
      </c>
      <c r="DK82" t="s">
        <v>1685</v>
      </c>
      <c r="DL82" t="s">
        <v>822</v>
      </c>
      <c r="DM82" t="s">
        <v>823</v>
      </c>
      <c r="DR82" t="s">
        <v>1684</v>
      </c>
      <c r="DS82" t="s">
        <v>1157</v>
      </c>
      <c r="DT82" s="131" t="s">
        <v>1158</v>
      </c>
      <c r="DU82" t="s">
        <v>1685</v>
      </c>
      <c r="DV82" t="s">
        <v>822</v>
      </c>
      <c r="DW82" t="s">
        <v>823</v>
      </c>
      <c r="EC82" s="147" t="s">
        <v>1686</v>
      </c>
      <c r="ED82" s="5" t="s">
        <v>1687</v>
      </c>
      <c r="EE82" s="5" t="s">
        <v>613</v>
      </c>
      <c r="EF82" s="5" t="s">
        <v>613</v>
      </c>
      <c r="EG82" s="5" t="s">
        <v>1680</v>
      </c>
      <c r="EH82" s="5"/>
      <c r="EK82"/>
    </row>
    <row r="83" spans="12:141" ht="16.5" customHeight="1" x14ac:dyDescent="0.3">
      <c r="L83" s="138" t="s">
        <v>1688</v>
      </c>
      <c r="N83" s="138" t="s">
        <v>1689</v>
      </c>
      <c r="O83" s="110"/>
      <c r="AL83" s="110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3"/>
      <c r="BC83" s="1"/>
      <c r="BD83" s="112" t="s">
        <v>805</v>
      </c>
      <c r="BE83" s="90" t="s">
        <v>1690</v>
      </c>
      <c r="BF83" s="107">
        <v>1950</v>
      </c>
      <c r="BG83" s="107">
        <v>23400</v>
      </c>
      <c r="BH83" s="143">
        <v>44964</v>
      </c>
      <c r="BI83" s="107" t="s">
        <v>1591</v>
      </c>
      <c r="BJ83" s="108" t="s">
        <v>449</v>
      </c>
      <c r="BK83" s="107" t="s">
        <v>1691</v>
      </c>
      <c r="BL83" s="144">
        <v>1</v>
      </c>
      <c r="BM83" s="1"/>
      <c r="BN83" s="1"/>
      <c r="BO83" s="1"/>
      <c r="BP83" s="1"/>
      <c r="DH83" t="s">
        <v>1692</v>
      </c>
      <c r="DI83" t="s">
        <v>1171</v>
      </c>
      <c r="DJ83" s="131" t="s">
        <v>1172</v>
      </c>
      <c r="DK83" t="s">
        <v>1693</v>
      </c>
      <c r="DL83" t="s">
        <v>869</v>
      </c>
      <c r="DM83" t="s">
        <v>870</v>
      </c>
      <c r="DR83" t="s">
        <v>1692</v>
      </c>
      <c r="DS83" t="s">
        <v>1171</v>
      </c>
      <c r="DT83" s="131" t="s">
        <v>1172</v>
      </c>
      <c r="DU83" t="s">
        <v>1693</v>
      </c>
      <c r="DV83" t="s">
        <v>869</v>
      </c>
      <c r="DW83" t="s">
        <v>870</v>
      </c>
      <c r="EC83" s="147" t="s">
        <v>1694</v>
      </c>
      <c r="ED83" s="5" t="s">
        <v>1695</v>
      </c>
      <c r="EE83" s="5" t="s">
        <v>613</v>
      </c>
      <c r="EF83" s="5" t="s">
        <v>613</v>
      </c>
      <c r="EG83" s="5" t="s">
        <v>1696</v>
      </c>
      <c r="EH83" s="5"/>
      <c r="EK83"/>
    </row>
    <row r="84" spans="12:141" ht="16.5" customHeight="1" x14ac:dyDescent="0.3">
      <c r="L84" s="138" t="s">
        <v>412</v>
      </c>
      <c r="N84" s="138" t="s">
        <v>1697</v>
      </c>
      <c r="O84" s="110"/>
      <c r="AL84" s="110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3"/>
      <c r="BC84" s="1"/>
      <c r="BD84" s="112" t="s">
        <v>901</v>
      </c>
      <c r="BE84" s="90" t="s">
        <v>1698</v>
      </c>
      <c r="BF84" s="107">
        <v>1960</v>
      </c>
      <c r="BG84" s="107">
        <v>23520</v>
      </c>
      <c r="BH84" s="143">
        <v>44966</v>
      </c>
      <c r="BI84" s="107" t="s">
        <v>1591</v>
      </c>
      <c r="BJ84" s="108" t="s">
        <v>1601</v>
      </c>
      <c r="BK84" s="107" t="s">
        <v>1593</v>
      </c>
      <c r="BL84" s="144">
        <v>1</v>
      </c>
      <c r="BM84" s="1"/>
      <c r="BN84" s="1"/>
      <c r="BO84" s="1"/>
      <c r="BP84" s="1"/>
      <c r="DH84" t="s">
        <v>1699</v>
      </c>
      <c r="DI84" t="s">
        <v>1186</v>
      </c>
      <c r="DJ84" s="131" t="s">
        <v>1187</v>
      </c>
      <c r="DK84" t="s">
        <v>1700</v>
      </c>
      <c r="DL84" t="s">
        <v>822</v>
      </c>
      <c r="DM84" t="s">
        <v>823</v>
      </c>
      <c r="DR84" t="s">
        <v>1699</v>
      </c>
      <c r="DS84" t="s">
        <v>1186</v>
      </c>
      <c r="DT84" s="131" t="s">
        <v>1187</v>
      </c>
      <c r="DU84" t="s">
        <v>1700</v>
      </c>
      <c r="DV84" t="s">
        <v>822</v>
      </c>
      <c r="DW84" t="s">
        <v>823</v>
      </c>
      <c r="EC84" s="147" t="s">
        <v>1701</v>
      </c>
      <c r="ED84" s="5" t="s">
        <v>1702</v>
      </c>
      <c r="EE84" s="5" t="s">
        <v>613</v>
      </c>
      <c r="EF84" s="5" t="s">
        <v>613</v>
      </c>
      <c r="EG84" s="5" t="s">
        <v>1703</v>
      </c>
      <c r="EH84" s="5"/>
      <c r="EK84"/>
    </row>
    <row r="85" spans="12:141" ht="16.5" customHeight="1" x14ac:dyDescent="0.3">
      <c r="L85" s="138" t="s">
        <v>1704</v>
      </c>
      <c r="N85" s="138" t="s">
        <v>1705</v>
      </c>
      <c r="O85" s="110"/>
      <c r="AL85" s="110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3"/>
      <c r="BC85" s="1"/>
      <c r="BD85" s="112" t="s">
        <v>854</v>
      </c>
      <c r="BE85" s="90" t="s">
        <v>1706</v>
      </c>
      <c r="BF85" s="107">
        <v>1916</v>
      </c>
      <c r="BG85" s="107">
        <v>22992</v>
      </c>
      <c r="BH85" s="143">
        <v>44967</v>
      </c>
      <c r="BI85" s="107" t="s">
        <v>1591</v>
      </c>
      <c r="BJ85" s="108" t="s">
        <v>1610</v>
      </c>
      <c r="BK85" s="107" t="s">
        <v>1593</v>
      </c>
      <c r="BL85" s="144">
        <v>1</v>
      </c>
      <c r="BM85" s="1"/>
      <c r="BN85" s="1"/>
      <c r="BO85" s="1"/>
      <c r="BP85" s="1"/>
      <c r="DH85" t="s">
        <v>1707</v>
      </c>
      <c r="DI85" t="s">
        <v>1203</v>
      </c>
      <c r="DJ85" s="131" t="s">
        <v>1204</v>
      </c>
      <c r="DK85" t="s">
        <v>1708</v>
      </c>
      <c r="DL85" t="s">
        <v>869</v>
      </c>
      <c r="DM85" t="s">
        <v>870</v>
      </c>
      <c r="DR85" t="s">
        <v>1707</v>
      </c>
      <c r="DS85" t="s">
        <v>1203</v>
      </c>
      <c r="DT85" s="131" t="s">
        <v>1204</v>
      </c>
      <c r="DU85" t="s">
        <v>1708</v>
      </c>
      <c r="DV85" t="s">
        <v>869</v>
      </c>
      <c r="DW85" t="s">
        <v>870</v>
      </c>
      <c r="EC85" s="147" t="s">
        <v>1709</v>
      </c>
      <c r="ED85" s="5" t="s">
        <v>1710</v>
      </c>
      <c r="EE85" s="5" t="s">
        <v>613</v>
      </c>
      <c r="EF85" s="5" t="s">
        <v>613</v>
      </c>
      <c r="EG85" s="5" t="s">
        <v>1711</v>
      </c>
      <c r="EH85" s="5"/>
      <c r="EK85"/>
    </row>
    <row r="86" spans="12:141" ht="16.5" customHeight="1" x14ac:dyDescent="0.3">
      <c r="L86" s="138" t="s">
        <v>1712</v>
      </c>
      <c r="N86" s="138" t="s">
        <v>1713</v>
      </c>
      <c r="O86" s="110"/>
      <c r="AL86" s="110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3"/>
      <c r="BC86" s="1"/>
      <c r="BD86" s="112" t="s">
        <v>854</v>
      </c>
      <c r="BE86" s="90" t="s">
        <v>1714</v>
      </c>
      <c r="BF86" s="107">
        <v>1916</v>
      </c>
      <c r="BG86" s="107">
        <v>22992</v>
      </c>
      <c r="BH86" s="143">
        <v>44967</v>
      </c>
      <c r="BI86" s="107" t="s">
        <v>1591</v>
      </c>
      <c r="BJ86" s="108" t="s">
        <v>1610</v>
      </c>
      <c r="BK86" s="107" t="s">
        <v>1593</v>
      </c>
      <c r="BL86" s="144">
        <v>1</v>
      </c>
      <c r="BM86" s="1"/>
      <c r="BN86" s="1"/>
      <c r="BO86" s="1"/>
      <c r="BP86" s="1"/>
      <c r="DH86" t="s">
        <v>1715</v>
      </c>
      <c r="DI86" t="s">
        <v>1218</v>
      </c>
      <c r="DJ86" s="131" t="s">
        <v>1219</v>
      </c>
      <c r="DK86" t="s">
        <v>1716</v>
      </c>
      <c r="DL86" t="s">
        <v>800</v>
      </c>
      <c r="DM86" s="203" t="s">
        <v>801</v>
      </c>
      <c r="DR86" t="s">
        <v>1715</v>
      </c>
      <c r="DS86" t="s">
        <v>1218</v>
      </c>
      <c r="DT86" s="131" t="s">
        <v>1219</v>
      </c>
      <c r="DU86" t="s">
        <v>1716</v>
      </c>
      <c r="DV86" t="s">
        <v>800</v>
      </c>
      <c r="DW86" s="203" t="s">
        <v>801</v>
      </c>
      <c r="EC86" s="147" t="s">
        <v>1717</v>
      </c>
      <c r="ED86" s="5" t="s">
        <v>1717</v>
      </c>
      <c r="EE86" s="5"/>
      <c r="EF86" s="5"/>
      <c r="EG86" s="5" t="s">
        <v>1718</v>
      </c>
      <c r="EH86" s="5"/>
      <c r="EK86"/>
    </row>
    <row r="87" spans="12:141" ht="16.5" customHeight="1" x14ac:dyDescent="0.3">
      <c r="L87" s="138" t="s">
        <v>1719</v>
      </c>
      <c r="N87" s="138" t="s">
        <v>1720</v>
      </c>
      <c r="O87" s="110"/>
      <c r="AL87" s="110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3"/>
      <c r="BC87" s="1"/>
      <c r="BD87" s="112" t="s">
        <v>1020</v>
      </c>
      <c r="BE87" s="90" t="s">
        <v>1721</v>
      </c>
      <c r="BF87" s="107">
        <v>1881</v>
      </c>
      <c r="BG87" s="107">
        <v>22572</v>
      </c>
      <c r="BH87" s="143">
        <v>44967</v>
      </c>
      <c r="BI87" s="107" t="s">
        <v>1591</v>
      </c>
      <c r="BJ87" s="108" t="s">
        <v>1592</v>
      </c>
      <c r="BK87" s="107" t="s">
        <v>1593</v>
      </c>
      <c r="BL87" s="144">
        <v>1</v>
      </c>
      <c r="BM87" s="1"/>
      <c r="BN87" s="1"/>
      <c r="BO87" s="1"/>
      <c r="BP87" s="1"/>
      <c r="DH87" t="s">
        <v>1722</v>
      </c>
      <c r="DI87" t="s">
        <v>1234</v>
      </c>
      <c r="DJ87" s="131" t="s">
        <v>1235</v>
      </c>
      <c r="DK87" t="s">
        <v>1723</v>
      </c>
      <c r="DL87" t="s">
        <v>845</v>
      </c>
      <c r="DM87" s="203" t="s">
        <v>846</v>
      </c>
      <c r="DR87" t="s">
        <v>1722</v>
      </c>
      <c r="DS87" t="s">
        <v>1234</v>
      </c>
      <c r="DT87" s="131" t="s">
        <v>1235</v>
      </c>
      <c r="DU87" t="s">
        <v>1723</v>
      </c>
      <c r="DV87" t="s">
        <v>845</v>
      </c>
      <c r="DW87" s="203" t="s">
        <v>846</v>
      </c>
      <c r="EC87" s="147" t="s">
        <v>1724</v>
      </c>
      <c r="ED87" s="5" t="s">
        <v>1724</v>
      </c>
      <c r="EE87" s="5" t="s">
        <v>613</v>
      </c>
      <c r="EF87" s="5" t="s">
        <v>613</v>
      </c>
      <c r="EG87" s="5" t="s">
        <v>1429</v>
      </c>
      <c r="EH87" s="5"/>
      <c r="EK87"/>
    </row>
    <row r="88" spans="12:141" ht="16.5" customHeight="1" x14ac:dyDescent="0.3">
      <c r="L88" s="138" t="s">
        <v>1725</v>
      </c>
      <c r="N88" s="138" t="s">
        <v>1726</v>
      </c>
      <c r="O88" s="110"/>
      <c r="AL88" s="110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3"/>
      <c r="BC88" s="1"/>
      <c r="BD88" s="112" t="s">
        <v>791</v>
      </c>
      <c r="BE88" s="90" t="s">
        <v>1727</v>
      </c>
      <c r="BF88" s="107">
        <v>1953</v>
      </c>
      <c r="BG88" s="107">
        <v>23436</v>
      </c>
      <c r="BH88" s="143">
        <v>44967</v>
      </c>
      <c r="BI88" s="107" t="s">
        <v>1591</v>
      </c>
      <c r="BJ88" s="108" t="s">
        <v>1728</v>
      </c>
      <c r="BK88" s="107" t="s">
        <v>1593</v>
      </c>
      <c r="BL88" s="144">
        <v>1</v>
      </c>
      <c r="BM88" s="1"/>
      <c r="BN88" s="1"/>
      <c r="BO88" s="1"/>
      <c r="BP88" s="1"/>
      <c r="DH88" t="s">
        <v>1729</v>
      </c>
      <c r="DI88" t="s">
        <v>1252</v>
      </c>
      <c r="DJ88" s="131" t="s">
        <v>1253</v>
      </c>
      <c r="DK88" t="s">
        <v>1730</v>
      </c>
      <c r="DL88" t="s">
        <v>800</v>
      </c>
      <c r="DM88" s="203" t="s">
        <v>801</v>
      </c>
      <c r="DR88" t="s">
        <v>1729</v>
      </c>
      <c r="DS88" t="s">
        <v>1252</v>
      </c>
      <c r="DT88" s="131" t="s">
        <v>1253</v>
      </c>
      <c r="DU88" t="s">
        <v>1730</v>
      </c>
      <c r="DV88" t="s">
        <v>800</v>
      </c>
      <c r="DW88" s="203" t="s">
        <v>801</v>
      </c>
      <c r="EC88" s="147" t="s">
        <v>1731</v>
      </c>
      <c r="ED88" s="5" t="s">
        <v>1732</v>
      </c>
      <c r="EE88" s="5" t="s">
        <v>613</v>
      </c>
      <c r="EF88" s="5" t="s">
        <v>613</v>
      </c>
      <c r="EG88" s="5" t="s">
        <v>1429</v>
      </c>
      <c r="EH88" s="5"/>
      <c r="EK88"/>
    </row>
    <row r="89" spans="12:141" ht="16.5" customHeight="1" x14ac:dyDescent="0.3">
      <c r="L89" s="138" t="s">
        <v>1733</v>
      </c>
      <c r="N89" s="138" t="s">
        <v>1734</v>
      </c>
      <c r="O89" s="110"/>
      <c r="AL89" s="110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3"/>
      <c r="BC89" s="1"/>
      <c r="BD89" s="112" t="s">
        <v>1384</v>
      </c>
      <c r="BE89" s="90" t="s">
        <v>1735</v>
      </c>
      <c r="BF89" s="107">
        <v>1916</v>
      </c>
      <c r="BG89" s="107">
        <v>22992</v>
      </c>
      <c r="BH89" s="143">
        <v>44967</v>
      </c>
      <c r="BI89" s="107" t="s">
        <v>1591</v>
      </c>
      <c r="BJ89" s="108" t="s">
        <v>1610</v>
      </c>
      <c r="BK89" s="107" t="s">
        <v>1593</v>
      </c>
      <c r="BL89" s="144">
        <v>1</v>
      </c>
      <c r="BM89" s="1"/>
      <c r="BN89" s="1"/>
      <c r="BO89" s="1"/>
      <c r="BP89" s="1"/>
      <c r="DH89" t="s">
        <v>1736</v>
      </c>
      <c r="DI89" t="s">
        <v>1268</v>
      </c>
      <c r="DJ89" s="131" t="s">
        <v>1269</v>
      </c>
      <c r="DK89" t="s">
        <v>1737</v>
      </c>
      <c r="DL89" t="s">
        <v>845</v>
      </c>
      <c r="DM89" s="203" t="s">
        <v>846</v>
      </c>
      <c r="DR89" t="s">
        <v>1736</v>
      </c>
      <c r="DS89" t="s">
        <v>1268</v>
      </c>
      <c r="DT89" s="131" t="s">
        <v>1269</v>
      </c>
      <c r="DU89" t="s">
        <v>1737</v>
      </c>
      <c r="DV89" t="s">
        <v>845</v>
      </c>
      <c r="DW89" s="203" t="s">
        <v>846</v>
      </c>
      <c r="EC89" s="147" t="s">
        <v>1738</v>
      </c>
      <c r="ED89" s="5" t="s">
        <v>1738</v>
      </c>
      <c r="EE89" s="5" t="s">
        <v>613</v>
      </c>
      <c r="EF89" s="5" t="s">
        <v>613</v>
      </c>
      <c r="EG89" s="5" t="s">
        <v>1739</v>
      </c>
      <c r="EH89" s="5"/>
      <c r="EK89"/>
    </row>
    <row r="90" spans="12:141" ht="16.5" customHeight="1" x14ac:dyDescent="0.3">
      <c r="L90" s="138" t="s">
        <v>1740</v>
      </c>
      <c r="N90" s="138" t="s">
        <v>1741</v>
      </c>
      <c r="O90" s="110"/>
      <c r="AL90" s="110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3"/>
      <c r="BC90" s="1"/>
      <c r="BD90" s="112" t="s">
        <v>676</v>
      </c>
      <c r="BE90" s="90" t="s">
        <v>1742</v>
      </c>
      <c r="BF90" s="107">
        <v>1925</v>
      </c>
      <c r="BG90" s="107">
        <v>23100</v>
      </c>
      <c r="BH90" s="143">
        <v>44970</v>
      </c>
      <c r="BI90" s="107" t="s">
        <v>1591</v>
      </c>
      <c r="BJ90" s="108" t="s">
        <v>1743</v>
      </c>
      <c r="BK90" s="107" t="s">
        <v>1691</v>
      </c>
      <c r="BL90" s="144">
        <v>1</v>
      </c>
      <c r="BM90" s="1"/>
      <c r="BN90" s="1"/>
      <c r="BO90" s="1"/>
      <c r="BP90" s="1"/>
      <c r="DH90" t="s">
        <v>1744</v>
      </c>
      <c r="DI90" t="s">
        <v>800</v>
      </c>
      <c r="DJ90" s="211" t="s">
        <v>801</v>
      </c>
      <c r="DK90" t="s">
        <v>1190</v>
      </c>
      <c r="DL90" t="s">
        <v>1745</v>
      </c>
      <c r="DM90">
        <v>2023</v>
      </c>
      <c r="DR90" t="s">
        <v>1744</v>
      </c>
      <c r="DS90" t="s">
        <v>800</v>
      </c>
      <c r="DT90" s="211" t="s">
        <v>801</v>
      </c>
      <c r="DU90" t="s">
        <v>1190</v>
      </c>
      <c r="DV90" t="s">
        <v>1745</v>
      </c>
      <c r="DW90">
        <v>2023</v>
      </c>
      <c r="EC90" s="147" t="s">
        <v>1746</v>
      </c>
      <c r="ED90" s="5" t="s">
        <v>1747</v>
      </c>
      <c r="EE90" s="5" t="s">
        <v>613</v>
      </c>
      <c r="EF90" s="5" t="s">
        <v>613</v>
      </c>
      <c r="EG90" s="5" t="s">
        <v>1748</v>
      </c>
      <c r="EH90" s="5"/>
      <c r="EK90"/>
    </row>
    <row r="91" spans="12:141" ht="16.5" customHeight="1" x14ac:dyDescent="0.3">
      <c r="L91" s="138" t="s">
        <v>1749</v>
      </c>
      <c r="N91" s="138" t="s">
        <v>1750</v>
      </c>
      <c r="O91" s="110"/>
      <c r="AL91" s="110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3"/>
      <c r="BC91" s="1"/>
      <c r="BD91" s="112" t="s">
        <v>791</v>
      </c>
      <c r="BE91" s="90" t="s">
        <v>1751</v>
      </c>
      <c r="BF91" s="107">
        <v>1953</v>
      </c>
      <c r="BG91" s="107">
        <v>23436</v>
      </c>
      <c r="BH91" s="143">
        <v>44970</v>
      </c>
      <c r="BI91" s="107" t="s">
        <v>1591</v>
      </c>
      <c r="BJ91" s="108" t="s">
        <v>1728</v>
      </c>
      <c r="BK91" s="107" t="s">
        <v>1593</v>
      </c>
      <c r="BL91" s="144">
        <v>1</v>
      </c>
      <c r="BM91" s="1"/>
      <c r="BN91" s="1"/>
      <c r="BO91" s="1"/>
      <c r="BP91" s="1"/>
      <c r="DH91" t="s">
        <v>1752</v>
      </c>
      <c r="DI91" t="s">
        <v>822</v>
      </c>
      <c r="DJ91" s="131" t="s">
        <v>823</v>
      </c>
      <c r="DK91" t="s">
        <v>1206</v>
      </c>
      <c r="DL91" t="s">
        <v>1171</v>
      </c>
      <c r="DM91" t="s">
        <v>1172</v>
      </c>
      <c r="DR91" t="s">
        <v>1752</v>
      </c>
      <c r="DS91" t="s">
        <v>822</v>
      </c>
      <c r="DT91" s="131" t="s">
        <v>823</v>
      </c>
      <c r="DU91" t="s">
        <v>1206</v>
      </c>
      <c r="DV91" t="s">
        <v>1171</v>
      </c>
      <c r="DW91" t="s">
        <v>1172</v>
      </c>
      <c r="EC91" s="147" t="s">
        <v>1753</v>
      </c>
      <c r="ED91" s="5" t="s">
        <v>1754</v>
      </c>
      <c r="EE91" s="5" t="s">
        <v>613</v>
      </c>
      <c r="EF91" s="5" t="s">
        <v>613</v>
      </c>
      <c r="EG91" s="5" t="s">
        <v>1755</v>
      </c>
      <c r="EH91" s="5"/>
      <c r="EK91"/>
    </row>
    <row r="92" spans="12:141" ht="16.5" customHeight="1" x14ac:dyDescent="0.3">
      <c r="L92" s="138" t="s">
        <v>1756</v>
      </c>
      <c r="N92" s="138" t="s">
        <v>1757</v>
      </c>
      <c r="O92" s="110"/>
      <c r="AL92" s="110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3"/>
      <c r="BC92" s="1"/>
      <c r="BD92" s="112" t="s">
        <v>791</v>
      </c>
      <c r="BE92" s="90" t="s">
        <v>1758</v>
      </c>
      <c r="BF92" s="107">
        <v>1980</v>
      </c>
      <c r="BG92" s="107">
        <v>23760</v>
      </c>
      <c r="BH92" s="143">
        <v>44971</v>
      </c>
      <c r="BI92" s="107" t="s">
        <v>1591</v>
      </c>
      <c r="BJ92" s="108" t="s">
        <v>1728</v>
      </c>
      <c r="BK92" s="107" t="s">
        <v>1593</v>
      </c>
      <c r="BL92" s="144">
        <v>1</v>
      </c>
      <c r="BM92" s="1"/>
      <c r="BN92" s="1"/>
      <c r="BO92" s="1"/>
      <c r="BP92" s="1"/>
      <c r="DH92" t="s">
        <v>1759</v>
      </c>
      <c r="DI92" t="s">
        <v>845</v>
      </c>
      <c r="DJ92" s="211" t="s">
        <v>846</v>
      </c>
      <c r="DK92" t="s">
        <v>1760</v>
      </c>
      <c r="DL92" t="s">
        <v>1761</v>
      </c>
      <c r="DM92">
        <v>2023</v>
      </c>
      <c r="DR92" t="s">
        <v>1759</v>
      </c>
      <c r="DS92" t="s">
        <v>845</v>
      </c>
      <c r="DT92" s="211" t="s">
        <v>846</v>
      </c>
      <c r="DU92" t="s">
        <v>1760</v>
      </c>
      <c r="DV92" t="s">
        <v>1761</v>
      </c>
      <c r="DW92">
        <v>2023</v>
      </c>
      <c r="EC92" s="147" t="s">
        <v>1762</v>
      </c>
      <c r="ED92" s="5" t="s">
        <v>1763</v>
      </c>
      <c r="EE92" s="5" t="s">
        <v>613</v>
      </c>
      <c r="EF92" s="5" t="s">
        <v>613</v>
      </c>
      <c r="EG92" s="5" t="s">
        <v>1764</v>
      </c>
      <c r="EH92" s="5"/>
      <c r="EK92"/>
    </row>
    <row r="93" spans="12:141" ht="16.5" customHeight="1" x14ac:dyDescent="0.3">
      <c r="L93" s="138" t="s">
        <v>1765</v>
      </c>
      <c r="N93" s="138" t="s">
        <v>1766</v>
      </c>
      <c r="O93" s="110"/>
      <c r="AL93" s="110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3"/>
      <c r="BC93" s="1"/>
      <c r="BD93" s="112" t="s">
        <v>791</v>
      </c>
      <c r="BE93" s="90" t="s">
        <v>1767</v>
      </c>
      <c r="BF93" s="107">
        <v>1980</v>
      </c>
      <c r="BG93" s="107">
        <v>23760</v>
      </c>
      <c r="BH93" s="143">
        <v>44971</v>
      </c>
      <c r="BI93" s="107" t="s">
        <v>1591</v>
      </c>
      <c r="BJ93" s="108" t="s">
        <v>1728</v>
      </c>
      <c r="BK93" s="107" t="s">
        <v>1593</v>
      </c>
      <c r="BL93" s="144">
        <v>1</v>
      </c>
      <c r="BM93" s="1"/>
      <c r="BN93" s="1"/>
      <c r="BO93" s="1"/>
      <c r="BP93" s="1"/>
      <c r="DH93" t="s">
        <v>1768</v>
      </c>
      <c r="DI93" t="s">
        <v>869</v>
      </c>
      <c r="DJ93" s="131" t="s">
        <v>870</v>
      </c>
      <c r="DK93" t="s">
        <v>1769</v>
      </c>
      <c r="DL93" t="s">
        <v>1203</v>
      </c>
      <c r="DM93" t="s">
        <v>1204</v>
      </c>
      <c r="DR93" t="s">
        <v>1768</v>
      </c>
      <c r="DS93" t="s">
        <v>869</v>
      </c>
      <c r="DT93" s="131" t="s">
        <v>870</v>
      </c>
      <c r="DU93" t="s">
        <v>1769</v>
      </c>
      <c r="DV93" t="s">
        <v>1203</v>
      </c>
      <c r="DW93" t="s">
        <v>1204</v>
      </c>
      <c r="EC93" s="147" t="s">
        <v>1770</v>
      </c>
      <c r="ED93" s="5" t="s">
        <v>1770</v>
      </c>
      <c r="EE93" s="5" t="s">
        <v>613</v>
      </c>
      <c r="EF93" s="5" t="s">
        <v>613</v>
      </c>
      <c r="EG93" s="5" t="s">
        <v>1462</v>
      </c>
      <c r="EH93" s="5"/>
      <c r="EK93"/>
    </row>
    <row r="94" spans="12:141" ht="16.5" customHeight="1" x14ac:dyDescent="0.3">
      <c r="L94" s="138"/>
      <c r="N94" s="138" t="s">
        <v>1771</v>
      </c>
      <c r="O94" s="110"/>
      <c r="AL94" s="110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3"/>
      <c r="BC94" s="1"/>
      <c r="BD94" s="112" t="s">
        <v>676</v>
      </c>
      <c r="BE94" s="90" t="s">
        <v>1772</v>
      </c>
      <c r="BF94" s="107">
        <v>2300</v>
      </c>
      <c r="BG94" s="107">
        <v>23000</v>
      </c>
      <c r="BH94" s="143">
        <v>44971</v>
      </c>
      <c r="BI94" s="107" t="s">
        <v>1591</v>
      </c>
      <c r="BJ94" s="108" t="s">
        <v>475</v>
      </c>
      <c r="BK94" s="107" t="s">
        <v>1653</v>
      </c>
      <c r="BL94" s="144">
        <v>1</v>
      </c>
      <c r="BM94" s="1"/>
      <c r="BN94" s="1"/>
      <c r="BO94" s="1"/>
      <c r="BP94" s="1"/>
      <c r="DK94" t="s">
        <v>1773</v>
      </c>
      <c r="DL94" t="s">
        <v>1774</v>
      </c>
      <c r="DM94">
        <v>2023</v>
      </c>
      <c r="DU94" t="s">
        <v>1773</v>
      </c>
      <c r="DV94" t="s">
        <v>1774</v>
      </c>
      <c r="DW94">
        <v>2023</v>
      </c>
      <c r="EC94" s="147" t="s">
        <v>1775</v>
      </c>
      <c r="ED94" s="5" t="s">
        <v>1776</v>
      </c>
      <c r="EE94" s="5" t="s">
        <v>613</v>
      </c>
      <c r="EF94" s="5" t="s">
        <v>613</v>
      </c>
      <c r="EG94" s="5" t="s">
        <v>1777</v>
      </c>
      <c r="EH94" s="5"/>
      <c r="EK94"/>
    </row>
    <row r="95" spans="12:141" ht="16.5" customHeight="1" x14ac:dyDescent="0.3">
      <c r="L95" s="138" t="s">
        <v>1778</v>
      </c>
      <c r="N95" s="138" t="s">
        <v>1779</v>
      </c>
      <c r="O95" s="110"/>
      <c r="AL95" s="110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3"/>
      <c r="BC95" s="1"/>
      <c r="BD95" s="112" t="s">
        <v>901</v>
      </c>
      <c r="BE95" s="90" t="s">
        <v>1780</v>
      </c>
      <c r="BF95" s="107">
        <v>1568</v>
      </c>
      <c r="BG95" s="107">
        <v>23520</v>
      </c>
      <c r="BH95" s="143">
        <v>44971</v>
      </c>
      <c r="BI95" s="107" t="s">
        <v>1591</v>
      </c>
      <c r="BJ95" s="108" t="s">
        <v>1661</v>
      </c>
      <c r="BK95" s="107" t="s">
        <v>1593</v>
      </c>
      <c r="BL95" s="144">
        <v>1</v>
      </c>
      <c r="BM95" s="1"/>
      <c r="BN95" s="1"/>
      <c r="BO95" s="1"/>
      <c r="BP95" s="1"/>
      <c r="DK95" t="s">
        <v>1781</v>
      </c>
      <c r="DL95" t="s">
        <v>1171</v>
      </c>
      <c r="DM95" t="s">
        <v>1172</v>
      </c>
      <c r="DU95" t="s">
        <v>1781</v>
      </c>
      <c r="DV95" t="s">
        <v>1171</v>
      </c>
      <c r="DW95" t="s">
        <v>1172</v>
      </c>
      <c r="EC95" s="147" t="s">
        <v>1782</v>
      </c>
      <c r="ED95" s="5" t="s">
        <v>1783</v>
      </c>
      <c r="EE95" s="5" t="s">
        <v>613</v>
      </c>
      <c r="EF95" s="5" t="s">
        <v>613</v>
      </c>
      <c r="EG95" s="5" t="s">
        <v>1784</v>
      </c>
      <c r="EH95" s="5"/>
      <c r="EK95"/>
    </row>
    <row r="96" spans="12:141" ht="16.5" customHeight="1" x14ac:dyDescent="0.3">
      <c r="L96" s="138" t="s">
        <v>874</v>
      </c>
      <c r="N96" s="138" t="s">
        <v>1785</v>
      </c>
      <c r="O96" s="110"/>
      <c r="AL96" s="110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3"/>
      <c r="BC96" s="1"/>
      <c r="BD96" s="112" t="s">
        <v>901</v>
      </c>
      <c r="BE96" s="90" t="s">
        <v>1786</v>
      </c>
      <c r="BF96" s="107">
        <v>1960</v>
      </c>
      <c r="BG96" s="107">
        <v>23520</v>
      </c>
      <c r="BH96" s="143">
        <v>44971</v>
      </c>
      <c r="BI96" s="107" t="s">
        <v>1591</v>
      </c>
      <c r="BJ96" s="108" t="s">
        <v>1601</v>
      </c>
      <c r="BK96" s="107" t="s">
        <v>1593</v>
      </c>
      <c r="BL96" s="144">
        <v>1</v>
      </c>
      <c r="BM96" s="1"/>
      <c r="BN96" s="1"/>
      <c r="BO96" s="1"/>
      <c r="BP96" s="1"/>
      <c r="DK96" t="s">
        <v>1787</v>
      </c>
      <c r="DL96" t="s">
        <v>1788</v>
      </c>
      <c r="DM96">
        <v>2023</v>
      </c>
      <c r="DU96" t="s">
        <v>1787</v>
      </c>
      <c r="DV96" t="s">
        <v>1788</v>
      </c>
      <c r="DW96">
        <v>2023</v>
      </c>
      <c r="EC96" s="147"/>
      <c r="ED96" s="5"/>
      <c r="EE96" s="5"/>
      <c r="EF96" s="5"/>
      <c r="EG96" s="5"/>
      <c r="EH96" s="5"/>
      <c r="EK96"/>
    </row>
    <row r="97" spans="12:141" ht="16.5" customHeight="1" x14ac:dyDescent="0.3">
      <c r="L97" s="138" t="s">
        <v>1789</v>
      </c>
      <c r="N97" s="138" t="s">
        <v>1790</v>
      </c>
      <c r="O97" s="110"/>
      <c r="AL97" s="110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3"/>
      <c r="BC97" s="1"/>
      <c r="BD97" s="112" t="s">
        <v>330</v>
      </c>
      <c r="BE97" s="90" t="s">
        <v>1791</v>
      </c>
      <c r="BF97" s="107">
        <v>1958</v>
      </c>
      <c r="BG97" s="107">
        <v>23496</v>
      </c>
      <c r="BH97" s="143">
        <v>44971</v>
      </c>
      <c r="BI97" s="107" t="s">
        <v>1591</v>
      </c>
      <c r="BJ97" s="108" t="s">
        <v>1592</v>
      </c>
      <c r="BK97" s="107" t="s">
        <v>1593</v>
      </c>
      <c r="BL97" s="144">
        <v>1</v>
      </c>
      <c r="BM97" s="1"/>
      <c r="BN97" s="1"/>
      <c r="BO97" s="1"/>
      <c r="BP97" s="1"/>
      <c r="DK97" t="s">
        <v>1792</v>
      </c>
      <c r="DL97" t="s">
        <v>1203</v>
      </c>
      <c r="DM97" t="s">
        <v>1204</v>
      </c>
      <c r="DU97" t="s">
        <v>1792</v>
      </c>
      <c r="DV97" t="s">
        <v>1203</v>
      </c>
      <c r="DW97" t="s">
        <v>1204</v>
      </c>
      <c r="EC97" s="147"/>
      <c r="ED97" s="5"/>
      <c r="EE97" s="5"/>
      <c r="EF97" s="5"/>
      <c r="EG97" s="5"/>
      <c r="EH97" s="5"/>
      <c r="EK97"/>
    </row>
    <row r="98" spans="12:141" ht="16.5" customHeight="1" x14ac:dyDescent="0.3">
      <c r="L98" s="138" t="s">
        <v>1793</v>
      </c>
      <c r="N98" s="138" t="s">
        <v>1794</v>
      </c>
      <c r="O98" s="110"/>
      <c r="AL98" s="110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3"/>
      <c r="BC98" s="1"/>
      <c r="BD98" s="112" t="s">
        <v>330</v>
      </c>
      <c r="BE98" s="90" t="s">
        <v>1795</v>
      </c>
      <c r="BF98" s="107">
        <v>1958</v>
      </c>
      <c r="BG98" s="107">
        <v>23496</v>
      </c>
      <c r="BH98" s="143">
        <v>44971</v>
      </c>
      <c r="BI98" s="107" t="s">
        <v>1591</v>
      </c>
      <c r="BJ98" s="108" t="s">
        <v>1592</v>
      </c>
      <c r="BK98" s="107" t="s">
        <v>1593</v>
      </c>
      <c r="BL98" s="144">
        <v>1</v>
      </c>
      <c r="BM98" s="1"/>
      <c r="BN98" s="1"/>
      <c r="BO98" s="1"/>
      <c r="BP98" s="1"/>
      <c r="DK98" t="s">
        <v>1796</v>
      </c>
      <c r="DL98" t="s">
        <v>1157</v>
      </c>
      <c r="DM98" t="s">
        <v>1158</v>
      </c>
      <c r="DU98" t="s">
        <v>1796</v>
      </c>
      <c r="DV98" t="s">
        <v>1157</v>
      </c>
      <c r="DW98" t="s">
        <v>1158</v>
      </c>
      <c r="EC98" s="147"/>
      <c r="ED98" s="5"/>
      <c r="EE98" s="5"/>
      <c r="EF98" s="5"/>
      <c r="EG98" s="5"/>
      <c r="EH98" s="5"/>
      <c r="EK98"/>
    </row>
    <row r="99" spans="12:141" ht="16.5" customHeight="1" x14ac:dyDescent="0.3">
      <c r="L99" s="138" t="s">
        <v>1797</v>
      </c>
      <c r="N99" s="138" t="s">
        <v>1798</v>
      </c>
      <c r="O99" s="110"/>
      <c r="AL99" s="110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3"/>
      <c r="BC99" s="1"/>
      <c r="BD99" s="112" t="s">
        <v>791</v>
      </c>
      <c r="BE99" s="90" t="s">
        <v>1799</v>
      </c>
      <c r="BF99" s="107">
        <v>1953</v>
      </c>
      <c r="BG99" s="107">
        <v>23436</v>
      </c>
      <c r="BH99" s="143">
        <v>44971</v>
      </c>
      <c r="BI99" s="107" t="s">
        <v>1591</v>
      </c>
      <c r="BJ99" s="108" t="s">
        <v>1728</v>
      </c>
      <c r="BK99" s="107" t="s">
        <v>1593</v>
      </c>
      <c r="BL99" s="144">
        <v>1</v>
      </c>
      <c r="BM99" s="1"/>
      <c r="BN99" s="1"/>
      <c r="BO99" s="1"/>
      <c r="BP99" s="1"/>
      <c r="DK99" t="s">
        <v>1800</v>
      </c>
      <c r="DL99" t="s">
        <v>1186</v>
      </c>
      <c r="DM99" t="s">
        <v>1187</v>
      </c>
      <c r="DU99" t="s">
        <v>1800</v>
      </c>
      <c r="DV99" t="s">
        <v>1186</v>
      </c>
      <c r="DW99" t="s">
        <v>1187</v>
      </c>
      <c r="EC99" s="147"/>
      <c r="ED99" s="5"/>
      <c r="EE99" s="5"/>
      <c r="EF99" s="5"/>
      <c r="EG99" s="5"/>
      <c r="EH99" s="5"/>
      <c r="EK99"/>
    </row>
    <row r="100" spans="12:141" ht="16.5" customHeight="1" x14ac:dyDescent="0.3">
      <c r="L100" s="138" t="s">
        <v>1801</v>
      </c>
      <c r="N100" s="138" t="s">
        <v>1802</v>
      </c>
      <c r="O100" s="110"/>
      <c r="AL100" s="110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3"/>
      <c r="BC100" s="1"/>
      <c r="BD100" s="112" t="s">
        <v>854</v>
      </c>
      <c r="BE100" s="90" t="s">
        <v>1803</v>
      </c>
      <c r="BF100" s="107">
        <v>1980</v>
      </c>
      <c r="BG100" s="107">
        <v>23760</v>
      </c>
      <c r="BH100" s="143">
        <v>44971</v>
      </c>
      <c r="BI100" s="107" t="s">
        <v>1591</v>
      </c>
      <c r="BJ100" s="108" t="s">
        <v>1728</v>
      </c>
      <c r="BK100" s="107" t="s">
        <v>1593</v>
      </c>
      <c r="BL100" s="144">
        <v>1</v>
      </c>
      <c r="BM100" s="1"/>
      <c r="BN100" s="1"/>
      <c r="BO100" s="1"/>
      <c r="BP100" s="1"/>
      <c r="DK100" t="s">
        <v>1804</v>
      </c>
      <c r="DL100" t="s">
        <v>1157</v>
      </c>
      <c r="DM100" t="s">
        <v>1158</v>
      </c>
      <c r="DU100" t="s">
        <v>1804</v>
      </c>
      <c r="DV100" t="s">
        <v>1157</v>
      </c>
      <c r="DW100" t="s">
        <v>1158</v>
      </c>
      <c r="EC100" s="147"/>
      <c r="ED100" s="5"/>
      <c r="EE100" s="5"/>
      <c r="EF100" s="5"/>
      <c r="EG100" s="5"/>
      <c r="EH100" s="5"/>
      <c r="EK100"/>
    </row>
    <row r="101" spans="12:141" ht="16.5" customHeight="1" x14ac:dyDescent="0.3">
      <c r="L101" s="138" t="s">
        <v>1805</v>
      </c>
      <c r="N101" s="138" t="s">
        <v>1806</v>
      </c>
      <c r="O101" s="110"/>
      <c r="AL101" s="110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3"/>
      <c r="BC101" s="1"/>
      <c r="BD101" s="112" t="s">
        <v>901</v>
      </c>
      <c r="BE101" s="90" t="s">
        <v>1807</v>
      </c>
      <c r="BF101" s="107">
        <v>1452</v>
      </c>
      <c r="BG101" s="107">
        <v>21780</v>
      </c>
      <c r="BH101" s="143">
        <v>44972</v>
      </c>
      <c r="BI101" s="107" t="s">
        <v>1591</v>
      </c>
      <c r="BJ101" s="108" t="s">
        <v>475</v>
      </c>
      <c r="BK101" s="107" t="s">
        <v>1593</v>
      </c>
      <c r="BL101" s="144">
        <v>1</v>
      </c>
      <c r="BM101" s="1"/>
      <c r="BN101" s="1"/>
      <c r="BO101" s="1"/>
      <c r="BP101" s="1"/>
      <c r="DK101" t="s">
        <v>1808</v>
      </c>
      <c r="DL101" t="s">
        <v>1186</v>
      </c>
      <c r="DM101" t="s">
        <v>1187</v>
      </c>
      <c r="DU101" t="s">
        <v>1808</v>
      </c>
      <c r="DV101" t="s">
        <v>1186</v>
      </c>
      <c r="DW101" t="s">
        <v>1187</v>
      </c>
      <c r="EC101" s="147"/>
      <c r="ED101" s="5"/>
      <c r="EE101" s="5"/>
      <c r="EF101" s="5"/>
      <c r="EG101" s="5"/>
      <c r="EH101" s="5"/>
      <c r="EK101"/>
    </row>
    <row r="102" spans="12:141" ht="16.5" customHeight="1" x14ac:dyDescent="0.3">
      <c r="L102" s="138" t="s">
        <v>1809</v>
      </c>
      <c r="N102" s="138" t="s">
        <v>1810</v>
      </c>
      <c r="O102" s="110"/>
      <c r="AL102" s="110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3"/>
      <c r="BC102" s="1"/>
      <c r="BD102" s="112" t="s">
        <v>901</v>
      </c>
      <c r="BE102" s="90" t="s">
        <v>1811</v>
      </c>
      <c r="BF102" s="107">
        <v>1500</v>
      </c>
      <c r="BG102" s="107">
        <v>22500</v>
      </c>
      <c r="BH102" s="143">
        <v>44972</v>
      </c>
      <c r="BI102" s="107" t="s">
        <v>1591</v>
      </c>
      <c r="BJ102" s="108" t="s">
        <v>475</v>
      </c>
      <c r="BK102" s="107" t="s">
        <v>1593</v>
      </c>
      <c r="BL102" s="144">
        <v>1</v>
      </c>
      <c r="BM102" s="1"/>
      <c r="BN102" s="1"/>
      <c r="BO102" s="1"/>
      <c r="BP102" s="1"/>
      <c r="DK102" t="s">
        <v>1812</v>
      </c>
      <c r="DL102" t="s">
        <v>1218</v>
      </c>
      <c r="DM102" t="s">
        <v>1219</v>
      </c>
      <c r="DU102" t="s">
        <v>1812</v>
      </c>
      <c r="DV102" t="s">
        <v>1218</v>
      </c>
      <c r="DW102" t="s">
        <v>1219</v>
      </c>
      <c r="EC102" s="147"/>
      <c r="ED102" s="5"/>
      <c r="EE102" s="5"/>
      <c r="EF102" s="5"/>
      <c r="EG102" s="5"/>
      <c r="EH102" s="5"/>
      <c r="EK102"/>
    </row>
    <row r="103" spans="12:141" ht="16.5" customHeight="1" x14ac:dyDescent="0.3">
      <c r="L103" s="138" t="s">
        <v>1813</v>
      </c>
      <c r="N103" s="138" t="s">
        <v>1814</v>
      </c>
      <c r="O103" s="110"/>
      <c r="AL103" s="110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3"/>
      <c r="BC103" s="1"/>
      <c r="BD103" s="112" t="s">
        <v>901</v>
      </c>
      <c r="BE103" s="90" t="s">
        <v>1815</v>
      </c>
      <c r="BF103" s="107">
        <v>1568</v>
      </c>
      <c r="BG103" s="107">
        <v>23520</v>
      </c>
      <c r="BH103" s="143">
        <v>44972</v>
      </c>
      <c r="BI103" s="107" t="s">
        <v>1591</v>
      </c>
      <c r="BJ103" s="108" t="s">
        <v>1661</v>
      </c>
      <c r="BK103" s="107" t="s">
        <v>1593</v>
      </c>
      <c r="BL103" s="144">
        <v>1</v>
      </c>
      <c r="BM103" s="1"/>
      <c r="BN103" s="1"/>
      <c r="BO103" s="1"/>
      <c r="BP103" s="1"/>
      <c r="DK103" t="s">
        <v>1816</v>
      </c>
      <c r="DL103" t="s">
        <v>1252</v>
      </c>
      <c r="DM103" t="s">
        <v>1253</v>
      </c>
      <c r="DU103" t="s">
        <v>1816</v>
      </c>
      <c r="DV103" t="s">
        <v>1252</v>
      </c>
      <c r="DW103" t="s">
        <v>1253</v>
      </c>
      <c r="EC103" s="147"/>
      <c r="ED103" s="5"/>
      <c r="EE103" s="5"/>
      <c r="EF103" s="5"/>
      <c r="EG103" s="5"/>
      <c r="EH103" s="5"/>
      <c r="EK103"/>
    </row>
    <row r="104" spans="12:141" ht="16.5" customHeight="1" x14ac:dyDescent="0.3">
      <c r="L104" s="138" t="s">
        <v>1817</v>
      </c>
      <c r="N104" s="138" t="s">
        <v>1818</v>
      </c>
      <c r="O104" s="110"/>
      <c r="AL104" s="110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3"/>
      <c r="BC104" s="1"/>
      <c r="BD104" s="112" t="s">
        <v>901</v>
      </c>
      <c r="BE104" s="90" t="s">
        <v>1819</v>
      </c>
      <c r="BF104" s="107">
        <v>1512</v>
      </c>
      <c r="BG104" s="107">
        <v>22680</v>
      </c>
      <c r="BH104" s="143">
        <v>44972</v>
      </c>
      <c r="BI104" s="107" t="s">
        <v>1591</v>
      </c>
      <c r="BJ104" s="108" t="s">
        <v>475</v>
      </c>
      <c r="BK104" s="107" t="s">
        <v>1593</v>
      </c>
      <c r="BL104" s="144">
        <v>1</v>
      </c>
      <c r="BM104" s="1"/>
      <c r="BN104" s="1"/>
      <c r="BO104" s="1"/>
      <c r="BP104" s="1"/>
      <c r="DK104" t="s">
        <v>1820</v>
      </c>
      <c r="DL104" t="s">
        <v>1218</v>
      </c>
      <c r="DM104" t="s">
        <v>1219</v>
      </c>
      <c r="DU104" t="s">
        <v>1820</v>
      </c>
      <c r="DV104" t="s">
        <v>1218</v>
      </c>
      <c r="DW104" t="s">
        <v>1219</v>
      </c>
      <c r="EC104" s="147"/>
      <c r="ED104" s="5"/>
      <c r="EE104" s="5"/>
      <c r="EF104" s="5"/>
      <c r="EG104" s="5"/>
      <c r="EH104" s="5"/>
      <c r="EK104"/>
    </row>
    <row r="105" spans="12:141" ht="16.5" customHeight="1" x14ac:dyDescent="0.3">
      <c r="L105" s="138" t="s">
        <v>1821</v>
      </c>
      <c r="N105" s="138" t="s">
        <v>1822</v>
      </c>
      <c r="O105" s="110"/>
      <c r="AL105" s="110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3"/>
      <c r="BC105" s="1"/>
      <c r="BD105" s="112" t="s">
        <v>1823</v>
      </c>
      <c r="BE105" s="90" t="s">
        <v>1824</v>
      </c>
      <c r="BF105" s="107">
        <v>1948</v>
      </c>
      <c r="BG105" s="107">
        <v>23376</v>
      </c>
      <c r="BH105" s="143">
        <v>44972</v>
      </c>
      <c r="BI105" s="107" t="s">
        <v>1591</v>
      </c>
      <c r="BJ105" s="108" t="s">
        <v>1825</v>
      </c>
      <c r="BK105" s="107" t="s">
        <v>1593</v>
      </c>
      <c r="BL105" s="144">
        <v>1</v>
      </c>
      <c r="BM105" s="1"/>
      <c r="BN105" s="1"/>
      <c r="BO105" s="1"/>
      <c r="BP105" s="1"/>
      <c r="DK105" t="s">
        <v>1826</v>
      </c>
      <c r="DL105" t="s">
        <v>1252</v>
      </c>
      <c r="DM105" t="s">
        <v>1253</v>
      </c>
      <c r="DU105" t="s">
        <v>1826</v>
      </c>
      <c r="DV105" t="s">
        <v>1252</v>
      </c>
      <c r="DW105" t="s">
        <v>1253</v>
      </c>
      <c r="EC105" s="147"/>
      <c r="ED105" s="5"/>
      <c r="EE105" s="5"/>
      <c r="EF105" s="5"/>
      <c r="EG105" s="5"/>
      <c r="EH105" s="5"/>
      <c r="EK105"/>
    </row>
    <row r="106" spans="12:141" ht="16.5" customHeight="1" x14ac:dyDescent="0.3">
      <c r="L106" s="138" t="s">
        <v>1827</v>
      </c>
      <c r="N106" s="138" t="s">
        <v>1828</v>
      </c>
      <c r="O106" s="110"/>
      <c r="AL106" s="110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3"/>
      <c r="BC106" s="1"/>
      <c r="BD106" s="112" t="s">
        <v>1020</v>
      </c>
      <c r="BE106" s="90" t="s">
        <v>1829</v>
      </c>
      <c r="BF106" s="107">
        <v>1958</v>
      </c>
      <c r="BG106" s="107">
        <v>23496</v>
      </c>
      <c r="BH106" s="143">
        <v>44973</v>
      </c>
      <c r="BI106" s="107" t="s">
        <v>1591</v>
      </c>
      <c r="BJ106" s="108" t="s">
        <v>1830</v>
      </c>
      <c r="BK106" s="107" t="s">
        <v>1593</v>
      </c>
      <c r="BL106" s="144">
        <v>1</v>
      </c>
      <c r="BM106" s="1"/>
      <c r="BN106" s="1"/>
      <c r="BO106" s="1"/>
      <c r="BP106" s="1"/>
      <c r="DK106" t="s">
        <v>1831</v>
      </c>
      <c r="DL106" t="s">
        <v>1089</v>
      </c>
      <c r="DM106" t="s">
        <v>1090</v>
      </c>
      <c r="DU106" t="s">
        <v>1831</v>
      </c>
      <c r="DV106" t="s">
        <v>1089</v>
      </c>
      <c r="DW106" t="s">
        <v>1090</v>
      </c>
      <c r="EC106" s="147"/>
      <c r="ED106" s="5"/>
      <c r="EE106" s="5"/>
      <c r="EF106" s="5"/>
      <c r="EG106" s="5"/>
      <c r="EH106" s="5"/>
      <c r="EK106"/>
    </row>
    <row r="107" spans="12:141" ht="16.5" customHeight="1" x14ac:dyDescent="0.3">
      <c r="L107" s="138" t="s">
        <v>1832</v>
      </c>
      <c r="N107" s="138" t="s">
        <v>1833</v>
      </c>
      <c r="O107" s="110"/>
      <c r="AL107" s="110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3"/>
      <c r="BC107" s="1"/>
      <c r="BD107" s="112" t="s">
        <v>1020</v>
      </c>
      <c r="BE107" s="90" t="s">
        <v>1834</v>
      </c>
      <c r="BF107" s="107">
        <v>1958</v>
      </c>
      <c r="BG107" s="107">
        <v>23496</v>
      </c>
      <c r="BH107" s="143">
        <v>44973</v>
      </c>
      <c r="BI107" s="107" t="s">
        <v>1591</v>
      </c>
      <c r="BJ107" s="108" t="s">
        <v>1830</v>
      </c>
      <c r="BK107" s="107" t="s">
        <v>1593</v>
      </c>
      <c r="BL107" s="144">
        <v>1</v>
      </c>
      <c r="BM107" s="1"/>
      <c r="BN107" s="1"/>
      <c r="BO107" s="1"/>
      <c r="BP107" s="1"/>
      <c r="DK107" t="s">
        <v>1835</v>
      </c>
      <c r="DL107" t="s">
        <v>1063</v>
      </c>
      <c r="DM107" t="s">
        <v>1064</v>
      </c>
      <c r="DU107" t="s">
        <v>1835</v>
      </c>
      <c r="DV107" t="s">
        <v>1063</v>
      </c>
      <c r="DW107" t="s">
        <v>1064</v>
      </c>
      <c r="EC107" s="147"/>
      <c r="ED107" s="5"/>
      <c r="EE107" s="5"/>
      <c r="EF107" s="5"/>
      <c r="EG107" s="5"/>
      <c r="EH107" s="5"/>
      <c r="EK107"/>
    </row>
    <row r="108" spans="12:141" ht="16.5" customHeight="1" x14ac:dyDescent="0.3">
      <c r="L108" s="138" t="s">
        <v>921</v>
      </c>
      <c r="N108" s="138" t="s">
        <v>1836</v>
      </c>
      <c r="O108" s="110"/>
      <c r="AL108" s="110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3"/>
      <c r="BC108" s="1"/>
      <c r="BD108" s="112" t="s">
        <v>1398</v>
      </c>
      <c r="BE108" s="90" t="s">
        <v>1837</v>
      </c>
      <c r="BF108" s="107">
        <v>1925</v>
      </c>
      <c r="BG108" s="107">
        <v>23100</v>
      </c>
      <c r="BH108" s="143">
        <v>44974</v>
      </c>
      <c r="BI108" s="107" t="s">
        <v>1591</v>
      </c>
      <c r="BJ108" s="108" t="s">
        <v>1838</v>
      </c>
      <c r="BK108" s="107" t="s">
        <v>1691</v>
      </c>
      <c r="BL108" s="144">
        <v>1</v>
      </c>
      <c r="BM108" s="1"/>
      <c r="BN108" s="1"/>
      <c r="BO108" s="1"/>
      <c r="BP108" s="1"/>
      <c r="DK108" t="s">
        <v>1839</v>
      </c>
      <c r="DL108" t="s">
        <v>1137</v>
      </c>
      <c r="DM108" t="s">
        <v>1138</v>
      </c>
      <c r="DU108" t="s">
        <v>1839</v>
      </c>
      <c r="DV108" t="s">
        <v>1137</v>
      </c>
      <c r="DW108" t="s">
        <v>1138</v>
      </c>
      <c r="EC108" s="147"/>
      <c r="ED108" s="5"/>
      <c r="EE108" s="5"/>
      <c r="EF108" s="5"/>
      <c r="EG108" s="5"/>
      <c r="EH108" s="5"/>
      <c r="EK108"/>
    </row>
    <row r="109" spans="12:141" ht="16.5" customHeight="1" x14ac:dyDescent="0.3">
      <c r="L109" s="138" t="s">
        <v>1840</v>
      </c>
      <c r="N109" s="138" t="s">
        <v>1841</v>
      </c>
      <c r="O109" s="110"/>
      <c r="AL109" s="110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3"/>
      <c r="BC109" s="1"/>
      <c r="BD109" s="112" t="s">
        <v>1020</v>
      </c>
      <c r="BE109" s="90" t="s">
        <v>1842</v>
      </c>
      <c r="BF109" s="107">
        <v>1958</v>
      </c>
      <c r="BG109" s="107">
        <v>23496</v>
      </c>
      <c r="BH109" s="143">
        <v>44974</v>
      </c>
      <c r="BI109" s="107" t="s">
        <v>1591</v>
      </c>
      <c r="BJ109" s="108" t="s">
        <v>1830</v>
      </c>
      <c r="BK109" s="107" t="s">
        <v>1593</v>
      </c>
      <c r="BL109" s="144">
        <v>1</v>
      </c>
      <c r="BM109" s="1"/>
      <c r="BN109" s="1"/>
      <c r="BO109" s="1"/>
      <c r="BP109" s="1"/>
      <c r="DK109" t="s">
        <v>1843</v>
      </c>
      <c r="DL109" t="s">
        <v>1114</v>
      </c>
      <c r="DM109" t="s">
        <v>1115</v>
      </c>
      <c r="DU109" t="s">
        <v>1843</v>
      </c>
      <c r="DV109" t="s">
        <v>1114</v>
      </c>
      <c r="DW109" t="s">
        <v>1115</v>
      </c>
      <c r="EC109" s="147"/>
      <c r="ED109" s="5"/>
      <c r="EE109" s="5"/>
      <c r="EF109" s="5"/>
      <c r="EG109" s="5"/>
      <c r="EH109" s="5"/>
      <c r="EK109"/>
    </row>
    <row r="110" spans="12:141" ht="16.5" customHeight="1" x14ac:dyDescent="0.3">
      <c r="L110" s="138" t="s">
        <v>1844</v>
      </c>
      <c r="N110" s="138" t="s">
        <v>1845</v>
      </c>
      <c r="O110" s="110"/>
      <c r="AL110" s="110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3"/>
      <c r="BC110" s="1"/>
      <c r="BD110" s="112" t="s">
        <v>901</v>
      </c>
      <c r="BE110" s="90" t="s">
        <v>1846</v>
      </c>
      <c r="BF110" s="107">
        <v>1500</v>
      </c>
      <c r="BG110" s="107">
        <v>22500</v>
      </c>
      <c r="BH110" s="143">
        <v>44978</v>
      </c>
      <c r="BI110" s="107" t="s">
        <v>1591</v>
      </c>
      <c r="BJ110" s="108" t="s">
        <v>475</v>
      </c>
      <c r="BK110" s="107" t="s">
        <v>1593</v>
      </c>
      <c r="BL110" s="144">
        <v>1</v>
      </c>
      <c r="BM110" s="1"/>
      <c r="BN110" s="1"/>
      <c r="BO110" s="1"/>
      <c r="BP110" s="1"/>
      <c r="DK110" t="s">
        <v>1847</v>
      </c>
      <c r="DL110" t="s">
        <v>1089</v>
      </c>
      <c r="DM110" t="s">
        <v>1090</v>
      </c>
      <c r="DU110" t="s">
        <v>1847</v>
      </c>
      <c r="DV110" t="s">
        <v>1089</v>
      </c>
      <c r="DW110" t="s">
        <v>1090</v>
      </c>
      <c r="EC110" s="147"/>
      <c r="ED110" s="5"/>
      <c r="EE110" s="5"/>
      <c r="EF110" s="5"/>
      <c r="EG110" s="5"/>
      <c r="EH110" s="5"/>
      <c r="EK110"/>
    </row>
    <row r="111" spans="12:141" ht="16.5" customHeight="1" x14ac:dyDescent="0.3">
      <c r="L111" s="138" t="s">
        <v>1848</v>
      </c>
      <c r="N111" s="138" t="s">
        <v>1849</v>
      </c>
      <c r="O111" s="110"/>
      <c r="AL111" s="110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3"/>
      <c r="BC111" s="1"/>
      <c r="BD111" s="112" t="s">
        <v>854</v>
      </c>
      <c r="BE111" s="90" t="s">
        <v>1850</v>
      </c>
      <c r="BF111" s="107">
        <v>1815</v>
      </c>
      <c r="BG111" s="107">
        <v>21780</v>
      </c>
      <c r="BH111" s="143">
        <v>44978</v>
      </c>
      <c r="BI111" s="107" t="s">
        <v>1591</v>
      </c>
      <c r="BJ111" s="108" t="s">
        <v>1851</v>
      </c>
      <c r="BK111" s="107" t="s">
        <v>1593</v>
      </c>
      <c r="BL111" s="144">
        <v>1</v>
      </c>
      <c r="BM111" s="1"/>
      <c r="BN111" s="1"/>
      <c r="BO111" s="1"/>
      <c r="BP111" s="1"/>
      <c r="DK111" t="s">
        <v>1852</v>
      </c>
      <c r="DL111" t="s">
        <v>1063</v>
      </c>
      <c r="DM111" t="s">
        <v>1064</v>
      </c>
      <c r="DU111" t="s">
        <v>1852</v>
      </c>
      <c r="DV111" t="s">
        <v>1063</v>
      </c>
      <c r="DW111" t="s">
        <v>1064</v>
      </c>
      <c r="EC111" s="147"/>
      <c r="ED111" s="5"/>
      <c r="EE111" s="5"/>
      <c r="EF111" s="5"/>
      <c r="EG111" s="5"/>
      <c r="EH111" s="5"/>
      <c r="EK111"/>
    </row>
    <row r="112" spans="12:141" ht="16.5" customHeight="1" x14ac:dyDescent="0.3">
      <c r="L112" s="138" t="s">
        <v>1853</v>
      </c>
      <c r="N112" s="138" t="s">
        <v>1854</v>
      </c>
      <c r="O112" s="110"/>
      <c r="AL112" s="110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3"/>
      <c r="BC112" s="1"/>
      <c r="BD112" s="112" t="s">
        <v>901</v>
      </c>
      <c r="BE112" s="90" t="s">
        <v>1855</v>
      </c>
      <c r="BF112" s="107">
        <v>1500</v>
      </c>
      <c r="BG112" s="107">
        <v>22500</v>
      </c>
      <c r="BH112" s="143">
        <v>44978</v>
      </c>
      <c r="BI112" s="107" t="s">
        <v>1591</v>
      </c>
      <c r="BJ112" s="108" t="s">
        <v>475</v>
      </c>
      <c r="BK112" s="107" t="s">
        <v>1593</v>
      </c>
      <c r="BL112" s="144">
        <v>1</v>
      </c>
      <c r="BM112" s="1"/>
      <c r="BN112" s="1"/>
      <c r="BO112" s="1"/>
      <c r="BP112" s="1"/>
      <c r="DK112" t="s">
        <v>1856</v>
      </c>
      <c r="DL112" t="s">
        <v>1137</v>
      </c>
      <c r="DM112" t="s">
        <v>1138</v>
      </c>
      <c r="DU112" t="s">
        <v>1856</v>
      </c>
      <c r="DV112" t="s">
        <v>1137</v>
      </c>
      <c r="DW112" t="s">
        <v>1138</v>
      </c>
      <c r="EC112" s="147"/>
      <c r="ED112" s="5"/>
      <c r="EE112" s="5"/>
      <c r="EF112" s="5"/>
      <c r="EG112" s="5"/>
      <c r="EH112" s="5"/>
      <c r="EK112"/>
    </row>
    <row r="113" spans="12:141" ht="16.5" customHeight="1" x14ac:dyDescent="0.3">
      <c r="L113" s="138" t="s">
        <v>1857</v>
      </c>
      <c r="N113" s="138" t="s">
        <v>1858</v>
      </c>
      <c r="O113" s="110"/>
      <c r="AL113" s="110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3"/>
      <c r="BC113" s="1"/>
      <c r="BD113" s="112" t="s">
        <v>791</v>
      </c>
      <c r="BE113" s="90" t="s">
        <v>1859</v>
      </c>
      <c r="BF113" s="107">
        <v>1980</v>
      </c>
      <c r="BG113" s="107">
        <v>23760</v>
      </c>
      <c r="BH113" s="143">
        <v>44978</v>
      </c>
      <c r="BI113" s="107" t="s">
        <v>1591</v>
      </c>
      <c r="BJ113" s="108" t="s">
        <v>1728</v>
      </c>
      <c r="BK113" s="107" t="s">
        <v>1593</v>
      </c>
      <c r="BL113" s="144">
        <v>1</v>
      </c>
      <c r="BM113" s="1"/>
      <c r="BN113" s="1"/>
      <c r="BO113" s="1"/>
      <c r="BP113" s="1"/>
      <c r="DK113" t="s">
        <v>1860</v>
      </c>
      <c r="DL113" t="s">
        <v>1114</v>
      </c>
      <c r="DM113" t="s">
        <v>1115</v>
      </c>
      <c r="DU113" t="s">
        <v>1860</v>
      </c>
      <c r="DV113" t="s">
        <v>1114</v>
      </c>
      <c r="DW113" t="s">
        <v>1115</v>
      </c>
      <c r="EC113" s="147"/>
      <c r="ED113" s="5"/>
      <c r="EE113" s="5"/>
      <c r="EF113" s="5"/>
      <c r="EG113" s="5"/>
      <c r="EH113" s="5"/>
      <c r="EK113"/>
    </row>
    <row r="114" spans="12:141" ht="16.5" customHeight="1" x14ac:dyDescent="0.3">
      <c r="L114" s="138" t="s">
        <v>1861</v>
      </c>
      <c r="N114" s="138" t="s">
        <v>1862</v>
      </c>
      <c r="O114" s="110"/>
      <c r="AL114" s="110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3"/>
      <c r="BC114" s="1"/>
      <c r="BD114" s="112" t="s">
        <v>791</v>
      </c>
      <c r="BE114" s="90" t="s">
        <v>1863</v>
      </c>
      <c r="BF114" s="107">
        <v>1940</v>
      </c>
      <c r="BG114" s="107">
        <v>23280</v>
      </c>
      <c r="BH114" s="143">
        <v>44978</v>
      </c>
      <c r="BI114" s="107" t="s">
        <v>1591</v>
      </c>
      <c r="BJ114" s="108" t="s">
        <v>1864</v>
      </c>
      <c r="BK114" s="107" t="s">
        <v>1593</v>
      </c>
      <c r="BL114" s="144">
        <v>1</v>
      </c>
      <c r="BM114" s="1"/>
      <c r="BN114" s="1"/>
      <c r="BO114" s="1"/>
      <c r="BP114" s="1"/>
      <c r="EC114" s="147"/>
      <c r="ED114" s="5"/>
      <c r="EE114" s="5"/>
      <c r="EF114" s="5"/>
      <c r="EG114" s="5"/>
      <c r="EH114" s="5"/>
      <c r="EK114"/>
    </row>
    <row r="115" spans="12:141" ht="16.5" customHeight="1" x14ac:dyDescent="0.3">
      <c r="L115" s="138" t="s">
        <v>1865</v>
      </c>
      <c r="N115" s="138" t="s">
        <v>1866</v>
      </c>
      <c r="O115" s="110"/>
      <c r="AL115" s="110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3"/>
      <c r="BC115" s="1"/>
      <c r="BD115" s="112" t="s">
        <v>854</v>
      </c>
      <c r="BE115" s="90" t="s">
        <v>1867</v>
      </c>
      <c r="BF115" s="107">
        <v>1958</v>
      </c>
      <c r="BG115" s="107">
        <v>23496</v>
      </c>
      <c r="BH115" s="143">
        <v>44980</v>
      </c>
      <c r="BI115" s="107" t="s">
        <v>1591</v>
      </c>
      <c r="BJ115" s="108" t="s">
        <v>1592</v>
      </c>
      <c r="BK115" s="107" t="s">
        <v>1593</v>
      </c>
      <c r="BL115" s="144">
        <v>1</v>
      </c>
      <c r="BM115" s="1"/>
      <c r="BN115" s="1"/>
      <c r="BO115" s="1"/>
      <c r="BP115" s="1"/>
      <c r="EC115" s="147"/>
      <c r="ED115" s="5"/>
      <c r="EE115" s="5"/>
      <c r="EF115" s="5"/>
      <c r="EG115" s="5"/>
      <c r="EH115" s="5"/>
      <c r="EK115"/>
    </row>
    <row r="116" spans="12:141" ht="16.5" customHeight="1" x14ac:dyDescent="0.3">
      <c r="L116" s="138" t="s">
        <v>1868</v>
      </c>
      <c r="N116" s="138" t="s">
        <v>1869</v>
      </c>
      <c r="O116" s="110"/>
      <c r="AL116" s="110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3"/>
      <c r="BC116" s="1"/>
      <c r="BD116" s="112" t="s">
        <v>854</v>
      </c>
      <c r="BE116" s="90" t="s">
        <v>1870</v>
      </c>
      <c r="BF116" s="107">
        <v>1958</v>
      </c>
      <c r="BG116" s="107">
        <v>23496</v>
      </c>
      <c r="BH116" s="143">
        <v>44980</v>
      </c>
      <c r="BI116" s="107" t="s">
        <v>1591</v>
      </c>
      <c r="BJ116" s="108" t="s">
        <v>1592</v>
      </c>
      <c r="BK116" s="107" t="s">
        <v>1593</v>
      </c>
      <c r="BL116" s="144">
        <v>1</v>
      </c>
      <c r="BM116" s="1"/>
      <c r="BN116" s="1"/>
      <c r="BO116" s="1"/>
      <c r="BP116" s="1"/>
      <c r="EC116" s="147"/>
      <c r="ED116" s="5"/>
      <c r="EE116" s="5"/>
      <c r="EF116" s="5"/>
      <c r="EG116" s="5"/>
      <c r="EH116" s="5"/>
      <c r="EK116"/>
    </row>
    <row r="117" spans="12:141" ht="16.5" customHeight="1" x14ac:dyDescent="0.3">
      <c r="L117" s="138" t="s">
        <v>1871</v>
      </c>
      <c r="N117" s="138" t="s">
        <v>1872</v>
      </c>
      <c r="O117" s="110"/>
      <c r="AL117" s="110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3"/>
      <c r="BC117" s="1"/>
      <c r="BD117" s="112" t="s">
        <v>676</v>
      </c>
      <c r="BE117" s="90" t="s">
        <v>1873</v>
      </c>
      <c r="BF117" s="107">
        <v>2300</v>
      </c>
      <c r="BG117" s="107">
        <v>23000</v>
      </c>
      <c r="BH117" s="143">
        <v>44981</v>
      </c>
      <c r="BI117" s="107" t="s">
        <v>1591</v>
      </c>
      <c r="BJ117" s="108" t="s">
        <v>475</v>
      </c>
      <c r="BK117" s="107" t="s">
        <v>1653</v>
      </c>
      <c r="BL117" s="144">
        <v>1</v>
      </c>
      <c r="BM117" s="1"/>
      <c r="BN117" s="1"/>
      <c r="BO117" s="1"/>
      <c r="BP117" s="1"/>
      <c r="EC117"/>
      <c r="EK117"/>
    </row>
    <row r="118" spans="12:141" ht="16.5" customHeight="1" x14ac:dyDescent="0.3">
      <c r="L118" s="138"/>
      <c r="N118" s="138" t="s">
        <v>1874</v>
      </c>
      <c r="O118" s="110"/>
      <c r="AL118" s="110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3"/>
      <c r="BC118" s="1"/>
      <c r="BD118" s="112" t="s">
        <v>676</v>
      </c>
      <c r="BE118" s="90" t="s">
        <v>1875</v>
      </c>
      <c r="BF118" s="107">
        <v>1925</v>
      </c>
      <c r="BG118" s="107">
        <v>23100</v>
      </c>
      <c r="BH118" s="143">
        <v>44981</v>
      </c>
      <c r="BI118" s="107" t="s">
        <v>1591</v>
      </c>
      <c r="BJ118" s="108" t="s">
        <v>1743</v>
      </c>
      <c r="BK118" s="107" t="s">
        <v>1691</v>
      </c>
      <c r="BL118" s="144">
        <v>1</v>
      </c>
      <c r="BM118" s="1"/>
      <c r="BN118" s="1"/>
      <c r="BO118" s="1"/>
      <c r="BP118" s="1"/>
      <c r="EC118"/>
      <c r="EK118"/>
    </row>
    <row r="119" spans="12:141" ht="16.5" customHeight="1" x14ac:dyDescent="0.3">
      <c r="L119" s="138"/>
      <c r="N119" s="138" t="s">
        <v>1876</v>
      </c>
      <c r="O119" s="110"/>
      <c r="AL119" s="110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3"/>
      <c r="BC119" s="1"/>
      <c r="BD119" s="112" t="s">
        <v>709</v>
      </c>
      <c r="BE119" s="90" t="s">
        <v>1877</v>
      </c>
      <c r="BF119" s="107">
        <v>1960</v>
      </c>
      <c r="BG119" s="107">
        <v>23520</v>
      </c>
      <c r="BH119" s="143">
        <v>44984</v>
      </c>
      <c r="BI119" s="107" t="s">
        <v>1591</v>
      </c>
      <c r="BJ119" s="108" t="s">
        <v>1601</v>
      </c>
      <c r="BK119" s="107" t="s">
        <v>1593</v>
      </c>
      <c r="BL119" s="144">
        <v>1</v>
      </c>
      <c r="BM119" s="1"/>
      <c r="BN119" s="1"/>
      <c r="BO119" s="1"/>
      <c r="BP119" s="1"/>
      <c r="EC119" s="221"/>
      <c r="ED119" s="222"/>
      <c r="EK119"/>
    </row>
    <row r="120" spans="12:141" ht="16.5" customHeight="1" x14ac:dyDescent="0.3">
      <c r="L120" s="138"/>
      <c r="N120" s="138" t="s">
        <v>1878</v>
      </c>
      <c r="O120" s="110"/>
      <c r="AL120" s="110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3"/>
      <c r="BC120" s="1"/>
      <c r="BD120" s="112" t="s">
        <v>901</v>
      </c>
      <c r="BE120" s="90" t="s">
        <v>1879</v>
      </c>
      <c r="BF120" s="107">
        <v>1815</v>
      </c>
      <c r="BG120" s="107">
        <v>21780</v>
      </c>
      <c r="BH120" s="143">
        <v>44987</v>
      </c>
      <c r="BI120" s="107" t="s">
        <v>1591</v>
      </c>
      <c r="BJ120" s="108" t="s">
        <v>1851</v>
      </c>
      <c r="BK120" s="107" t="s">
        <v>1593</v>
      </c>
      <c r="BL120" s="144">
        <v>1</v>
      </c>
      <c r="BM120" s="1"/>
      <c r="BN120" s="1"/>
      <c r="BO120" s="1"/>
      <c r="BP120" s="1"/>
      <c r="EC120" s="221"/>
      <c r="EK120"/>
    </row>
    <row r="121" spans="12:141" ht="16.5" customHeight="1" x14ac:dyDescent="0.3">
      <c r="L121" s="138" t="s">
        <v>1880</v>
      </c>
      <c r="N121" s="138" t="s">
        <v>1881</v>
      </c>
      <c r="O121" s="110"/>
      <c r="AL121" s="110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3"/>
      <c r="BC121" s="1"/>
      <c r="BD121" s="112" t="s">
        <v>791</v>
      </c>
      <c r="BE121" s="90" t="s">
        <v>1882</v>
      </c>
      <c r="BF121" s="107">
        <v>1980</v>
      </c>
      <c r="BG121" s="107">
        <v>23760</v>
      </c>
      <c r="BH121" s="143">
        <v>44987</v>
      </c>
      <c r="BI121" s="107" t="s">
        <v>1591</v>
      </c>
      <c r="BJ121" s="108" t="s">
        <v>1883</v>
      </c>
      <c r="BK121" s="107" t="s">
        <v>1593</v>
      </c>
      <c r="BL121" s="144">
        <v>1</v>
      </c>
      <c r="BM121" s="1"/>
      <c r="BN121" s="1"/>
      <c r="BO121" s="1"/>
      <c r="BP121" s="1"/>
      <c r="EC121" s="221"/>
      <c r="EK121"/>
    </row>
    <row r="122" spans="12:141" ht="16.5" customHeight="1" x14ac:dyDescent="0.3">
      <c r="L122" s="138" t="s">
        <v>945</v>
      </c>
      <c r="N122" s="138" t="s">
        <v>1884</v>
      </c>
      <c r="O122" s="110"/>
      <c r="AL122" s="110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3"/>
      <c r="BC122" s="1"/>
      <c r="BD122" s="112" t="s">
        <v>901</v>
      </c>
      <c r="BE122" s="90" t="s">
        <v>1885</v>
      </c>
      <c r="BF122" s="107">
        <v>1960</v>
      </c>
      <c r="BG122" s="107">
        <v>23520</v>
      </c>
      <c r="BH122" s="143">
        <v>44987</v>
      </c>
      <c r="BI122" s="107" t="s">
        <v>1591</v>
      </c>
      <c r="BJ122" s="108" t="s">
        <v>1601</v>
      </c>
      <c r="BK122" s="107" t="s">
        <v>1593</v>
      </c>
      <c r="BL122" s="144">
        <v>1</v>
      </c>
      <c r="BM122" s="1"/>
      <c r="BN122" s="1"/>
      <c r="BO122" s="1"/>
      <c r="BP122" s="1"/>
      <c r="EC122" s="221"/>
      <c r="EK122"/>
    </row>
    <row r="123" spans="12:141" ht="16.5" customHeight="1" x14ac:dyDescent="0.3">
      <c r="L123" s="138" t="s">
        <v>1886</v>
      </c>
      <c r="N123" s="138" t="s">
        <v>1887</v>
      </c>
      <c r="O123" s="110"/>
      <c r="AL123" s="110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3"/>
      <c r="BC123" s="1"/>
      <c r="BD123" s="112" t="s">
        <v>901</v>
      </c>
      <c r="BE123" s="90" t="s">
        <v>1888</v>
      </c>
      <c r="BF123" s="107">
        <v>1815</v>
      </c>
      <c r="BG123" s="107">
        <v>21780</v>
      </c>
      <c r="BH123" s="143">
        <v>44987</v>
      </c>
      <c r="BI123" s="107" t="s">
        <v>1591</v>
      </c>
      <c r="BJ123" s="108" t="s">
        <v>1851</v>
      </c>
      <c r="BK123" s="107" t="s">
        <v>1593</v>
      </c>
      <c r="BL123" s="144">
        <v>1</v>
      </c>
      <c r="BM123" s="1"/>
      <c r="BN123" s="1"/>
      <c r="BO123" s="1"/>
      <c r="BP123" s="1"/>
      <c r="EC123" s="221"/>
      <c r="EK123"/>
    </row>
    <row r="124" spans="12:141" ht="16.5" customHeight="1" x14ac:dyDescent="0.3">
      <c r="L124" s="138" t="s">
        <v>1889</v>
      </c>
      <c r="N124" s="138" t="s">
        <v>1890</v>
      </c>
      <c r="O124" s="110"/>
      <c r="AL124" s="110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3"/>
      <c r="BC124" s="1"/>
      <c r="BD124" s="112" t="s">
        <v>901</v>
      </c>
      <c r="BE124" s="90" t="s">
        <v>1891</v>
      </c>
      <c r="BF124" s="107">
        <v>1500</v>
      </c>
      <c r="BG124" s="107">
        <v>22500</v>
      </c>
      <c r="BH124" s="143">
        <v>44987</v>
      </c>
      <c r="BI124" s="107" t="s">
        <v>1591</v>
      </c>
      <c r="BJ124" s="108" t="s">
        <v>475</v>
      </c>
      <c r="BK124" s="107" t="s">
        <v>1593</v>
      </c>
      <c r="BL124" s="144">
        <v>1</v>
      </c>
      <c r="BM124" s="1"/>
      <c r="BN124" s="1"/>
      <c r="BO124" s="1"/>
      <c r="BP124" s="1"/>
      <c r="EC124" s="221"/>
      <c r="EK124"/>
    </row>
    <row r="125" spans="12:141" ht="16.5" customHeight="1" x14ac:dyDescent="0.3">
      <c r="L125" s="138" t="s">
        <v>969</v>
      </c>
      <c r="N125" s="138" t="s">
        <v>1892</v>
      </c>
      <c r="O125" s="110"/>
      <c r="AL125" s="110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3"/>
      <c r="BC125" s="1"/>
      <c r="BD125" s="112" t="s">
        <v>901</v>
      </c>
      <c r="BE125" s="90" t="s">
        <v>1893</v>
      </c>
      <c r="BF125" s="107">
        <v>1500</v>
      </c>
      <c r="BG125" s="107">
        <v>22500</v>
      </c>
      <c r="BH125" s="143">
        <v>44987</v>
      </c>
      <c r="BI125" s="107" t="s">
        <v>1591</v>
      </c>
      <c r="BJ125" s="108" t="s">
        <v>475</v>
      </c>
      <c r="BK125" s="107" t="s">
        <v>1593</v>
      </c>
      <c r="BL125" s="144">
        <v>1</v>
      </c>
      <c r="BM125" s="1"/>
      <c r="BN125" s="1"/>
      <c r="BO125" s="1"/>
      <c r="BP125" s="1"/>
      <c r="EC125" s="221"/>
      <c r="EK125"/>
    </row>
    <row r="126" spans="12:141" ht="16.5" customHeight="1" x14ac:dyDescent="0.3">
      <c r="L126" s="138" t="s">
        <v>1894</v>
      </c>
      <c r="N126" s="138" t="s">
        <v>1895</v>
      </c>
      <c r="O126" s="110"/>
      <c r="AL126" s="110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3"/>
      <c r="BC126" s="1"/>
      <c r="BD126" s="112" t="s">
        <v>330</v>
      </c>
      <c r="BE126" s="90" t="s">
        <v>1896</v>
      </c>
      <c r="BF126" s="107">
        <v>1533</v>
      </c>
      <c r="BG126" s="107">
        <v>22995</v>
      </c>
      <c r="BH126" s="143">
        <v>44987</v>
      </c>
      <c r="BI126" s="107" t="s">
        <v>1591</v>
      </c>
      <c r="BJ126" s="108" t="s">
        <v>1640</v>
      </c>
      <c r="BK126" s="107" t="s">
        <v>1593</v>
      </c>
      <c r="BL126" s="144">
        <v>1</v>
      </c>
      <c r="BM126" s="1"/>
      <c r="BN126" s="1"/>
      <c r="BO126" s="1"/>
      <c r="BP126" s="1"/>
      <c r="EC126" s="221"/>
      <c r="EK126"/>
    </row>
    <row r="127" spans="12:141" ht="16.5" customHeight="1" x14ac:dyDescent="0.3">
      <c r="L127" s="138" t="s">
        <v>1897</v>
      </c>
      <c r="N127" s="138" t="s">
        <v>1898</v>
      </c>
      <c r="O127" s="110"/>
      <c r="AL127" s="110"/>
      <c r="AM127" s="59"/>
      <c r="AN127" s="304" t="s">
        <v>85</v>
      </c>
      <c r="AO127" s="305"/>
      <c r="AP127" s="306"/>
      <c r="AQ127" s="307"/>
      <c r="AR127" s="60" t="s">
        <v>86</v>
      </c>
      <c r="AS127" s="306"/>
      <c r="AT127" s="307"/>
      <c r="AU127" s="60" t="s">
        <v>87</v>
      </c>
      <c r="AV127" s="306"/>
      <c r="AW127" s="307"/>
      <c r="AX127" s="285"/>
      <c r="AY127" s="218"/>
      <c r="AZ127" s="1"/>
      <c r="BA127" s="1"/>
      <c r="BB127" s="3"/>
      <c r="BC127" s="1"/>
      <c r="BD127" s="112" t="s">
        <v>1899</v>
      </c>
      <c r="BE127" s="90" t="s">
        <v>1900</v>
      </c>
      <c r="BF127" s="107">
        <v>1960</v>
      </c>
      <c r="BG127" s="107">
        <v>23520</v>
      </c>
      <c r="BH127" s="143">
        <v>44988</v>
      </c>
      <c r="BI127" s="107" t="s">
        <v>1591</v>
      </c>
      <c r="BJ127" s="108" t="s">
        <v>1601</v>
      </c>
      <c r="BK127" s="107" t="s">
        <v>1593</v>
      </c>
      <c r="BL127" s="144">
        <v>1</v>
      </c>
      <c r="BM127" s="1"/>
      <c r="BN127" s="1"/>
      <c r="BO127" s="1"/>
      <c r="BP127" s="1"/>
      <c r="EC127" s="221"/>
      <c r="EK127"/>
    </row>
    <row r="128" spans="12:141" ht="16.5" customHeight="1" x14ac:dyDescent="0.3">
      <c r="L128" s="138" t="s">
        <v>1901</v>
      </c>
      <c r="N128" s="138" t="s">
        <v>1902</v>
      </c>
      <c r="O128" s="110"/>
      <c r="AL128" s="110"/>
      <c r="AM128" s="59"/>
      <c r="AN128" s="304" t="s">
        <v>88</v>
      </c>
      <c r="AO128" s="305"/>
      <c r="AP128" s="308"/>
      <c r="AQ128" s="309"/>
      <c r="AR128" s="60" t="s">
        <v>88</v>
      </c>
      <c r="AS128" s="308"/>
      <c r="AT128" s="309"/>
      <c r="AU128" s="60" t="s">
        <v>88</v>
      </c>
      <c r="AV128" s="308"/>
      <c r="AW128" s="309"/>
      <c r="AX128" s="286"/>
      <c r="AY128" s="218"/>
      <c r="AZ128" s="1"/>
      <c r="BA128" s="1"/>
      <c r="BB128" s="3"/>
      <c r="BC128" s="1"/>
      <c r="BD128" s="112" t="s">
        <v>1899</v>
      </c>
      <c r="BE128" s="90" t="s">
        <v>1903</v>
      </c>
      <c r="BF128" s="107">
        <v>1960</v>
      </c>
      <c r="BG128" s="107">
        <v>23520</v>
      </c>
      <c r="BH128" s="143">
        <v>44988</v>
      </c>
      <c r="BI128" s="107" t="s">
        <v>1591</v>
      </c>
      <c r="BJ128" s="108" t="s">
        <v>1601</v>
      </c>
      <c r="BK128" s="107" t="s">
        <v>1593</v>
      </c>
      <c r="BL128" s="144">
        <v>1</v>
      </c>
      <c r="BM128" s="1"/>
      <c r="BN128" s="1"/>
      <c r="BO128" s="1"/>
      <c r="BP128" s="1"/>
      <c r="EC128" s="221"/>
      <c r="EK128"/>
    </row>
    <row r="129" spans="1:141" ht="16.5" customHeight="1" x14ac:dyDescent="0.3">
      <c r="L129" s="138" t="s">
        <v>1904</v>
      </c>
      <c r="N129" s="138" t="s">
        <v>1905</v>
      </c>
      <c r="O129" s="110"/>
      <c r="P129" t="s">
        <v>1906</v>
      </c>
      <c r="AL129" s="110"/>
      <c r="AM129" s="59"/>
      <c r="AN129" s="61"/>
      <c r="AO129" s="62"/>
      <c r="AP129" s="63"/>
      <c r="AQ129" s="63"/>
      <c r="AR129" s="64"/>
      <c r="AS129" s="65"/>
      <c r="AT129" s="66"/>
      <c r="AU129" s="67"/>
      <c r="AV129" s="68"/>
      <c r="AW129" s="68"/>
      <c r="AX129" s="68"/>
      <c r="AY129" s="218"/>
      <c r="AZ129" s="1"/>
      <c r="BA129" s="1"/>
      <c r="BB129" s="3"/>
      <c r="BC129" s="1"/>
      <c r="BD129" s="112" t="s">
        <v>537</v>
      </c>
      <c r="BE129" s="90" t="s">
        <v>1907</v>
      </c>
      <c r="BF129" s="107">
        <v>925</v>
      </c>
      <c r="BG129" s="107">
        <v>11100</v>
      </c>
      <c r="BH129" s="143">
        <v>44988</v>
      </c>
      <c r="BI129" s="107" t="s">
        <v>1591</v>
      </c>
      <c r="BJ129" s="108" t="s">
        <v>1908</v>
      </c>
      <c r="BK129" s="107" t="s">
        <v>1691</v>
      </c>
      <c r="BL129" s="144">
        <v>1</v>
      </c>
      <c r="BM129" s="1"/>
      <c r="BN129" s="1"/>
      <c r="BO129" s="1"/>
      <c r="BP129" s="1"/>
      <c r="EC129" s="221"/>
      <c r="EK129"/>
    </row>
    <row r="130" spans="1:141" ht="16.5" customHeight="1" x14ac:dyDescent="0.3">
      <c r="L130" s="138" t="s">
        <v>1909</v>
      </c>
      <c r="N130" s="138" t="s">
        <v>1910</v>
      </c>
      <c r="O130" s="110"/>
      <c r="P130" t="s">
        <v>68</v>
      </c>
      <c r="AL130" s="110"/>
      <c r="AM130" s="59"/>
      <c r="AN130" s="69" t="s">
        <v>89</v>
      </c>
      <c r="AO130" s="69"/>
      <c r="AP130" s="69"/>
      <c r="AQ130" s="62"/>
      <c r="AR130" s="70"/>
      <c r="AS130" s="71"/>
      <c r="AT130" s="70"/>
      <c r="AU130" s="70"/>
      <c r="AV130" s="72"/>
      <c r="AW130" s="72"/>
      <c r="AX130" s="72"/>
      <c r="AY130" s="218"/>
      <c r="AZ130" s="1"/>
      <c r="BA130" s="1"/>
      <c r="BB130" s="3"/>
      <c r="BC130" s="1"/>
      <c r="BD130" s="112" t="s">
        <v>1911</v>
      </c>
      <c r="BE130" s="90" t="s">
        <v>1912</v>
      </c>
      <c r="BF130" s="107">
        <v>1980</v>
      </c>
      <c r="BG130" s="107">
        <v>23760</v>
      </c>
      <c r="BH130" s="143">
        <v>44991</v>
      </c>
      <c r="BI130" s="107" t="s">
        <v>1591</v>
      </c>
      <c r="BJ130" s="108" t="s">
        <v>1913</v>
      </c>
      <c r="BK130" s="107" t="s">
        <v>1593</v>
      </c>
      <c r="BL130" s="144">
        <v>1</v>
      </c>
      <c r="BM130" s="1"/>
      <c r="BN130" s="1"/>
      <c r="BO130" s="1"/>
      <c r="BP130" s="1"/>
      <c r="EC130" s="221"/>
      <c r="EK130"/>
    </row>
    <row r="131" spans="1:141" ht="16.5" customHeight="1" x14ac:dyDescent="0.3">
      <c r="L131" s="138" t="s">
        <v>1914</v>
      </c>
      <c r="N131" s="138" t="s">
        <v>1915</v>
      </c>
      <c r="O131" s="110"/>
      <c r="P131" s="95" t="s">
        <v>1916</v>
      </c>
      <c r="AL131" s="110"/>
      <c r="AM131" s="59"/>
      <c r="AN131" s="72"/>
      <c r="AO131" s="69"/>
      <c r="AP131" s="69"/>
      <c r="AQ131" s="62"/>
      <c r="AR131" s="70"/>
      <c r="AS131" s="71"/>
      <c r="AT131" s="70"/>
      <c r="AU131" s="70"/>
      <c r="AV131" s="72"/>
      <c r="AW131" s="72"/>
      <c r="AX131" s="72"/>
      <c r="AY131" s="218"/>
      <c r="AZ131" s="1"/>
      <c r="BA131" s="1"/>
      <c r="BB131" s="3"/>
      <c r="BC131" s="1"/>
      <c r="BD131" s="112" t="s">
        <v>1384</v>
      </c>
      <c r="BE131" s="90" t="s">
        <v>1917</v>
      </c>
      <c r="BF131" s="107">
        <v>1916</v>
      </c>
      <c r="BG131" s="107">
        <v>22992</v>
      </c>
      <c r="BH131" s="143">
        <v>44991</v>
      </c>
      <c r="BI131" s="107" t="s">
        <v>1591</v>
      </c>
      <c r="BJ131" s="108" t="s">
        <v>1610</v>
      </c>
      <c r="BK131" s="107" t="s">
        <v>1593</v>
      </c>
      <c r="BL131" s="144">
        <v>1</v>
      </c>
      <c r="BM131" s="1"/>
      <c r="BN131" s="1"/>
      <c r="BO131" s="1"/>
      <c r="BP131" s="1"/>
      <c r="EC131" s="221"/>
      <c r="EK131"/>
    </row>
    <row r="132" spans="1:141" ht="16.5" customHeight="1" x14ac:dyDescent="0.3">
      <c r="L132" s="138" t="s">
        <v>1918</v>
      </c>
      <c r="N132" s="138" t="s">
        <v>1919</v>
      </c>
      <c r="O132" s="110"/>
      <c r="P132" s="95" t="s">
        <v>1920</v>
      </c>
      <c r="Q132" s="223" t="s">
        <v>1921</v>
      </c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  <c r="AI132" s="223"/>
      <c r="AJ132" s="223"/>
      <c r="AK132" s="223"/>
      <c r="AL132" s="110"/>
      <c r="AM132" s="59"/>
      <c r="AN132" s="72" t="s">
        <v>90</v>
      </c>
      <c r="AO132" s="69"/>
      <c r="AP132" s="69"/>
      <c r="AQ132" s="62"/>
      <c r="AR132" s="70"/>
      <c r="AS132" s="71"/>
      <c r="AT132" s="70"/>
      <c r="AU132" s="70"/>
      <c r="AV132" s="72"/>
      <c r="AW132" s="72"/>
      <c r="AX132" s="72"/>
      <c r="AY132" s="218"/>
      <c r="AZ132" s="1"/>
      <c r="BA132" s="1"/>
      <c r="BB132" s="3"/>
      <c r="BC132" s="1"/>
      <c r="BD132" s="112" t="s">
        <v>791</v>
      </c>
      <c r="BE132" s="90" t="s">
        <v>1922</v>
      </c>
      <c r="BF132" s="107">
        <v>1985</v>
      </c>
      <c r="BG132" s="107">
        <v>23820</v>
      </c>
      <c r="BH132" s="143">
        <v>44991</v>
      </c>
      <c r="BI132" s="107" t="s">
        <v>1591</v>
      </c>
      <c r="BJ132" s="108" t="s">
        <v>1728</v>
      </c>
      <c r="BK132" s="107" t="s">
        <v>1593</v>
      </c>
      <c r="BL132" s="144">
        <v>1</v>
      </c>
      <c r="BM132" s="1"/>
      <c r="BN132" s="1"/>
      <c r="BO132" s="1"/>
      <c r="BP132" s="1"/>
      <c r="EC132" s="221"/>
      <c r="EK132"/>
    </row>
    <row r="133" spans="1:141" ht="16.5" customHeight="1" x14ac:dyDescent="0.3">
      <c r="L133" s="138" t="s">
        <v>1027</v>
      </c>
      <c r="N133" s="138" t="s">
        <v>1923</v>
      </c>
      <c r="O133" s="110"/>
      <c r="P133" s="95" t="s">
        <v>1924</v>
      </c>
      <c r="Q133" s="223" t="s">
        <v>1925</v>
      </c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  <c r="AC133" s="111"/>
      <c r="AD133" s="111"/>
      <c r="AE133" s="111"/>
      <c r="AF133" s="111"/>
      <c r="AG133" s="111"/>
      <c r="AH133" s="111"/>
      <c r="AI133" s="111"/>
      <c r="AJ133" s="111"/>
      <c r="AK133" s="111"/>
      <c r="AL133" s="110"/>
      <c r="AM133" s="59"/>
      <c r="AN133" s="72"/>
      <c r="AO133" s="69"/>
      <c r="AP133" s="69"/>
      <c r="AQ133" s="62"/>
      <c r="AR133" s="70"/>
      <c r="AS133" s="71"/>
      <c r="AT133" s="70"/>
      <c r="AU133" s="70"/>
      <c r="AV133" s="72"/>
      <c r="AW133" s="72"/>
      <c r="AX133" s="72"/>
      <c r="AY133" s="218"/>
      <c r="AZ133" s="1"/>
      <c r="BA133" s="1"/>
      <c r="BB133" s="3"/>
      <c r="BC133" s="1"/>
      <c r="BD133" s="112" t="s">
        <v>791</v>
      </c>
      <c r="BE133" s="90" t="s">
        <v>1926</v>
      </c>
      <c r="BF133" s="107">
        <v>1953</v>
      </c>
      <c r="BG133" s="107">
        <v>23436</v>
      </c>
      <c r="BH133" s="143">
        <v>44991</v>
      </c>
      <c r="BI133" s="107" t="s">
        <v>1591</v>
      </c>
      <c r="BJ133" s="108" t="s">
        <v>1728</v>
      </c>
      <c r="BK133" s="107" t="s">
        <v>1593</v>
      </c>
      <c r="BL133" s="144">
        <v>1</v>
      </c>
      <c r="BM133" s="1"/>
      <c r="BN133" s="1"/>
      <c r="BO133" s="1"/>
      <c r="BP133" s="1"/>
      <c r="EC133" s="221"/>
      <c r="EK133"/>
    </row>
    <row r="134" spans="1:141" ht="16.5" customHeight="1" x14ac:dyDescent="0.3">
      <c r="L134" s="138" t="s">
        <v>1927</v>
      </c>
      <c r="N134" s="138" t="s">
        <v>1928</v>
      </c>
      <c r="O134" s="110"/>
      <c r="P134" s="224" t="s">
        <v>1929</v>
      </c>
      <c r="Q134" s="223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  <c r="AC134" s="111"/>
      <c r="AD134" s="111"/>
      <c r="AE134" s="111"/>
      <c r="AF134" s="111"/>
      <c r="AG134" s="111"/>
      <c r="AH134" s="111"/>
      <c r="AI134" s="111"/>
      <c r="AJ134" s="111"/>
      <c r="AK134" s="111"/>
      <c r="AL134" s="110"/>
      <c r="AM134" s="59"/>
      <c r="AN134" s="72"/>
      <c r="AO134" s="69"/>
      <c r="AP134" s="69"/>
      <c r="AQ134" s="62"/>
      <c r="AR134" s="70"/>
      <c r="AS134" s="71"/>
      <c r="AT134" s="70"/>
      <c r="AU134" s="310"/>
      <c r="AV134" s="310"/>
      <c r="AW134" s="72"/>
      <c r="AX134" s="72"/>
      <c r="AY134" s="218"/>
      <c r="AZ134" s="1"/>
      <c r="BA134" s="1"/>
      <c r="BB134" s="3"/>
      <c r="BC134" s="1"/>
      <c r="BD134" s="112" t="s">
        <v>676</v>
      </c>
      <c r="BE134" s="90" t="s">
        <v>1930</v>
      </c>
      <c r="BF134" s="107">
        <v>1925</v>
      </c>
      <c r="BG134" s="107">
        <v>23100</v>
      </c>
      <c r="BH134" s="143">
        <v>44991</v>
      </c>
      <c r="BI134" s="107" t="s">
        <v>1591</v>
      </c>
      <c r="BJ134" s="108" t="s">
        <v>1743</v>
      </c>
      <c r="BK134" s="107" t="s">
        <v>1691</v>
      </c>
      <c r="BL134" s="144">
        <v>1</v>
      </c>
      <c r="BM134" s="1"/>
      <c r="BN134" s="1"/>
      <c r="BO134" s="1"/>
      <c r="BP134" s="1"/>
      <c r="EC134" s="221"/>
      <c r="EK134"/>
    </row>
    <row r="135" spans="1:141" ht="16.5" customHeight="1" x14ac:dyDescent="0.3">
      <c r="A135" s="225"/>
      <c r="L135" s="138" t="s">
        <v>1931</v>
      </c>
      <c r="N135" s="138" t="s">
        <v>1932</v>
      </c>
      <c r="O135" s="110"/>
      <c r="P135" s="224" t="s">
        <v>1933</v>
      </c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0"/>
      <c r="AM135" s="59"/>
      <c r="AN135" s="72"/>
      <c r="AO135" s="69"/>
      <c r="AP135" s="69"/>
      <c r="AQ135" s="62"/>
      <c r="AR135" s="70"/>
      <c r="AS135" s="71"/>
      <c r="AT135" s="70"/>
      <c r="AU135" s="70"/>
      <c r="AV135" s="72"/>
      <c r="AW135" s="72"/>
      <c r="AX135" s="72"/>
      <c r="AY135" s="218"/>
      <c r="AZ135" s="1"/>
      <c r="BA135" s="1"/>
      <c r="BB135" s="3"/>
      <c r="BC135" s="1"/>
      <c r="BD135" s="112" t="s">
        <v>709</v>
      </c>
      <c r="BE135" s="90" t="s">
        <v>1935</v>
      </c>
      <c r="BF135" s="107">
        <v>1960</v>
      </c>
      <c r="BG135" s="107">
        <v>23520</v>
      </c>
      <c r="BH135" s="143">
        <v>44991</v>
      </c>
      <c r="BI135" s="107" t="s">
        <v>1591</v>
      </c>
      <c r="BJ135" s="108" t="s">
        <v>1601</v>
      </c>
      <c r="BK135" s="107" t="s">
        <v>1593</v>
      </c>
      <c r="BL135" s="144">
        <v>1</v>
      </c>
      <c r="BM135" s="1"/>
      <c r="BN135" s="1"/>
      <c r="BO135" s="1"/>
      <c r="BP135" s="1"/>
      <c r="EC135" s="221"/>
      <c r="EK135"/>
    </row>
    <row r="136" spans="1:141" ht="16.5" customHeight="1" x14ac:dyDescent="0.3">
      <c r="A136" s="225"/>
      <c r="L136" s="138" t="s">
        <v>1936</v>
      </c>
      <c r="N136" s="138" t="s">
        <v>1937</v>
      </c>
      <c r="O136" s="110"/>
      <c r="P136" s="101" t="s">
        <v>1938</v>
      </c>
      <c r="Q136" t="s">
        <v>115</v>
      </c>
      <c r="S136" t="s">
        <v>1939</v>
      </c>
      <c r="W136" t="s">
        <v>1940</v>
      </c>
      <c r="AG136" s="101" t="s">
        <v>1941</v>
      </c>
      <c r="AM136" s="59"/>
      <c r="AN136" s="72"/>
      <c r="AO136" s="69"/>
      <c r="AP136" s="69"/>
      <c r="AQ136" s="62"/>
      <c r="AR136" s="301" t="s">
        <v>91</v>
      </c>
      <c r="AS136" s="301"/>
      <c r="AT136" s="301"/>
      <c r="AU136" s="301"/>
      <c r="AV136" s="301"/>
      <c r="AW136" s="72"/>
      <c r="AX136" s="72"/>
      <c r="AY136" s="218"/>
      <c r="AZ136" s="1"/>
      <c r="BA136" s="1"/>
      <c r="BB136" s="3"/>
      <c r="BC136" s="1"/>
      <c r="BD136" s="112" t="s">
        <v>537</v>
      </c>
      <c r="BE136" s="90" t="s">
        <v>1942</v>
      </c>
      <c r="BF136" s="107">
        <v>1917</v>
      </c>
      <c r="BG136" s="107">
        <v>23004</v>
      </c>
      <c r="BH136" s="143">
        <v>44992</v>
      </c>
      <c r="BI136" s="107" t="s">
        <v>1591</v>
      </c>
      <c r="BJ136" s="108" t="s">
        <v>1601</v>
      </c>
      <c r="BK136" s="107" t="s">
        <v>1593</v>
      </c>
      <c r="BL136" s="144">
        <v>1</v>
      </c>
      <c r="BM136" s="1"/>
      <c r="BN136" s="1"/>
      <c r="BO136" s="1"/>
      <c r="BP136" s="1"/>
      <c r="EC136" s="221"/>
      <c r="EK136"/>
    </row>
    <row r="137" spans="1:141" ht="16.5" customHeight="1" x14ac:dyDescent="0.3">
      <c r="A137" s="225"/>
      <c r="L137" s="138" t="s">
        <v>1943</v>
      </c>
      <c r="N137" s="138" t="s">
        <v>1944</v>
      </c>
      <c r="O137" s="110"/>
      <c r="P137" s="95" t="s">
        <v>116</v>
      </c>
      <c r="Q137" s="95" t="s">
        <v>117</v>
      </c>
      <c r="R137" s="95" t="s">
        <v>118</v>
      </c>
      <c r="S137" s="95" t="s">
        <v>119</v>
      </c>
      <c r="T137" s="96" t="s">
        <v>120</v>
      </c>
      <c r="U137" s="95" t="s">
        <v>121</v>
      </c>
      <c r="V137" s="97" t="s">
        <v>122</v>
      </c>
      <c r="W137" s="226" t="s">
        <v>364</v>
      </c>
      <c r="X137" s="227" t="s">
        <v>365</v>
      </c>
      <c r="Y137" s="228" t="s">
        <v>1945</v>
      </c>
      <c r="Z137" s="224" t="s">
        <v>1946</v>
      </c>
      <c r="AA137" s="228" t="str">
        <f ca="1">TEXT(NOW(),"mm/dd aaa hh:mm")</f>
        <v>12/16 화 10:34</v>
      </c>
      <c r="AB137" s="224" t="s">
        <v>322</v>
      </c>
      <c r="AC137" s="224" t="s">
        <v>1947</v>
      </c>
      <c r="AG137" s="95" t="s">
        <v>124</v>
      </c>
      <c r="AH137" s="95" t="s">
        <v>125</v>
      </c>
      <c r="AI137" s="95" t="s">
        <v>126</v>
      </c>
      <c r="AJ137" s="95" t="s">
        <v>127</v>
      </c>
      <c r="AK137" s="96" t="s">
        <v>128</v>
      </c>
      <c r="AL137" s="95" t="s">
        <v>129</v>
      </c>
      <c r="AM137" s="59"/>
      <c r="AN137" s="72"/>
      <c r="AO137" s="69"/>
      <c r="AP137" s="69"/>
      <c r="AQ137" s="62"/>
      <c r="AR137" s="70"/>
      <c r="AS137" s="71"/>
      <c r="AT137" s="70"/>
      <c r="AU137" s="70"/>
      <c r="AV137" s="72"/>
      <c r="AW137" s="72"/>
      <c r="AX137" s="72"/>
      <c r="AY137" s="218"/>
      <c r="AZ137" s="1"/>
      <c r="BA137" s="1"/>
      <c r="BB137" s="3"/>
      <c r="BC137" s="1"/>
      <c r="BD137" s="112" t="s">
        <v>901</v>
      </c>
      <c r="BE137" s="90" t="s">
        <v>1948</v>
      </c>
      <c r="BF137" s="107">
        <v>1960</v>
      </c>
      <c r="BG137" s="107">
        <v>23520</v>
      </c>
      <c r="BH137" s="143">
        <v>44992</v>
      </c>
      <c r="BI137" s="107" t="s">
        <v>1591</v>
      </c>
      <c r="BJ137" s="108" t="s">
        <v>1601</v>
      </c>
      <c r="BK137" s="107" t="s">
        <v>1593</v>
      </c>
      <c r="BL137" s="144">
        <v>1</v>
      </c>
      <c r="BM137" s="1"/>
      <c r="BN137" s="1"/>
      <c r="BO137" s="1"/>
      <c r="BP137" s="1"/>
      <c r="EC137" s="221"/>
      <c r="EK137"/>
    </row>
    <row r="138" spans="1:141" ht="16.5" customHeight="1" x14ac:dyDescent="0.3">
      <c r="A138" s="225"/>
      <c r="L138" s="138" t="s">
        <v>1949</v>
      </c>
      <c r="N138" s="138" t="s">
        <v>1950</v>
      </c>
      <c r="O138" s="110"/>
      <c r="AM138" s="59"/>
      <c r="AN138" s="294" t="s">
        <v>92</v>
      </c>
      <c r="AO138" s="294"/>
      <c r="AP138" s="294"/>
      <c r="AQ138" s="294"/>
      <c r="AR138" s="294"/>
      <c r="AS138" s="294"/>
      <c r="AT138" s="294"/>
      <c r="AU138" s="294"/>
      <c r="AV138" s="294"/>
      <c r="AW138" s="294"/>
      <c r="AX138" s="275"/>
      <c r="AY138" s="218"/>
      <c r="AZ138" s="1"/>
      <c r="BA138" s="1"/>
      <c r="BB138" s="3"/>
      <c r="BC138" s="1"/>
      <c r="BD138" s="112" t="s">
        <v>854</v>
      </c>
      <c r="BE138" s="90" t="s">
        <v>1951</v>
      </c>
      <c r="BF138" s="107">
        <v>1958</v>
      </c>
      <c r="BG138" s="107">
        <v>23496</v>
      </c>
      <c r="BH138" s="143">
        <v>44992</v>
      </c>
      <c r="BI138" s="107" t="s">
        <v>1591</v>
      </c>
      <c r="BJ138" s="108" t="s">
        <v>1592</v>
      </c>
      <c r="BK138" s="107" t="s">
        <v>1593</v>
      </c>
      <c r="BL138" s="144">
        <v>1</v>
      </c>
      <c r="BM138" s="1"/>
      <c r="BN138" s="1"/>
      <c r="BO138" s="1"/>
      <c r="BP138" s="1"/>
      <c r="EC138" s="221"/>
      <c r="EK138"/>
    </row>
    <row r="139" spans="1:141" ht="16.5" customHeight="1" x14ac:dyDescent="0.3">
      <c r="A139" s="225"/>
      <c r="L139" s="138" t="s">
        <v>1952</v>
      </c>
      <c r="N139" s="138" t="s">
        <v>1953</v>
      </c>
      <c r="O139" s="110"/>
      <c r="AM139" s="73"/>
      <c r="AN139" s="74"/>
      <c r="AO139" s="75"/>
      <c r="AP139" s="75"/>
      <c r="AQ139" s="76"/>
      <c r="AR139" s="77"/>
      <c r="AS139" s="78"/>
      <c r="AT139" s="77"/>
      <c r="AU139" s="77"/>
      <c r="AV139" s="74"/>
      <c r="AW139" s="74"/>
      <c r="AX139" s="74"/>
      <c r="AY139" s="219"/>
      <c r="AZ139" s="1"/>
      <c r="BA139" s="1"/>
      <c r="BB139" s="3"/>
      <c r="BC139" s="1"/>
      <c r="BD139" s="112" t="s">
        <v>1384</v>
      </c>
      <c r="BE139" s="90" t="s">
        <v>1954</v>
      </c>
      <c r="BF139" s="107">
        <v>1916</v>
      </c>
      <c r="BG139" s="107">
        <v>22992</v>
      </c>
      <c r="BH139" s="143">
        <v>44992</v>
      </c>
      <c r="BI139" s="107" t="s">
        <v>1591</v>
      </c>
      <c r="BJ139" s="108" t="s">
        <v>1610</v>
      </c>
      <c r="BK139" s="107" t="s">
        <v>1593</v>
      </c>
      <c r="BL139" s="144">
        <v>1</v>
      </c>
      <c r="BM139" s="1"/>
      <c r="BN139" s="1"/>
      <c r="BO139" s="1"/>
      <c r="BP139" s="1"/>
      <c r="EC139" s="221"/>
      <c r="EK139"/>
    </row>
    <row r="140" spans="1:141" ht="16.5" customHeight="1" x14ac:dyDescent="0.3">
      <c r="A140" s="225"/>
      <c r="L140" s="138" t="s">
        <v>1955</v>
      </c>
      <c r="N140" s="138" t="s">
        <v>1956</v>
      </c>
      <c r="O140" s="110"/>
      <c r="AM140" s="1" t="s">
        <v>93</v>
      </c>
      <c r="AN140" t="s">
        <v>94</v>
      </c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3"/>
      <c r="BC140" s="1"/>
      <c r="BD140" s="112" t="s">
        <v>901</v>
      </c>
      <c r="BE140" s="90" t="s">
        <v>1957</v>
      </c>
      <c r="BF140" s="107">
        <v>1500</v>
      </c>
      <c r="BG140" s="107">
        <v>22500</v>
      </c>
      <c r="BH140" s="143">
        <v>44993</v>
      </c>
      <c r="BI140" s="107" t="s">
        <v>1591</v>
      </c>
      <c r="BJ140" s="108" t="s">
        <v>475</v>
      </c>
      <c r="BK140" s="107" t="s">
        <v>1593</v>
      </c>
      <c r="BL140" s="144">
        <v>1</v>
      </c>
      <c r="BM140" s="1"/>
      <c r="BN140" s="1"/>
      <c r="BO140" s="1"/>
      <c r="BP140" s="1"/>
      <c r="EC140" s="221"/>
      <c r="EK140"/>
    </row>
    <row r="141" spans="1:141" ht="16.5" customHeight="1" x14ac:dyDescent="0.3">
      <c r="A141" s="225"/>
      <c r="L141" s="138" t="s">
        <v>1958</v>
      </c>
      <c r="N141" s="138" t="s">
        <v>1959</v>
      </c>
      <c r="O141" s="110"/>
      <c r="AM141">
        <v>0.77</v>
      </c>
      <c r="AN141">
        <v>3.63</v>
      </c>
      <c r="AO141">
        <v>6.88</v>
      </c>
      <c r="AP141">
        <v>6.75</v>
      </c>
      <c r="AQ141">
        <v>14.38</v>
      </c>
      <c r="AR141">
        <v>7.5</v>
      </c>
      <c r="AS141">
        <v>8.8800000000000008</v>
      </c>
      <c r="AT141">
        <v>7.13</v>
      </c>
      <c r="AU141">
        <v>8.8800000000000008</v>
      </c>
      <c r="AV141">
        <v>7.88</v>
      </c>
      <c r="AW141">
        <v>8.75</v>
      </c>
      <c r="AX141">
        <v>8.75</v>
      </c>
      <c r="AY141">
        <v>0.77</v>
      </c>
      <c r="AZ141" s="1"/>
      <c r="BA141" s="1"/>
      <c r="BB141" s="3"/>
      <c r="BC141" s="1"/>
      <c r="BD141" s="112" t="s">
        <v>709</v>
      </c>
      <c r="BE141" s="90" t="s">
        <v>1960</v>
      </c>
      <c r="BF141" s="107">
        <v>1960</v>
      </c>
      <c r="BG141" s="107">
        <v>23520</v>
      </c>
      <c r="BH141" s="143">
        <v>44993</v>
      </c>
      <c r="BI141" s="107" t="s">
        <v>1591</v>
      </c>
      <c r="BJ141" s="108" t="s">
        <v>1601</v>
      </c>
      <c r="BK141" s="107" t="s">
        <v>1593</v>
      </c>
      <c r="BL141" s="144">
        <v>1</v>
      </c>
      <c r="BM141" s="1"/>
      <c r="BN141" s="1"/>
      <c r="BO141" s="1"/>
      <c r="BP141" s="1"/>
      <c r="EC141" s="221"/>
      <c r="EK141"/>
    </row>
    <row r="142" spans="1:141" ht="16.5" customHeight="1" x14ac:dyDescent="0.3">
      <c r="A142" s="225"/>
      <c r="L142" s="138" t="s">
        <v>1961</v>
      </c>
      <c r="N142" s="138" t="s">
        <v>1962</v>
      </c>
      <c r="O142" s="110"/>
      <c r="AN142" s="72" t="s">
        <v>95</v>
      </c>
      <c r="AO142" s="69"/>
      <c r="AP142" s="69"/>
      <c r="AQ142" s="62"/>
      <c r="AR142" s="70"/>
      <c r="AS142" s="71"/>
      <c r="AT142" s="70"/>
      <c r="AU142" s="70"/>
      <c r="AV142" s="72"/>
      <c r="AW142" s="72"/>
      <c r="AX142" s="72"/>
      <c r="AZ142" s="1"/>
      <c r="BA142" s="1"/>
      <c r="BB142" s="3"/>
      <c r="BC142" s="1"/>
      <c r="BD142" s="112" t="s">
        <v>709</v>
      </c>
      <c r="BE142" s="90" t="s">
        <v>1963</v>
      </c>
      <c r="BF142" s="107">
        <v>1917</v>
      </c>
      <c r="BG142" s="107">
        <v>23004</v>
      </c>
      <c r="BH142" s="143">
        <v>44993</v>
      </c>
      <c r="BI142" s="107" t="s">
        <v>1591</v>
      </c>
      <c r="BJ142" s="108" t="s">
        <v>1601</v>
      </c>
      <c r="BK142" s="107" t="s">
        <v>1593</v>
      </c>
      <c r="BL142" s="144">
        <v>1</v>
      </c>
      <c r="BM142" s="1"/>
      <c r="BN142" s="1"/>
      <c r="BO142" s="1"/>
      <c r="BP142" s="1"/>
      <c r="EC142" s="221"/>
      <c r="EK142"/>
    </row>
    <row r="143" spans="1:141" ht="16.5" customHeight="1" x14ac:dyDescent="0.3">
      <c r="A143" s="225"/>
      <c r="L143" s="138" t="s">
        <v>1964</v>
      </c>
      <c r="N143" s="138" t="s">
        <v>1965</v>
      </c>
      <c r="O143" s="110"/>
      <c r="AN143" s="295" t="s">
        <v>96</v>
      </c>
      <c r="AO143" s="295"/>
      <c r="AP143" s="295"/>
      <c r="AQ143" s="295"/>
      <c r="AR143" s="295"/>
      <c r="AS143" s="295"/>
      <c r="AT143" s="295"/>
      <c r="AU143" s="295"/>
      <c r="AV143" s="295"/>
      <c r="AW143" s="295"/>
      <c r="AX143" s="276"/>
      <c r="AZ143" s="1"/>
      <c r="BA143" s="1"/>
      <c r="BB143" s="3"/>
      <c r="BC143" s="1"/>
      <c r="BD143" s="112" t="s">
        <v>1020</v>
      </c>
      <c r="BE143" s="90" t="s">
        <v>1966</v>
      </c>
      <c r="BF143" s="107">
        <v>1939</v>
      </c>
      <c r="BG143" s="107">
        <v>23268</v>
      </c>
      <c r="BH143" s="143">
        <v>44993</v>
      </c>
      <c r="BI143" s="107" t="s">
        <v>1591</v>
      </c>
      <c r="BJ143" s="108" t="s">
        <v>1592</v>
      </c>
      <c r="BK143" s="107" t="s">
        <v>1593</v>
      </c>
      <c r="BL143" s="144">
        <v>1</v>
      </c>
      <c r="BM143" s="1"/>
      <c r="BN143" s="1"/>
      <c r="BO143" s="1"/>
      <c r="BP143" s="1"/>
      <c r="EC143" s="221"/>
      <c r="EK143"/>
    </row>
    <row r="144" spans="1:141" ht="16.5" customHeight="1" x14ac:dyDescent="0.3">
      <c r="A144" s="225"/>
      <c r="L144" s="138" t="s">
        <v>1967</v>
      </c>
      <c r="N144" s="138" t="s">
        <v>1968</v>
      </c>
      <c r="O144" s="110"/>
      <c r="AM144" s="79"/>
      <c r="AN144" s="80"/>
      <c r="AO144" s="81"/>
      <c r="AP144" s="81"/>
      <c r="AQ144" s="82"/>
      <c r="AR144" s="83"/>
      <c r="AS144" s="84"/>
      <c r="AT144" s="83"/>
      <c r="AU144" s="83"/>
      <c r="AV144" s="80"/>
      <c r="AW144" s="80"/>
      <c r="AX144" s="80"/>
      <c r="AY144" s="79"/>
      <c r="AZ144" s="1"/>
      <c r="BA144" s="1"/>
      <c r="BB144" s="3"/>
      <c r="BC144" s="1"/>
      <c r="BD144" s="112" t="s">
        <v>854</v>
      </c>
      <c r="BE144" s="90" t="s">
        <v>1969</v>
      </c>
      <c r="BF144" s="107">
        <v>1980</v>
      </c>
      <c r="BG144" s="107">
        <v>23760</v>
      </c>
      <c r="BH144" s="143">
        <v>44993</v>
      </c>
      <c r="BI144" s="107" t="s">
        <v>1591</v>
      </c>
      <c r="BJ144" s="108" t="s">
        <v>1864</v>
      </c>
      <c r="BK144" s="107" t="s">
        <v>1593</v>
      </c>
      <c r="BL144" s="144">
        <v>1</v>
      </c>
      <c r="BM144" s="1"/>
      <c r="BN144" s="1"/>
      <c r="BO144" s="1"/>
      <c r="BP144" s="1"/>
      <c r="EC144" s="221"/>
      <c r="EK144"/>
    </row>
    <row r="145" spans="1:141" ht="16.5" customHeight="1" x14ac:dyDescent="0.3">
      <c r="A145" s="225"/>
      <c r="L145" s="138" t="s">
        <v>1970</v>
      </c>
      <c r="N145" s="138" t="s">
        <v>1971</v>
      </c>
      <c r="O145" s="110"/>
      <c r="AM145" s="85"/>
      <c r="AN145" s="72" t="s">
        <v>97</v>
      </c>
      <c r="AO145" s="69"/>
      <c r="AP145" s="69"/>
      <c r="AQ145" s="62"/>
      <c r="AR145" s="70"/>
      <c r="AS145" s="71"/>
      <c r="AT145" s="70"/>
      <c r="AU145" s="70"/>
      <c r="AV145" s="72"/>
      <c r="AW145" s="72"/>
      <c r="AX145" s="72"/>
      <c r="AY145" s="220"/>
      <c r="AZ145" s="1"/>
      <c r="BA145" s="1"/>
      <c r="BB145" s="3"/>
      <c r="BC145" s="1"/>
      <c r="BD145" s="112" t="s">
        <v>1020</v>
      </c>
      <c r="BE145" s="90" t="s">
        <v>1972</v>
      </c>
      <c r="BF145" s="107">
        <v>1817</v>
      </c>
      <c r="BG145" s="107">
        <v>21804</v>
      </c>
      <c r="BH145" s="143">
        <v>44993</v>
      </c>
      <c r="BI145" s="107" t="s">
        <v>1591</v>
      </c>
      <c r="BJ145" s="108" t="s">
        <v>1592</v>
      </c>
      <c r="BK145" s="107" t="s">
        <v>1593</v>
      </c>
      <c r="BL145" s="144">
        <v>1</v>
      </c>
      <c r="BM145" s="1"/>
      <c r="BN145" s="1"/>
      <c r="BO145" s="1"/>
      <c r="BP145" s="1"/>
      <c r="EC145" s="221"/>
      <c r="EK145"/>
    </row>
    <row r="146" spans="1:141" ht="16.5" customHeight="1" x14ac:dyDescent="0.3">
      <c r="A146" s="225"/>
      <c r="L146" s="138" t="s">
        <v>1973</v>
      </c>
      <c r="N146" s="138" t="s">
        <v>1974</v>
      </c>
      <c r="O146" s="110"/>
      <c r="AM146" s="85"/>
      <c r="AN146" s="72" t="s">
        <v>98</v>
      </c>
      <c r="AO146" s="69"/>
      <c r="AP146" s="69"/>
      <c r="AQ146" s="62"/>
      <c r="AR146" s="70"/>
      <c r="AS146" s="71"/>
      <c r="AT146" s="70"/>
      <c r="AU146" s="70"/>
      <c r="AV146" s="72"/>
      <c r="AW146" s="72"/>
      <c r="AX146" s="72"/>
      <c r="AY146" s="220"/>
      <c r="AZ146" s="1"/>
      <c r="BA146" s="1"/>
      <c r="BB146" s="3"/>
      <c r="BC146" s="1"/>
      <c r="BD146" s="112" t="s">
        <v>901</v>
      </c>
      <c r="BE146" s="90" t="s">
        <v>1975</v>
      </c>
      <c r="BF146" s="107">
        <v>1500</v>
      </c>
      <c r="BG146" s="107">
        <v>22500</v>
      </c>
      <c r="BH146" s="143">
        <v>44994</v>
      </c>
      <c r="BI146" s="107" t="s">
        <v>1591</v>
      </c>
      <c r="BJ146" s="108" t="s">
        <v>475</v>
      </c>
      <c r="BK146" s="107" t="s">
        <v>1593</v>
      </c>
      <c r="BL146" s="144">
        <v>1</v>
      </c>
      <c r="BM146" s="1"/>
      <c r="BN146" s="1"/>
      <c r="BO146" s="1"/>
      <c r="BP146" s="1"/>
      <c r="EC146" s="221"/>
      <c r="EK146"/>
    </row>
    <row r="147" spans="1:141" ht="16.5" customHeight="1" x14ac:dyDescent="0.3">
      <c r="A147" s="225"/>
      <c r="L147" s="138" t="s">
        <v>1976</v>
      </c>
      <c r="N147" s="138" t="s">
        <v>1977</v>
      </c>
      <c r="O147" s="110"/>
      <c r="AM147" s="85"/>
      <c r="AN147" s="72" t="s">
        <v>99</v>
      </c>
      <c r="AO147" s="69"/>
      <c r="AP147" s="69"/>
      <c r="AQ147" s="62"/>
      <c r="AR147" s="70"/>
      <c r="AS147" s="71"/>
      <c r="AT147" s="70"/>
      <c r="AU147" s="70"/>
      <c r="AV147" s="72"/>
      <c r="AW147" s="72"/>
      <c r="AX147" s="72"/>
      <c r="AY147" s="220"/>
      <c r="AZ147" s="1"/>
      <c r="BA147" s="1"/>
      <c r="BB147" s="3"/>
      <c r="BC147" s="1"/>
      <c r="BD147" s="112" t="s">
        <v>901</v>
      </c>
      <c r="BE147" s="90" t="s">
        <v>1978</v>
      </c>
      <c r="BF147" s="107">
        <v>1960</v>
      </c>
      <c r="BG147" s="107">
        <v>23520</v>
      </c>
      <c r="BH147" s="143">
        <v>44994</v>
      </c>
      <c r="BI147" s="107" t="s">
        <v>1591</v>
      </c>
      <c r="BJ147" s="108" t="s">
        <v>1601</v>
      </c>
      <c r="BK147" s="107" t="s">
        <v>1593</v>
      </c>
      <c r="BL147" s="144">
        <v>1</v>
      </c>
      <c r="BM147" s="1"/>
      <c r="BN147" s="1"/>
      <c r="BO147" s="1"/>
      <c r="BP147" s="1"/>
      <c r="EC147" s="221"/>
      <c r="EK147"/>
    </row>
    <row r="148" spans="1:141" ht="16.5" customHeight="1" x14ac:dyDescent="0.3">
      <c r="A148" s="225"/>
      <c r="L148" s="138" t="s">
        <v>1979</v>
      </c>
      <c r="N148" s="138" t="s">
        <v>1980</v>
      </c>
      <c r="O148" s="110"/>
      <c r="AM148" s="85"/>
      <c r="AN148" s="72" t="s">
        <v>100</v>
      </c>
      <c r="AO148" s="69"/>
      <c r="AP148" s="69"/>
      <c r="AQ148" s="86">
        <v>45825</v>
      </c>
      <c r="AR148" s="70"/>
      <c r="AS148" s="71"/>
      <c r="AT148" s="70"/>
      <c r="AU148" s="70"/>
      <c r="AV148" s="72"/>
      <c r="AW148" s="72"/>
      <c r="AX148" s="72"/>
      <c r="AY148" s="220"/>
      <c r="AZ148" s="1"/>
      <c r="BA148" s="1"/>
      <c r="BB148" s="3"/>
      <c r="BC148" s="1"/>
      <c r="BD148" s="112" t="s">
        <v>805</v>
      </c>
      <c r="BE148" s="90" t="s">
        <v>1981</v>
      </c>
      <c r="BF148" s="107">
        <v>1568</v>
      </c>
      <c r="BG148" s="107">
        <v>23520</v>
      </c>
      <c r="BH148" s="143">
        <v>44994</v>
      </c>
      <c r="BI148" s="107" t="s">
        <v>1591</v>
      </c>
      <c r="BJ148" s="108" t="s">
        <v>1982</v>
      </c>
      <c r="BK148" s="107" t="s">
        <v>1593</v>
      </c>
      <c r="BL148" s="144">
        <v>1</v>
      </c>
      <c r="BM148" s="1"/>
      <c r="BN148" s="1"/>
      <c r="BO148" s="1"/>
      <c r="BP148" s="1"/>
      <c r="EC148" s="221"/>
      <c r="EK148"/>
    </row>
    <row r="149" spans="1:141" ht="16.5" customHeight="1" x14ac:dyDescent="0.3">
      <c r="A149" s="225"/>
      <c r="L149" s="138" t="s">
        <v>1983</v>
      </c>
      <c r="N149" s="138" t="s">
        <v>1984</v>
      </c>
      <c r="O149" s="110"/>
      <c r="AM149" s="85"/>
      <c r="AN149" s="72" t="s">
        <v>101</v>
      </c>
      <c r="AO149" s="69"/>
      <c r="AP149" s="69"/>
      <c r="AQ149" s="62"/>
      <c r="AR149" s="70"/>
      <c r="AS149" s="71"/>
      <c r="AT149" s="70"/>
      <c r="AU149" s="70"/>
      <c r="AV149" s="72"/>
      <c r="AW149" s="72"/>
      <c r="AX149" s="72"/>
      <c r="AY149" s="220"/>
      <c r="AZ149" s="1"/>
      <c r="BA149" s="1"/>
      <c r="BB149" s="3"/>
      <c r="BC149" s="1"/>
      <c r="BD149" s="112" t="s">
        <v>901</v>
      </c>
      <c r="BE149" s="90" t="s">
        <v>1985</v>
      </c>
      <c r="BF149" s="107">
        <v>1568</v>
      </c>
      <c r="BG149" s="107">
        <v>23520</v>
      </c>
      <c r="BH149" s="143">
        <v>44994</v>
      </c>
      <c r="BI149" s="107" t="s">
        <v>1591</v>
      </c>
      <c r="BJ149" s="108" t="s">
        <v>1661</v>
      </c>
      <c r="BK149" s="107" t="s">
        <v>1593</v>
      </c>
      <c r="BL149" s="144">
        <v>1</v>
      </c>
      <c r="BM149" s="1"/>
      <c r="BN149" s="1"/>
      <c r="BO149" s="1"/>
      <c r="BP149" s="1"/>
      <c r="EC149" s="221"/>
      <c r="EK149"/>
    </row>
    <row r="150" spans="1:141" ht="16.5" customHeight="1" x14ac:dyDescent="0.3">
      <c r="A150" s="225"/>
      <c r="L150" s="138" t="s">
        <v>1986</v>
      </c>
      <c r="N150" s="138" t="s">
        <v>1987</v>
      </c>
      <c r="O150" s="110"/>
      <c r="AM150" s="59"/>
      <c r="AN150" s="293" t="s">
        <v>102</v>
      </c>
      <c r="AO150" s="296" t="s">
        <v>103</v>
      </c>
      <c r="AP150" s="296" t="s">
        <v>104</v>
      </c>
      <c r="AQ150" s="297" t="s">
        <v>105</v>
      </c>
      <c r="AR150" s="299" t="s">
        <v>106</v>
      </c>
      <c r="AS150" s="299"/>
      <c r="AT150" s="299" t="s">
        <v>107</v>
      </c>
      <c r="AU150" s="299"/>
      <c r="AV150" s="300" t="s">
        <v>108</v>
      </c>
      <c r="AW150" s="293" t="s">
        <v>109</v>
      </c>
      <c r="AX150" s="293" t="s">
        <v>109</v>
      </c>
      <c r="AY150" s="218"/>
      <c r="AZ150" s="1"/>
      <c r="BA150" s="1"/>
      <c r="BB150" s="3"/>
      <c r="BC150" s="1"/>
      <c r="BD150" s="112" t="s">
        <v>901</v>
      </c>
      <c r="BE150" s="90" t="s">
        <v>1988</v>
      </c>
      <c r="BF150" s="107">
        <v>1500</v>
      </c>
      <c r="BG150" s="107">
        <v>22500</v>
      </c>
      <c r="BH150" s="143">
        <v>44994</v>
      </c>
      <c r="BI150" s="107" t="s">
        <v>1591</v>
      </c>
      <c r="BJ150" s="108" t="s">
        <v>475</v>
      </c>
      <c r="BK150" s="107" t="s">
        <v>1593</v>
      </c>
      <c r="BL150" s="144">
        <v>1</v>
      </c>
      <c r="BM150" s="1"/>
      <c r="BN150" s="1"/>
      <c r="BO150" s="1"/>
      <c r="BP150" s="1"/>
      <c r="EC150" s="221"/>
      <c r="EK150"/>
    </row>
    <row r="151" spans="1:141" ht="16.5" customHeight="1" x14ac:dyDescent="0.3">
      <c r="A151" s="225"/>
      <c r="L151" s="138" t="s">
        <v>1989</v>
      </c>
      <c r="N151" s="138" t="s">
        <v>1990</v>
      </c>
      <c r="O151" s="110"/>
      <c r="AM151" s="59"/>
      <c r="AN151" s="293"/>
      <c r="AO151" s="296"/>
      <c r="AP151" s="296"/>
      <c r="AQ151" s="298"/>
      <c r="AR151" s="87" t="s">
        <v>88</v>
      </c>
      <c r="AS151" s="88" t="s">
        <v>110</v>
      </c>
      <c r="AT151" s="87" t="s">
        <v>88</v>
      </c>
      <c r="AU151" s="87" t="s">
        <v>110</v>
      </c>
      <c r="AV151" s="293"/>
      <c r="AW151" s="293"/>
      <c r="AX151" s="293"/>
      <c r="AY151" s="218"/>
      <c r="AZ151" s="1"/>
      <c r="BA151" s="1"/>
      <c r="BB151" s="3"/>
      <c r="BC151" s="1"/>
      <c r="BD151" s="112" t="s">
        <v>901</v>
      </c>
      <c r="BE151" s="90" t="s">
        <v>1991</v>
      </c>
      <c r="BF151" s="107">
        <v>1500</v>
      </c>
      <c r="BG151" s="107">
        <v>22500</v>
      </c>
      <c r="BH151" s="143">
        <v>44994</v>
      </c>
      <c r="BI151" s="107" t="s">
        <v>1591</v>
      </c>
      <c r="BJ151" s="108" t="s">
        <v>475</v>
      </c>
      <c r="BK151" s="107" t="s">
        <v>1593</v>
      </c>
      <c r="BL151" s="144">
        <v>1</v>
      </c>
      <c r="BM151" s="1"/>
      <c r="BN151" s="1"/>
      <c r="BO151" s="1"/>
      <c r="BP151" s="1"/>
      <c r="EC151" s="221"/>
      <c r="EK151"/>
    </row>
    <row r="152" spans="1:141" ht="16.5" customHeight="1" x14ac:dyDescent="0.3">
      <c r="A152" s="225"/>
      <c r="L152" s="138" t="s">
        <v>1992</v>
      </c>
      <c r="N152" s="138" t="s">
        <v>1993</v>
      </c>
      <c r="O152" s="110"/>
      <c r="AM152" s="59"/>
      <c r="AN152" s="89"/>
      <c r="AO152" s="90"/>
      <c r="AP152" s="90"/>
      <c r="AQ152" s="90"/>
      <c r="AR152" s="91"/>
      <c r="AS152" s="92"/>
      <c r="AT152" s="91"/>
      <c r="AU152" s="92"/>
      <c r="AV152" s="89"/>
      <c r="AW152" s="93"/>
      <c r="AX152" s="93"/>
      <c r="AY152" s="218"/>
      <c r="AZ152" s="1"/>
      <c r="BA152" s="1"/>
      <c r="BB152" s="3"/>
      <c r="BC152" s="1"/>
      <c r="BD152" s="112" t="s">
        <v>330</v>
      </c>
      <c r="BE152" s="90" t="s">
        <v>1994</v>
      </c>
      <c r="BF152" s="107">
        <v>1533</v>
      </c>
      <c r="BG152" s="107">
        <v>22995</v>
      </c>
      <c r="BH152" s="143">
        <v>44994</v>
      </c>
      <c r="BI152" s="107" t="s">
        <v>1591</v>
      </c>
      <c r="BJ152" s="108" t="s">
        <v>1640</v>
      </c>
      <c r="BK152" s="107" t="s">
        <v>1593</v>
      </c>
      <c r="BL152" s="144">
        <v>1</v>
      </c>
      <c r="BM152" s="1"/>
      <c r="BN152" s="1"/>
      <c r="BO152" s="1"/>
      <c r="BP152" s="1"/>
      <c r="EC152" s="221"/>
      <c r="EK152"/>
    </row>
    <row r="153" spans="1:141" ht="16.5" customHeight="1" x14ac:dyDescent="0.3">
      <c r="A153" s="225"/>
      <c r="L153" s="138" t="s">
        <v>1995</v>
      </c>
      <c r="N153" s="138" t="s">
        <v>1996</v>
      </c>
      <c r="O153" s="110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3"/>
      <c r="BC153" s="1"/>
      <c r="BD153" s="112" t="s">
        <v>330</v>
      </c>
      <c r="BE153" s="90" t="s">
        <v>1997</v>
      </c>
      <c r="BF153" s="107">
        <v>1533</v>
      </c>
      <c r="BG153" s="107">
        <v>22995</v>
      </c>
      <c r="BH153" s="143">
        <v>44994</v>
      </c>
      <c r="BI153" s="107" t="s">
        <v>1591</v>
      </c>
      <c r="BJ153" s="108" t="s">
        <v>1640</v>
      </c>
      <c r="BK153" s="107" t="s">
        <v>1593</v>
      </c>
      <c r="BL153" s="144">
        <v>1</v>
      </c>
      <c r="BM153" s="1"/>
      <c r="BN153" s="1"/>
      <c r="BO153" s="1"/>
      <c r="BP153" s="1"/>
      <c r="EC153" s="221"/>
      <c r="EK153"/>
    </row>
    <row r="154" spans="1:141" ht="16.5" customHeight="1" x14ac:dyDescent="0.3">
      <c r="A154" s="225"/>
      <c r="L154" s="138" t="s">
        <v>1998</v>
      </c>
      <c r="N154" s="138" t="s">
        <v>1999</v>
      </c>
      <c r="O154" s="110"/>
      <c r="AM154" s="1" t="s">
        <v>111</v>
      </c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3"/>
      <c r="BC154" s="1"/>
      <c r="BD154" s="112" t="s">
        <v>805</v>
      </c>
      <c r="BE154" s="90" t="s">
        <v>2000</v>
      </c>
      <c r="BF154" s="107">
        <v>1960</v>
      </c>
      <c r="BG154" s="107">
        <v>23520</v>
      </c>
      <c r="BH154" s="143">
        <v>44995</v>
      </c>
      <c r="BI154" s="107" t="s">
        <v>1591</v>
      </c>
      <c r="BJ154" s="108" t="s">
        <v>1601</v>
      </c>
      <c r="BK154" s="107" t="s">
        <v>1593</v>
      </c>
      <c r="BL154" s="144">
        <v>1</v>
      </c>
      <c r="BM154" s="1"/>
      <c r="BN154" s="1"/>
      <c r="BO154" s="1"/>
      <c r="BP154" s="1"/>
      <c r="EC154" s="221"/>
      <c r="EK154"/>
    </row>
    <row r="155" spans="1:141" ht="16.5" customHeight="1" x14ac:dyDescent="0.3">
      <c r="A155" s="225"/>
      <c r="L155" s="138" t="s">
        <v>2001</v>
      </c>
      <c r="N155" s="138" t="s">
        <v>2002</v>
      </c>
      <c r="O155" s="110"/>
      <c r="AM155" s="1" t="s">
        <v>112</v>
      </c>
      <c r="AN155" s="1" t="s">
        <v>113</v>
      </c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3"/>
      <c r="BC155" s="1"/>
      <c r="BD155" s="112" t="s">
        <v>805</v>
      </c>
      <c r="BE155" s="90" t="s">
        <v>2003</v>
      </c>
      <c r="BF155" s="107">
        <v>1960</v>
      </c>
      <c r="BG155" s="107">
        <v>23520</v>
      </c>
      <c r="BH155" s="143">
        <v>44995</v>
      </c>
      <c r="BI155" s="107" t="s">
        <v>1591</v>
      </c>
      <c r="BJ155" s="108" t="s">
        <v>1601</v>
      </c>
      <c r="BK155" s="107" t="s">
        <v>1593</v>
      </c>
      <c r="BL155" s="144">
        <v>1</v>
      </c>
      <c r="BM155" s="1"/>
      <c r="BN155" s="1"/>
      <c r="BO155" s="1"/>
      <c r="BP155" s="1"/>
      <c r="EC155" s="221"/>
      <c r="EK155"/>
    </row>
    <row r="156" spans="1:141" ht="16.5" customHeight="1" x14ac:dyDescent="0.3">
      <c r="A156" s="225"/>
      <c r="L156" s="138" t="s">
        <v>2004</v>
      </c>
      <c r="N156" s="138" t="s">
        <v>2005</v>
      </c>
      <c r="O156" s="110"/>
      <c r="AM156" s="94" t="s">
        <v>114</v>
      </c>
      <c r="AN156" t="s">
        <v>115</v>
      </c>
      <c r="AT156" s="1"/>
      <c r="AU156" s="1"/>
      <c r="AV156" s="1"/>
      <c r="AW156" s="1"/>
      <c r="AX156" s="1"/>
      <c r="AY156" s="1"/>
      <c r="AZ156" s="1"/>
      <c r="BA156" s="1"/>
      <c r="BB156" s="3"/>
      <c r="BC156" s="1"/>
      <c r="BD156" s="112" t="s">
        <v>676</v>
      </c>
      <c r="BE156" s="90" t="s">
        <v>2006</v>
      </c>
      <c r="BF156" s="107">
        <v>2300</v>
      </c>
      <c r="BG156" s="107">
        <v>23000</v>
      </c>
      <c r="BH156" s="143">
        <v>44995</v>
      </c>
      <c r="BI156" s="107" t="s">
        <v>1591</v>
      </c>
      <c r="BJ156" s="108" t="s">
        <v>475</v>
      </c>
      <c r="BK156" s="107" t="s">
        <v>1653</v>
      </c>
      <c r="BL156" s="144">
        <v>1</v>
      </c>
      <c r="BM156" s="1"/>
      <c r="BN156" s="1"/>
      <c r="BO156" s="1"/>
      <c r="BP156" s="1"/>
      <c r="EC156" s="221"/>
      <c r="EK156"/>
    </row>
    <row r="157" spans="1:141" ht="16.5" customHeight="1" x14ac:dyDescent="0.3">
      <c r="A157" s="225"/>
      <c r="L157" s="138" t="s">
        <v>2007</v>
      </c>
      <c r="N157" s="138" t="s">
        <v>2008</v>
      </c>
      <c r="O157" s="110"/>
      <c r="AM157" s="95" t="s">
        <v>116</v>
      </c>
      <c r="AN157" s="95" t="s">
        <v>117</v>
      </c>
      <c r="AO157" s="95" t="s">
        <v>118</v>
      </c>
      <c r="AP157" s="95" t="s">
        <v>119</v>
      </c>
      <c r="AQ157" s="96" t="s">
        <v>120</v>
      </c>
      <c r="AR157" s="95" t="s">
        <v>121</v>
      </c>
      <c r="AS157" s="97" t="s">
        <v>122</v>
      </c>
      <c r="AT157" s="1"/>
      <c r="AU157" s="1"/>
      <c r="AV157" s="1"/>
      <c r="AW157" s="1"/>
      <c r="AX157" s="1"/>
      <c r="AY157" s="1"/>
      <c r="AZ157" s="1"/>
      <c r="BA157" s="1"/>
      <c r="BB157" s="3"/>
      <c r="BC157" s="1"/>
      <c r="BD157" s="112" t="s">
        <v>330</v>
      </c>
      <c r="BE157" s="90" t="s">
        <v>2009</v>
      </c>
      <c r="BF157" s="107">
        <v>1958</v>
      </c>
      <c r="BG157" s="107">
        <v>23496</v>
      </c>
      <c r="BH157" s="143">
        <v>44995</v>
      </c>
      <c r="BI157" s="107" t="s">
        <v>1591</v>
      </c>
      <c r="BJ157" s="108" t="s">
        <v>1592</v>
      </c>
      <c r="BK157" s="107" t="s">
        <v>1593</v>
      </c>
      <c r="BL157" s="144">
        <v>1</v>
      </c>
      <c r="BM157" s="1"/>
      <c r="BN157" s="1"/>
      <c r="BO157" s="1"/>
      <c r="BP157" s="1"/>
      <c r="EC157" s="221"/>
      <c r="EK157"/>
    </row>
    <row r="158" spans="1:141" ht="16.5" customHeight="1" x14ac:dyDescent="0.3">
      <c r="A158" s="225"/>
      <c r="L158" s="138" t="s">
        <v>2010</v>
      </c>
      <c r="N158" s="138" t="s">
        <v>2011</v>
      </c>
      <c r="O158" s="110"/>
      <c r="AM158" t="s">
        <v>123</v>
      </c>
      <c r="AT158" s="1"/>
      <c r="AU158" s="1"/>
      <c r="AV158" s="1"/>
      <c r="AW158" s="1"/>
      <c r="AX158" s="1"/>
      <c r="AY158" s="1"/>
      <c r="AZ158" s="1"/>
      <c r="BA158" s="1"/>
      <c r="BB158" s="3"/>
      <c r="BC158" s="1"/>
      <c r="BD158" s="112" t="s">
        <v>330</v>
      </c>
      <c r="BE158" s="90" t="s">
        <v>2012</v>
      </c>
      <c r="BF158" s="107">
        <v>1958</v>
      </c>
      <c r="BG158" s="107">
        <v>23496</v>
      </c>
      <c r="BH158" s="143">
        <v>44995</v>
      </c>
      <c r="BI158" s="107" t="s">
        <v>1591</v>
      </c>
      <c r="BJ158" s="108" t="s">
        <v>1592</v>
      </c>
      <c r="BK158" s="107" t="s">
        <v>1593</v>
      </c>
      <c r="BL158" s="144">
        <v>1</v>
      </c>
      <c r="BM158" s="1"/>
      <c r="BN158" s="1"/>
      <c r="BO158" s="1"/>
      <c r="BP158" s="1"/>
      <c r="EC158" s="221"/>
      <c r="EK158"/>
    </row>
    <row r="159" spans="1:141" ht="16.5" customHeight="1" x14ac:dyDescent="0.3">
      <c r="A159" s="225"/>
      <c r="L159" s="138" t="s">
        <v>2013</v>
      </c>
      <c r="N159" s="138" t="s">
        <v>2014</v>
      </c>
      <c r="O159" s="110"/>
      <c r="AM159" s="95" t="s">
        <v>124</v>
      </c>
      <c r="AN159" s="95" t="s">
        <v>125</v>
      </c>
      <c r="AO159" s="95" t="s">
        <v>126</v>
      </c>
      <c r="AP159" s="95" t="s">
        <v>127</v>
      </c>
      <c r="AQ159" s="96" t="s">
        <v>128</v>
      </c>
      <c r="AR159" s="95" t="s">
        <v>129</v>
      </c>
      <c r="AS159" s="97" t="s">
        <v>130</v>
      </c>
      <c r="AT159" s="1"/>
      <c r="AU159" s="1"/>
      <c r="AV159" s="1"/>
      <c r="AW159" s="1"/>
      <c r="AX159" s="1"/>
      <c r="AY159" s="1"/>
      <c r="AZ159" s="1"/>
      <c r="BA159" s="1"/>
      <c r="BB159" s="3"/>
      <c r="BC159" s="1"/>
      <c r="BD159" s="112" t="s">
        <v>901</v>
      </c>
      <c r="BE159" s="90" t="s">
        <v>2015</v>
      </c>
      <c r="BF159" s="107">
        <v>1500</v>
      </c>
      <c r="BG159" s="107">
        <v>22500</v>
      </c>
      <c r="BH159" s="143">
        <v>44998</v>
      </c>
      <c r="BI159" s="107" t="s">
        <v>1591</v>
      </c>
      <c r="BJ159" s="108" t="s">
        <v>475</v>
      </c>
      <c r="BK159" s="107" t="s">
        <v>1593</v>
      </c>
      <c r="BL159" s="144">
        <v>1</v>
      </c>
      <c r="BM159" s="1"/>
      <c r="BN159" s="1"/>
      <c r="BO159" s="1"/>
      <c r="BP159" s="1"/>
      <c r="EC159" s="221"/>
      <c r="EK159"/>
    </row>
    <row r="160" spans="1:141" ht="16.5" customHeight="1" x14ac:dyDescent="0.3">
      <c r="A160" s="225"/>
      <c r="L160" s="138" t="s">
        <v>2016</v>
      </c>
      <c r="N160" s="138" t="s">
        <v>2017</v>
      </c>
      <c r="O160" s="110"/>
      <c r="AM160" t="s">
        <v>131</v>
      </c>
      <c r="AP160" t="s">
        <v>132</v>
      </c>
      <c r="AQ160" t="s">
        <v>133</v>
      </c>
      <c r="AZ160" s="1"/>
      <c r="BA160" s="1"/>
      <c r="BB160" s="3"/>
      <c r="BC160" s="1"/>
      <c r="BD160" s="112" t="s">
        <v>1303</v>
      </c>
      <c r="BE160" s="90" t="s">
        <v>2018</v>
      </c>
      <c r="BF160" s="107">
        <v>1916</v>
      </c>
      <c r="BG160" s="107">
        <v>22992</v>
      </c>
      <c r="BH160" s="143">
        <v>44998</v>
      </c>
      <c r="BI160" s="107" t="s">
        <v>1591</v>
      </c>
      <c r="BJ160" s="108" t="s">
        <v>1610</v>
      </c>
      <c r="BK160" s="107" t="s">
        <v>1593</v>
      </c>
      <c r="BL160" s="144">
        <v>1</v>
      </c>
      <c r="BO160" s="1"/>
      <c r="BP160" s="1"/>
      <c r="EC160" s="221"/>
      <c r="EK160"/>
    </row>
    <row r="161" spans="1:141" ht="16.5" customHeight="1" x14ac:dyDescent="0.3">
      <c r="A161" s="225"/>
      <c r="L161" s="138" t="s">
        <v>2019</v>
      </c>
      <c r="N161" s="138" t="s">
        <v>2020</v>
      </c>
      <c r="O161" s="110"/>
      <c r="AM161" s="95" t="s">
        <v>125</v>
      </c>
      <c r="AN161" s="95" t="s">
        <v>134</v>
      </c>
      <c r="AO161" s="95" t="s">
        <v>135</v>
      </c>
      <c r="AP161" s="95" t="s">
        <v>136</v>
      </c>
      <c r="AQ161" s="96"/>
      <c r="AR161" s="95" t="s">
        <v>137</v>
      </c>
      <c r="AS161" s="97" t="s">
        <v>138</v>
      </c>
      <c r="AT161" s="98" t="s">
        <v>139</v>
      </c>
      <c r="AU161" s="99" t="s">
        <v>140</v>
      </c>
      <c r="AV161" s="100" t="s">
        <v>141</v>
      </c>
      <c r="AW161" s="99" t="s">
        <v>142</v>
      </c>
      <c r="AX161" s="99" t="s">
        <v>142</v>
      </c>
      <c r="AY161" s="98" t="s">
        <v>1934</v>
      </c>
      <c r="AZ161" s="1"/>
      <c r="BA161" s="1"/>
      <c r="BB161" s="3"/>
      <c r="BC161" s="1"/>
      <c r="BD161" s="112" t="s">
        <v>453</v>
      </c>
      <c r="BE161" s="113" t="s">
        <v>2021</v>
      </c>
      <c r="BF161" s="107">
        <v>1467</v>
      </c>
      <c r="BG161" s="107">
        <v>22005</v>
      </c>
      <c r="BH161" s="143">
        <v>44638</v>
      </c>
      <c r="BI161" s="107" t="s">
        <v>385</v>
      </c>
      <c r="BJ161" s="108" t="s">
        <v>2022</v>
      </c>
      <c r="BK161" s="107" t="s">
        <v>456</v>
      </c>
      <c r="BL161" s="144">
        <v>1</v>
      </c>
      <c r="BM161" s="1"/>
      <c r="BN161" s="1"/>
      <c r="BO161" s="1"/>
      <c r="BP161" s="1"/>
      <c r="EC161" s="221"/>
      <c r="EK161"/>
    </row>
    <row r="162" spans="1:141" ht="16.5" customHeight="1" x14ac:dyDescent="0.3">
      <c r="A162" s="225"/>
      <c r="L162" s="138" t="s">
        <v>2023</v>
      </c>
      <c r="N162" s="138" t="s">
        <v>2024</v>
      </c>
      <c r="O162" s="110"/>
      <c r="AO162" s="101" t="s">
        <v>143</v>
      </c>
      <c r="AR162" t="s">
        <v>132</v>
      </c>
      <c r="AS162" t="s">
        <v>133</v>
      </c>
      <c r="BB162" s="3"/>
      <c r="BC162" s="1"/>
      <c r="BD162" s="112" t="s">
        <v>2025</v>
      </c>
      <c r="BE162" s="113" t="s">
        <v>2026</v>
      </c>
      <c r="BF162" s="107">
        <v>1950</v>
      </c>
      <c r="BG162" s="107">
        <v>23400</v>
      </c>
      <c r="BH162" s="143">
        <v>44733</v>
      </c>
      <c r="BI162" s="107" t="s">
        <v>385</v>
      </c>
      <c r="BJ162" s="108" t="s">
        <v>2027</v>
      </c>
      <c r="BK162" s="107" t="s">
        <v>692</v>
      </c>
      <c r="BL162" s="144">
        <v>1</v>
      </c>
      <c r="BM162" s="1"/>
      <c r="BN162" s="1"/>
      <c r="BO162" s="1"/>
      <c r="BP162" s="1"/>
      <c r="EC162" s="221"/>
      <c r="EK162"/>
    </row>
    <row r="163" spans="1:141" ht="16.5" customHeight="1" x14ac:dyDescent="0.3">
      <c r="A163" s="225"/>
      <c r="L163" s="138" t="s">
        <v>2028</v>
      </c>
      <c r="N163" s="138" t="s">
        <v>2029</v>
      </c>
      <c r="O163" s="110"/>
      <c r="AM163" s="97" t="s">
        <v>130</v>
      </c>
      <c r="AO163" s="95" t="s">
        <v>125</v>
      </c>
      <c r="AP163" s="95" t="s">
        <v>134</v>
      </c>
      <c r="AQ163" s="95" t="s">
        <v>135</v>
      </c>
      <c r="AR163" s="95" t="s">
        <v>136</v>
      </c>
      <c r="AS163" s="96"/>
      <c r="AT163" s="95" t="s">
        <v>137</v>
      </c>
      <c r="AU163" s="97" t="s">
        <v>138</v>
      </c>
      <c r="AV163" s="98" t="s">
        <v>139</v>
      </c>
      <c r="AW163" s="99" t="s">
        <v>140</v>
      </c>
      <c r="AX163" s="99" t="s">
        <v>140</v>
      </c>
      <c r="AY163" s="100" t="s">
        <v>141</v>
      </c>
      <c r="AZ163" s="99" t="s">
        <v>142</v>
      </c>
      <c r="BA163" s="98" t="s">
        <v>1934</v>
      </c>
      <c r="BB163" s="3"/>
      <c r="BC163" s="1"/>
      <c r="BD163" s="112" t="s">
        <v>599</v>
      </c>
      <c r="BE163" s="113" t="s">
        <v>2030</v>
      </c>
      <c r="BF163" s="107">
        <v>1916</v>
      </c>
      <c r="BG163" s="107">
        <v>22992</v>
      </c>
      <c r="BH163" s="143">
        <v>44734</v>
      </c>
      <c r="BI163" s="107" t="s">
        <v>385</v>
      </c>
      <c r="BJ163" s="108" t="s">
        <v>601</v>
      </c>
      <c r="BK163" s="107" t="s">
        <v>456</v>
      </c>
      <c r="BL163" s="144">
        <v>1</v>
      </c>
      <c r="BM163" s="1"/>
      <c r="BN163" s="1"/>
      <c r="BO163" s="1"/>
      <c r="BP163" s="1"/>
      <c r="EC163" s="221"/>
      <c r="EK163"/>
    </row>
    <row r="164" spans="1:141" ht="16.5" customHeight="1" x14ac:dyDescent="0.3">
      <c r="A164" s="225"/>
      <c r="L164" s="138" t="s">
        <v>2031</v>
      </c>
      <c r="N164" s="138" t="s">
        <v>2032</v>
      </c>
      <c r="O164" s="110"/>
      <c r="BB164" s="3"/>
      <c r="BC164" s="1"/>
      <c r="BD164" s="112" t="s">
        <v>453</v>
      </c>
      <c r="BE164" s="113" t="s">
        <v>2033</v>
      </c>
      <c r="BF164" s="107">
        <v>1500</v>
      </c>
      <c r="BG164" s="107">
        <v>22500</v>
      </c>
      <c r="BH164" s="143">
        <v>44735</v>
      </c>
      <c r="BI164" s="107" t="s">
        <v>385</v>
      </c>
      <c r="BJ164" s="108" t="s">
        <v>2022</v>
      </c>
      <c r="BK164" s="107" t="s">
        <v>456</v>
      </c>
      <c r="BL164" s="144">
        <v>1</v>
      </c>
      <c r="BM164" s="1"/>
      <c r="BN164" s="1"/>
      <c r="BO164" s="1"/>
      <c r="BP164" s="1"/>
      <c r="EC164" s="221"/>
      <c r="EK164"/>
    </row>
    <row r="165" spans="1:141" ht="16.5" customHeight="1" x14ac:dyDescent="0.3">
      <c r="A165" s="225"/>
      <c r="L165" s="138" t="s">
        <v>2034</v>
      </c>
      <c r="N165" s="138" t="s">
        <v>2035</v>
      </c>
      <c r="O165" s="110"/>
      <c r="BB165" s="3"/>
      <c r="BC165" s="1"/>
      <c r="BD165" s="112" t="s">
        <v>599</v>
      </c>
      <c r="BE165" s="113" t="s">
        <v>2036</v>
      </c>
      <c r="BF165" s="107">
        <v>1916</v>
      </c>
      <c r="BG165" s="107">
        <v>22992</v>
      </c>
      <c r="BH165" s="143">
        <v>44790</v>
      </c>
      <c r="BI165" s="107" t="s">
        <v>385</v>
      </c>
      <c r="BJ165" s="108" t="s">
        <v>601</v>
      </c>
      <c r="BK165" s="107" t="s">
        <v>456</v>
      </c>
      <c r="BL165" s="144">
        <v>1</v>
      </c>
      <c r="BM165" s="1"/>
      <c r="BN165" s="1"/>
      <c r="BO165" s="1"/>
      <c r="BP165" s="1"/>
      <c r="EC165" s="221"/>
      <c r="EK165"/>
    </row>
    <row r="166" spans="1:141" ht="16.5" customHeight="1" x14ac:dyDescent="0.3">
      <c r="A166" s="225"/>
      <c r="L166" s="138" t="s">
        <v>2037</v>
      </c>
      <c r="N166" s="138" t="s">
        <v>2038</v>
      </c>
      <c r="O166" s="110"/>
      <c r="BB166" s="3"/>
      <c r="BC166" s="1"/>
      <c r="BD166" s="112" t="s">
        <v>500</v>
      </c>
      <c r="BE166" s="113" t="s">
        <v>2039</v>
      </c>
      <c r="BF166" s="107">
        <v>2200</v>
      </c>
      <c r="BG166" s="107">
        <v>22000</v>
      </c>
      <c r="BH166" s="143">
        <v>44791</v>
      </c>
      <c r="BI166" s="107" t="s">
        <v>385</v>
      </c>
      <c r="BJ166" s="108" t="s">
        <v>502</v>
      </c>
      <c r="BK166" s="107" t="s">
        <v>524</v>
      </c>
      <c r="BL166" s="144">
        <v>1</v>
      </c>
      <c r="BM166" s="1"/>
      <c r="BN166" s="1"/>
      <c r="BO166" s="1"/>
      <c r="BP166" s="1"/>
      <c r="EC166" s="221"/>
      <c r="EK166"/>
    </row>
    <row r="167" spans="1:141" ht="16.5" customHeight="1" x14ac:dyDescent="0.3">
      <c r="A167" s="225"/>
      <c r="L167" s="138" t="s">
        <v>2040</v>
      </c>
      <c r="N167" s="138" t="s">
        <v>2041</v>
      </c>
      <c r="O167" s="110"/>
      <c r="BB167" s="3"/>
      <c r="BC167" s="1"/>
      <c r="BD167" s="112" t="s">
        <v>791</v>
      </c>
      <c r="BE167" s="113" t="s">
        <v>2042</v>
      </c>
      <c r="BF167" s="107">
        <v>1980</v>
      </c>
      <c r="BG167" s="107">
        <v>23760</v>
      </c>
      <c r="BH167" s="143">
        <v>44798</v>
      </c>
      <c r="BI167" s="107" t="s">
        <v>385</v>
      </c>
      <c r="BJ167" s="108" t="s">
        <v>2043</v>
      </c>
      <c r="BK167" s="107" t="s">
        <v>456</v>
      </c>
      <c r="BL167" s="144">
        <v>1</v>
      </c>
      <c r="BM167" s="1"/>
      <c r="BN167" s="1"/>
      <c r="BO167" s="1"/>
      <c r="BP167" s="1"/>
      <c r="EC167" s="221"/>
      <c r="EK167"/>
    </row>
    <row r="168" spans="1:141" ht="16.5" customHeight="1" x14ac:dyDescent="0.3">
      <c r="A168" s="225"/>
      <c r="L168" s="138" t="s">
        <v>2044</v>
      </c>
      <c r="N168" s="138" t="s">
        <v>2045</v>
      </c>
      <c r="O168" s="110"/>
      <c r="BB168" s="3"/>
      <c r="BC168" s="1"/>
      <c r="BD168" s="112" t="s">
        <v>1546</v>
      </c>
      <c r="BE168" s="113" t="s">
        <v>2046</v>
      </c>
      <c r="BF168" s="107">
        <v>1916</v>
      </c>
      <c r="BG168" s="107">
        <v>22992</v>
      </c>
      <c r="BH168" s="143">
        <v>44804</v>
      </c>
      <c r="BI168" s="107" t="s">
        <v>385</v>
      </c>
      <c r="BJ168" s="108" t="s">
        <v>601</v>
      </c>
      <c r="BK168" s="107" t="s">
        <v>456</v>
      </c>
      <c r="BL168" s="144">
        <v>1</v>
      </c>
      <c r="BM168" s="1"/>
      <c r="BN168" s="1"/>
      <c r="BO168" s="1"/>
      <c r="BP168" s="1"/>
      <c r="EC168" s="221"/>
      <c r="EK168"/>
    </row>
    <row r="169" spans="1:141" ht="16.5" customHeight="1" x14ac:dyDescent="0.3">
      <c r="A169" s="225"/>
      <c r="L169" s="138" t="s">
        <v>2047</v>
      </c>
      <c r="N169" s="138" t="s">
        <v>2048</v>
      </c>
      <c r="O169" s="110"/>
      <c r="BB169" s="3"/>
      <c r="BC169" s="1"/>
      <c r="BD169" s="112" t="s">
        <v>483</v>
      </c>
      <c r="BE169" s="113" t="s">
        <v>2049</v>
      </c>
      <c r="BF169" s="107">
        <v>1980</v>
      </c>
      <c r="BG169" s="107">
        <v>23760</v>
      </c>
      <c r="BH169" s="143">
        <v>44806</v>
      </c>
      <c r="BI169" s="107" t="s">
        <v>385</v>
      </c>
      <c r="BJ169" s="108" t="s">
        <v>2050</v>
      </c>
      <c r="BK169" s="107" t="s">
        <v>456</v>
      </c>
      <c r="BL169" s="144">
        <v>1</v>
      </c>
      <c r="BM169" s="1"/>
      <c r="BN169" s="1"/>
      <c r="BO169" s="1"/>
      <c r="BP169" s="1"/>
      <c r="EC169" s="221"/>
      <c r="EK169"/>
    </row>
    <row r="170" spans="1:141" ht="16.5" customHeight="1" x14ac:dyDescent="0.3">
      <c r="A170" s="225"/>
      <c r="L170" s="138" t="s">
        <v>2051</v>
      </c>
      <c r="N170" s="138" t="s">
        <v>2052</v>
      </c>
      <c r="O170" s="110"/>
      <c r="BB170" s="3"/>
      <c r="BC170" s="1"/>
      <c r="BD170" s="112" t="s">
        <v>383</v>
      </c>
      <c r="BE170" s="113" t="s">
        <v>2053</v>
      </c>
      <c r="BF170" s="107">
        <v>1700</v>
      </c>
      <c r="BG170" s="107">
        <v>23137</v>
      </c>
      <c r="BH170" s="143">
        <v>44809</v>
      </c>
      <c r="BI170" s="107" t="s">
        <v>385</v>
      </c>
      <c r="BJ170" s="108" t="s">
        <v>2054</v>
      </c>
      <c r="BK170" s="107" t="s">
        <v>387</v>
      </c>
      <c r="BL170" s="144">
        <v>1</v>
      </c>
      <c r="BM170" s="1"/>
      <c r="BN170" s="1"/>
      <c r="BO170" s="1"/>
      <c r="BP170" s="1"/>
      <c r="EC170" s="221"/>
      <c r="EK170"/>
    </row>
    <row r="171" spans="1:141" ht="16.5" customHeight="1" x14ac:dyDescent="0.3">
      <c r="A171" s="225"/>
      <c r="L171" s="138" t="s">
        <v>2055</v>
      </c>
      <c r="N171" s="138" t="s">
        <v>2056</v>
      </c>
      <c r="O171" s="110"/>
      <c r="BB171" s="3"/>
      <c r="BC171" s="1"/>
      <c r="BD171" s="112" t="s">
        <v>453</v>
      </c>
      <c r="BE171" s="113" t="s">
        <v>2057</v>
      </c>
      <c r="BF171" s="107">
        <v>1815</v>
      </c>
      <c r="BG171" s="107">
        <v>21780</v>
      </c>
      <c r="BH171" s="143">
        <v>44823</v>
      </c>
      <c r="BI171" s="107" t="s">
        <v>385</v>
      </c>
      <c r="BJ171" s="108" t="s">
        <v>2058</v>
      </c>
      <c r="BK171" s="107" t="s">
        <v>456</v>
      </c>
      <c r="BL171" s="144">
        <v>1</v>
      </c>
      <c r="BM171" s="1"/>
      <c r="BN171" s="1"/>
      <c r="BO171" s="1"/>
      <c r="BP171" s="1"/>
      <c r="EC171" s="221"/>
      <c r="EK171"/>
    </row>
    <row r="172" spans="1:141" ht="16.5" customHeight="1" x14ac:dyDescent="0.3">
      <c r="A172" s="225"/>
      <c r="L172" s="138" t="s">
        <v>2059</v>
      </c>
      <c r="N172" s="138" t="s">
        <v>2060</v>
      </c>
      <c r="O172" s="110"/>
      <c r="BB172" s="3"/>
      <c r="BC172" s="1"/>
      <c r="BD172" s="112" t="s">
        <v>500</v>
      </c>
      <c r="BE172" s="113" t="s">
        <v>2061</v>
      </c>
      <c r="BF172" s="107">
        <v>1925</v>
      </c>
      <c r="BG172" s="107">
        <v>23100</v>
      </c>
      <c r="BH172" s="143">
        <v>44827</v>
      </c>
      <c r="BI172" s="107" t="s">
        <v>385</v>
      </c>
      <c r="BJ172" s="108" t="s">
        <v>2062</v>
      </c>
      <c r="BK172" s="107" t="s">
        <v>692</v>
      </c>
      <c r="BL172" s="144">
        <v>1</v>
      </c>
      <c r="BM172" s="1"/>
      <c r="BN172" s="1"/>
      <c r="BO172" s="1"/>
      <c r="BP172" s="1"/>
      <c r="EC172" s="221"/>
      <c r="EK172"/>
    </row>
    <row r="173" spans="1:141" ht="16.5" customHeight="1" x14ac:dyDescent="0.3">
      <c r="A173" s="225"/>
      <c r="L173" s="138" t="s">
        <v>2063</v>
      </c>
      <c r="N173" s="138" t="s">
        <v>2064</v>
      </c>
      <c r="O173" s="110"/>
      <c r="BB173" s="3"/>
      <c r="BC173" s="1"/>
      <c r="BD173" s="112" t="s">
        <v>453</v>
      </c>
      <c r="BE173" s="113" t="s">
        <v>2065</v>
      </c>
      <c r="BF173" s="107">
        <v>1434</v>
      </c>
      <c r="BG173" s="107">
        <v>21510</v>
      </c>
      <c r="BH173" s="143">
        <v>44833</v>
      </c>
      <c r="BI173" s="107" t="s">
        <v>385</v>
      </c>
      <c r="BJ173" s="108" t="s">
        <v>502</v>
      </c>
      <c r="BK173" s="107" t="s">
        <v>456</v>
      </c>
      <c r="BL173" s="144">
        <v>1</v>
      </c>
      <c r="BM173" s="1"/>
      <c r="BN173" s="1"/>
      <c r="BO173" s="1"/>
      <c r="BP173" s="1"/>
      <c r="EC173" s="221"/>
      <c r="EK173"/>
    </row>
    <row r="174" spans="1:141" ht="16.5" customHeight="1" x14ac:dyDescent="0.3">
      <c r="A174" s="225"/>
      <c r="L174" s="138" t="s">
        <v>2066</v>
      </c>
      <c r="N174" s="138" t="s">
        <v>2067</v>
      </c>
      <c r="O174" s="110"/>
      <c r="BB174" s="3"/>
      <c r="BC174" s="1"/>
      <c r="BD174" s="112" t="s">
        <v>537</v>
      </c>
      <c r="BE174" s="113" t="s">
        <v>2068</v>
      </c>
      <c r="BF174" s="107">
        <v>1958</v>
      </c>
      <c r="BG174" s="107">
        <v>23496</v>
      </c>
      <c r="BH174" s="143">
        <v>44839</v>
      </c>
      <c r="BI174" s="107" t="s">
        <v>385</v>
      </c>
      <c r="BJ174" s="108" t="s">
        <v>1022</v>
      </c>
      <c r="BK174" s="107" t="s">
        <v>456</v>
      </c>
      <c r="BL174" s="144">
        <v>1</v>
      </c>
      <c r="BM174" s="1"/>
      <c r="BN174" s="1"/>
      <c r="BO174" s="1"/>
      <c r="BP174" s="1"/>
      <c r="EC174" s="221"/>
      <c r="EK174"/>
    </row>
    <row r="175" spans="1:141" ht="16.5" customHeight="1" x14ac:dyDescent="0.3">
      <c r="A175" s="225"/>
      <c r="L175" s="138" t="s">
        <v>2069</v>
      </c>
      <c r="N175" s="138" t="s">
        <v>2070</v>
      </c>
      <c r="O175" s="110"/>
      <c r="BB175" s="3"/>
      <c r="BC175" s="1"/>
      <c r="BD175" s="112" t="s">
        <v>1303</v>
      </c>
      <c r="BE175" s="113" t="s">
        <v>2071</v>
      </c>
      <c r="BF175" s="107">
        <v>1916</v>
      </c>
      <c r="BG175" s="107">
        <v>22992</v>
      </c>
      <c r="BH175" s="143">
        <v>44840</v>
      </c>
      <c r="BI175" s="107" t="s">
        <v>385</v>
      </c>
      <c r="BJ175" s="108" t="s">
        <v>1386</v>
      </c>
      <c r="BK175" s="107" t="s">
        <v>456</v>
      </c>
      <c r="BL175" s="144">
        <v>1</v>
      </c>
      <c r="BM175" s="1"/>
      <c r="BN175" s="1"/>
      <c r="BO175" s="1"/>
      <c r="BP175" s="1"/>
      <c r="EC175" s="221"/>
      <c r="EK175"/>
    </row>
    <row r="176" spans="1:141" ht="16.5" customHeight="1" x14ac:dyDescent="0.3">
      <c r="A176" s="225"/>
      <c r="L176" s="138" t="s">
        <v>2072</v>
      </c>
      <c r="N176" s="138" t="s">
        <v>2073</v>
      </c>
      <c r="O176" s="110"/>
      <c r="BB176" s="3"/>
      <c r="BC176" s="1"/>
      <c r="BD176" s="112" t="s">
        <v>453</v>
      </c>
      <c r="BE176" s="113" t="s">
        <v>2074</v>
      </c>
      <c r="BF176" s="107">
        <v>1566</v>
      </c>
      <c r="BG176" s="107">
        <v>23490</v>
      </c>
      <c r="BH176" s="143">
        <v>44840</v>
      </c>
      <c r="BI176" s="107" t="s">
        <v>385</v>
      </c>
      <c r="BJ176" s="108" t="s">
        <v>571</v>
      </c>
      <c r="BK176" s="107" t="s">
        <v>456</v>
      </c>
      <c r="BL176" s="144">
        <v>1</v>
      </c>
      <c r="BM176" s="1"/>
      <c r="BN176" s="1"/>
      <c r="BO176" s="1"/>
      <c r="BP176" s="1"/>
      <c r="EC176" s="221"/>
      <c r="EK176"/>
    </row>
    <row r="177" spans="1:141" ht="16.5" customHeight="1" x14ac:dyDescent="0.3">
      <c r="A177" s="225"/>
      <c r="L177" s="138" t="s">
        <v>2075</v>
      </c>
      <c r="N177" s="138" t="s">
        <v>2076</v>
      </c>
      <c r="O177" s="110"/>
      <c r="BB177" s="3"/>
      <c r="BC177" s="1"/>
      <c r="BD177" s="112" t="s">
        <v>537</v>
      </c>
      <c r="BE177" s="113" t="s">
        <v>2077</v>
      </c>
      <c r="BF177" s="107">
        <v>1958</v>
      </c>
      <c r="BG177" s="107">
        <v>23496</v>
      </c>
      <c r="BH177" s="143">
        <v>44841</v>
      </c>
      <c r="BI177" s="107" t="s">
        <v>385</v>
      </c>
      <c r="BJ177" s="108" t="s">
        <v>1022</v>
      </c>
      <c r="BK177" s="107" t="s">
        <v>456</v>
      </c>
      <c r="BL177" s="144">
        <v>1</v>
      </c>
      <c r="BM177" s="1"/>
      <c r="BN177" s="1"/>
      <c r="BO177" s="1"/>
      <c r="BP177" s="1"/>
      <c r="EC177" s="221"/>
      <c r="EK177"/>
    </row>
    <row r="178" spans="1:141" ht="16.5" customHeight="1" x14ac:dyDescent="0.3">
      <c r="A178" s="225"/>
      <c r="L178" t="s">
        <v>2078</v>
      </c>
      <c r="N178" s="138" t="s">
        <v>2079</v>
      </c>
      <c r="O178" s="110"/>
      <c r="BB178" s="3"/>
      <c r="BC178" s="1"/>
      <c r="BD178" s="112" t="s">
        <v>689</v>
      </c>
      <c r="BE178" s="113" t="s">
        <v>2080</v>
      </c>
      <c r="BF178" s="107">
        <v>1925</v>
      </c>
      <c r="BG178" s="107">
        <v>23100</v>
      </c>
      <c r="BH178" s="143">
        <v>44841</v>
      </c>
      <c r="BI178" s="107" t="s">
        <v>385</v>
      </c>
      <c r="BJ178" s="108" t="s">
        <v>2062</v>
      </c>
      <c r="BK178" s="107" t="s">
        <v>692</v>
      </c>
      <c r="BL178" s="144">
        <v>1</v>
      </c>
      <c r="BM178" s="1"/>
      <c r="BN178" s="1"/>
      <c r="BO178" s="1"/>
      <c r="BP178" s="1"/>
      <c r="EC178" s="221"/>
      <c r="EK178"/>
    </row>
    <row r="179" spans="1:141" ht="16.5" customHeight="1" x14ac:dyDescent="0.3">
      <c r="A179" s="225"/>
      <c r="L179" t="s">
        <v>2081</v>
      </c>
      <c r="N179" s="138" t="s">
        <v>2082</v>
      </c>
      <c r="O179" s="110"/>
      <c r="BB179" s="3"/>
      <c r="BC179" s="1"/>
      <c r="BD179" s="112" t="s">
        <v>689</v>
      </c>
      <c r="BE179" s="113" t="s">
        <v>2083</v>
      </c>
      <c r="BF179" s="107">
        <v>1925</v>
      </c>
      <c r="BG179" s="107">
        <v>23100</v>
      </c>
      <c r="BH179" s="143">
        <v>44841</v>
      </c>
      <c r="BI179" s="107" t="s">
        <v>385</v>
      </c>
      <c r="BJ179" s="108" t="s">
        <v>2062</v>
      </c>
      <c r="BK179" s="107" t="s">
        <v>692</v>
      </c>
      <c r="BL179" s="144">
        <v>1</v>
      </c>
      <c r="BM179" s="1"/>
      <c r="BN179" s="1"/>
      <c r="BO179" s="1"/>
      <c r="BP179" s="1"/>
      <c r="EC179" s="221"/>
      <c r="EK179"/>
    </row>
    <row r="180" spans="1:141" ht="16.5" customHeight="1" x14ac:dyDescent="0.3">
      <c r="A180" s="225"/>
      <c r="L180" t="s">
        <v>1120</v>
      </c>
      <c r="N180" s="138" t="s">
        <v>2084</v>
      </c>
      <c r="O180" s="110"/>
      <c r="BB180" s="3"/>
      <c r="BC180" s="1"/>
      <c r="BD180" s="112" t="s">
        <v>453</v>
      </c>
      <c r="BE180" s="113" t="s">
        <v>2085</v>
      </c>
      <c r="BF180" s="107">
        <v>1834</v>
      </c>
      <c r="BG180" s="107">
        <v>22008</v>
      </c>
      <c r="BH180" s="143">
        <v>44846</v>
      </c>
      <c r="BI180" s="107" t="s">
        <v>385</v>
      </c>
      <c r="BJ180" s="108" t="s">
        <v>2086</v>
      </c>
      <c r="BK180" s="107" t="s">
        <v>456</v>
      </c>
      <c r="BL180" s="144">
        <v>1</v>
      </c>
      <c r="BM180" s="1"/>
      <c r="BN180" s="1"/>
      <c r="BO180" s="1"/>
      <c r="BP180" s="1"/>
      <c r="EC180" s="221"/>
      <c r="EK180"/>
    </row>
    <row r="181" spans="1:141" ht="16.5" customHeight="1" x14ac:dyDescent="0.3">
      <c r="A181" s="225"/>
      <c r="L181" t="s">
        <v>2087</v>
      </c>
      <c r="N181" s="138" t="s">
        <v>2088</v>
      </c>
      <c r="O181" s="110"/>
      <c r="BB181" s="3"/>
      <c r="BC181" s="1"/>
      <c r="BD181" s="112" t="s">
        <v>632</v>
      </c>
      <c r="BE181" s="113" t="s">
        <v>2089</v>
      </c>
      <c r="BF181" s="107">
        <v>1568</v>
      </c>
      <c r="BG181" s="107">
        <v>23520</v>
      </c>
      <c r="BH181" s="143">
        <v>44846</v>
      </c>
      <c r="BI181" s="107" t="s">
        <v>385</v>
      </c>
      <c r="BJ181" s="108" t="s">
        <v>634</v>
      </c>
      <c r="BK181" s="107" t="s">
        <v>456</v>
      </c>
      <c r="BL181" s="144">
        <v>1</v>
      </c>
      <c r="BM181" s="1"/>
      <c r="BN181" s="1"/>
      <c r="BO181" s="1"/>
      <c r="BP181" s="1"/>
      <c r="EC181" s="221"/>
      <c r="EK181"/>
    </row>
    <row r="182" spans="1:141" ht="16.5" customHeight="1" x14ac:dyDescent="0.3">
      <c r="A182" s="225"/>
      <c r="L182" t="s">
        <v>1163</v>
      </c>
      <c r="N182" s="138" t="s">
        <v>2090</v>
      </c>
      <c r="O182" s="110"/>
      <c r="BB182" s="3"/>
      <c r="BC182" s="1"/>
      <c r="BD182" s="112" t="s">
        <v>791</v>
      </c>
      <c r="BE182" s="113" t="s">
        <v>2091</v>
      </c>
      <c r="BF182" s="107">
        <v>1960</v>
      </c>
      <c r="BG182" s="107">
        <v>23520</v>
      </c>
      <c r="BH182" s="143">
        <v>44847</v>
      </c>
      <c r="BI182" s="107" t="s">
        <v>385</v>
      </c>
      <c r="BJ182" s="108" t="s">
        <v>718</v>
      </c>
      <c r="BK182" s="107" t="s">
        <v>456</v>
      </c>
      <c r="BL182" s="144">
        <v>1</v>
      </c>
      <c r="BM182" s="1"/>
      <c r="BN182" s="1"/>
      <c r="BO182" s="1"/>
      <c r="BP182" s="1"/>
      <c r="EC182" s="221"/>
      <c r="EK182"/>
    </row>
    <row r="183" spans="1:141" ht="16.5" customHeight="1" x14ac:dyDescent="0.3">
      <c r="A183" s="225"/>
      <c r="L183" t="s">
        <v>2092</v>
      </c>
      <c r="N183" s="138" t="s">
        <v>2093</v>
      </c>
      <c r="O183" s="110"/>
      <c r="BB183" s="3"/>
      <c r="BC183" s="1"/>
      <c r="BD183" s="112" t="s">
        <v>537</v>
      </c>
      <c r="BE183" s="113" t="s">
        <v>2094</v>
      </c>
      <c r="BF183" s="107">
        <v>1958</v>
      </c>
      <c r="BG183" s="107">
        <v>23496</v>
      </c>
      <c r="BH183" s="143">
        <v>44847</v>
      </c>
      <c r="BI183" s="107" t="s">
        <v>385</v>
      </c>
      <c r="BJ183" s="108" t="s">
        <v>1022</v>
      </c>
      <c r="BK183" s="107" t="s">
        <v>456</v>
      </c>
      <c r="BL183" s="144">
        <v>1</v>
      </c>
      <c r="BM183" s="1"/>
      <c r="BN183" s="1"/>
      <c r="BO183" s="1"/>
      <c r="BP183" s="1"/>
      <c r="EC183" s="221"/>
      <c r="EK183"/>
    </row>
    <row r="184" spans="1:141" ht="16.5" customHeight="1" x14ac:dyDescent="0.3">
      <c r="A184" s="225"/>
      <c r="L184" t="s">
        <v>2095</v>
      </c>
      <c r="N184" s="138" t="s">
        <v>2096</v>
      </c>
      <c r="O184" s="110"/>
      <c r="BB184" s="3"/>
      <c r="BC184" s="1"/>
      <c r="BD184" s="112" t="s">
        <v>791</v>
      </c>
      <c r="BE184" s="113" t="s">
        <v>2097</v>
      </c>
      <c r="BF184" s="107">
        <v>1980</v>
      </c>
      <c r="BG184" s="107">
        <v>23760</v>
      </c>
      <c r="BH184" s="143">
        <v>44853</v>
      </c>
      <c r="BI184" s="107" t="s">
        <v>385</v>
      </c>
      <c r="BJ184" s="108" t="s">
        <v>2098</v>
      </c>
      <c r="BK184" s="107" t="s">
        <v>456</v>
      </c>
      <c r="BL184" s="144">
        <v>1</v>
      </c>
      <c r="BM184" s="1"/>
      <c r="BN184" s="1"/>
      <c r="BO184" s="1"/>
      <c r="BP184" s="1"/>
      <c r="EC184" s="221"/>
      <c r="EK184"/>
    </row>
    <row r="185" spans="1:141" ht="16.5" customHeight="1" x14ac:dyDescent="0.3">
      <c r="A185" s="225"/>
      <c r="L185" t="s">
        <v>2099</v>
      </c>
      <c r="N185" s="138" t="s">
        <v>2100</v>
      </c>
      <c r="O185" s="110"/>
      <c r="BB185" s="3"/>
      <c r="BC185" s="1"/>
      <c r="BD185" s="112" t="s">
        <v>453</v>
      </c>
      <c r="BE185" s="113" t="s">
        <v>2101</v>
      </c>
      <c r="BF185" s="107">
        <v>1500</v>
      </c>
      <c r="BG185" s="107">
        <v>22500</v>
      </c>
      <c r="BH185" s="143">
        <v>44853</v>
      </c>
      <c r="BI185" s="107" t="s">
        <v>385</v>
      </c>
      <c r="BJ185" s="108" t="s">
        <v>502</v>
      </c>
      <c r="BK185" s="107" t="s">
        <v>456</v>
      </c>
      <c r="BL185" s="144">
        <v>1</v>
      </c>
      <c r="BM185" s="1"/>
      <c r="BN185" s="1"/>
      <c r="BO185" s="1"/>
      <c r="BP185" s="1"/>
      <c r="EC185" s="221"/>
      <c r="EK185"/>
    </row>
    <row r="186" spans="1:141" ht="16.5" customHeight="1" x14ac:dyDescent="0.3">
      <c r="A186" s="225"/>
      <c r="L186" t="s">
        <v>1177</v>
      </c>
      <c r="N186" s="138" t="s">
        <v>2102</v>
      </c>
      <c r="O186" s="110"/>
      <c r="BB186" s="3"/>
      <c r="BC186" s="1"/>
      <c r="BD186" s="112" t="s">
        <v>791</v>
      </c>
      <c r="BE186" s="113" t="s">
        <v>2103</v>
      </c>
      <c r="BF186" s="107">
        <v>1980</v>
      </c>
      <c r="BG186" s="107">
        <v>23760</v>
      </c>
      <c r="BH186" s="143">
        <v>44853</v>
      </c>
      <c r="BI186" s="107" t="s">
        <v>385</v>
      </c>
      <c r="BJ186" s="108" t="s">
        <v>962</v>
      </c>
      <c r="BK186" s="107" t="s">
        <v>456</v>
      </c>
      <c r="BL186" s="144">
        <v>1</v>
      </c>
      <c r="BM186" s="1"/>
      <c r="BN186" s="1"/>
      <c r="BO186" s="1"/>
      <c r="BP186" s="1"/>
      <c r="EC186" s="221"/>
      <c r="EK186"/>
    </row>
    <row r="187" spans="1:141" ht="16.5" customHeight="1" x14ac:dyDescent="0.3">
      <c r="A187" s="225"/>
      <c r="L187" t="s">
        <v>2104</v>
      </c>
      <c r="N187" s="138" t="s">
        <v>2105</v>
      </c>
      <c r="O187" s="110"/>
      <c r="BB187" s="3"/>
      <c r="BC187" s="1"/>
      <c r="BD187" s="112" t="s">
        <v>599</v>
      </c>
      <c r="BE187" s="113" t="s">
        <v>2106</v>
      </c>
      <c r="BF187" s="107">
        <v>1167</v>
      </c>
      <c r="BG187" s="107">
        <v>21006</v>
      </c>
      <c r="BH187" s="143">
        <v>44854</v>
      </c>
      <c r="BI187" s="107" t="s">
        <v>385</v>
      </c>
      <c r="BJ187" s="108" t="s">
        <v>502</v>
      </c>
      <c r="BK187" s="107" t="s">
        <v>2107</v>
      </c>
      <c r="BL187" s="144">
        <v>1</v>
      </c>
      <c r="BM187" s="1"/>
      <c r="BN187" s="1"/>
      <c r="BO187" s="1"/>
      <c r="BP187" s="1"/>
      <c r="EC187" s="221"/>
      <c r="EK187"/>
    </row>
    <row r="188" spans="1:141" ht="16.5" customHeight="1" x14ac:dyDescent="0.3">
      <c r="A188" s="225"/>
      <c r="L188" t="s">
        <v>2108</v>
      </c>
      <c r="BB188" s="3"/>
      <c r="BC188" s="1"/>
      <c r="BD188" s="112" t="s">
        <v>599</v>
      </c>
      <c r="BE188" s="113" t="s">
        <v>2106</v>
      </c>
      <c r="BF188" s="107">
        <v>1222</v>
      </c>
      <c r="BG188" s="107">
        <v>21996</v>
      </c>
      <c r="BH188" s="143">
        <v>44854</v>
      </c>
      <c r="BI188" s="107" t="s">
        <v>385</v>
      </c>
      <c r="BJ188" s="108" t="s">
        <v>502</v>
      </c>
      <c r="BK188" s="107" t="s">
        <v>2107</v>
      </c>
      <c r="BL188" s="144">
        <v>1</v>
      </c>
      <c r="BM188" s="1"/>
      <c r="BN188" s="1"/>
      <c r="BO188" s="1"/>
      <c r="BP188" s="1"/>
      <c r="EC188" s="221"/>
      <c r="EK188"/>
    </row>
    <row r="189" spans="1:141" ht="16.5" customHeight="1" x14ac:dyDescent="0.3">
      <c r="A189" s="225"/>
      <c r="L189" t="s">
        <v>2109</v>
      </c>
      <c r="BB189" s="3"/>
      <c r="BC189" s="1"/>
      <c r="BD189" s="112" t="s">
        <v>599</v>
      </c>
      <c r="BE189" s="113" t="s">
        <v>2106</v>
      </c>
      <c r="BF189" s="107">
        <v>1222</v>
      </c>
      <c r="BG189" s="107">
        <v>21996</v>
      </c>
      <c r="BH189" s="143">
        <v>44854</v>
      </c>
      <c r="BI189" s="107" t="s">
        <v>385</v>
      </c>
      <c r="BJ189" s="108" t="s">
        <v>502</v>
      </c>
      <c r="BK189" s="107" t="s">
        <v>2107</v>
      </c>
      <c r="BL189" s="144">
        <v>1</v>
      </c>
      <c r="BM189" s="1"/>
      <c r="BN189" s="1"/>
      <c r="BO189" s="1"/>
      <c r="BP189" s="1"/>
      <c r="EC189" s="221"/>
      <c r="EK189"/>
    </row>
    <row r="190" spans="1:141" ht="16.5" customHeight="1" x14ac:dyDescent="0.3">
      <c r="A190" s="225"/>
      <c r="L190" t="s">
        <v>2110</v>
      </c>
      <c r="BB190" s="3"/>
      <c r="BC190" s="1"/>
      <c r="BD190" s="112" t="s">
        <v>453</v>
      </c>
      <c r="BE190" s="113" t="s">
        <v>2111</v>
      </c>
      <c r="BF190" s="107">
        <v>1960</v>
      </c>
      <c r="BG190" s="107">
        <v>23520</v>
      </c>
      <c r="BH190" s="143">
        <v>44859</v>
      </c>
      <c r="BI190" s="107" t="s">
        <v>385</v>
      </c>
      <c r="BJ190" s="108" t="s">
        <v>718</v>
      </c>
      <c r="BK190" s="107" t="s">
        <v>456</v>
      </c>
      <c r="BL190" s="144">
        <v>1</v>
      </c>
      <c r="BM190" s="1"/>
      <c r="BN190" s="1"/>
      <c r="BO190" s="1"/>
      <c r="BP190" s="1"/>
      <c r="EC190" s="221"/>
      <c r="EK190"/>
    </row>
    <row r="191" spans="1:141" ht="16.5" customHeight="1" x14ac:dyDescent="0.3">
      <c r="A191" s="225"/>
      <c r="L191" t="s">
        <v>2112</v>
      </c>
      <c r="BB191" s="3"/>
      <c r="BC191" s="1"/>
      <c r="BD191" s="112" t="s">
        <v>632</v>
      </c>
      <c r="BE191" s="113" t="s">
        <v>2113</v>
      </c>
      <c r="BF191" s="107">
        <v>1980</v>
      </c>
      <c r="BG191" s="107">
        <v>23760</v>
      </c>
      <c r="BH191" s="143">
        <v>44860</v>
      </c>
      <c r="BI191" s="107" t="s">
        <v>385</v>
      </c>
      <c r="BJ191" s="108" t="s">
        <v>2098</v>
      </c>
      <c r="BK191" s="107" t="s">
        <v>456</v>
      </c>
      <c r="BL191" s="144">
        <v>1</v>
      </c>
      <c r="BM191" s="1"/>
      <c r="BN191" s="1"/>
      <c r="BO191" s="1"/>
      <c r="BP191" s="1"/>
      <c r="EC191" s="221"/>
      <c r="EK191"/>
    </row>
    <row r="192" spans="1:141" ht="16.5" customHeight="1" x14ac:dyDescent="0.3">
      <c r="A192" s="225"/>
      <c r="L192" t="s">
        <v>2114</v>
      </c>
      <c r="BB192" s="3"/>
      <c r="BC192" s="1"/>
      <c r="BD192" s="112" t="s">
        <v>632</v>
      </c>
      <c r="BE192" s="113" t="s">
        <v>2115</v>
      </c>
      <c r="BF192" s="107">
        <v>1566</v>
      </c>
      <c r="BG192" s="107">
        <v>23490</v>
      </c>
      <c r="BH192" s="143">
        <v>44862</v>
      </c>
      <c r="BI192" s="107" t="s">
        <v>385</v>
      </c>
      <c r="BJ192" s="108" t="s">
        <v>2116</v>
      </c>
      <c r="BK192" s="107" t="s">
        <v>456</v>
      </c>
      <c r="BL192" s="144">
        <v>1</v>
      </c>
      <c r="BM192" s="1"/>
      <c r="BN192" s="1"/>
      <c r="BO192" s="1"/>
      <c r="BP192" s="1"/>
      <c r="EC192" s="221"/>
      <c r="EK192"/>
    </row>
    <row r="193" spans="1:141" ht="16.5" customHeight="1" x14ac:dyDescent="0.3">
      <c r="A193" s="225"/>
      <c r="L193" t="s">
        <v>2117</v>
      </c>
      <c r="BB193" s="3"/>
      <c r="BC193" s="1"/>
      <c r="BD193" s="112" t="s">
        <v>383</v>
      </c>
      <c r="BE193" s="113" t="s">
        <v>2118</v>
      </c>
      <c r="BF193" s="107">
        <v>1700</v>
      </c>
      <c r="BG193" s="107">
        <v>23137</v>
      </c>
      <c r="BH193" s="143">
        <v>44862</v>
      </c>
      <c r="BI193" s="107" t="s">
        <v>385</v>
      </c>
      <c r="BJ193" s="108" t="s">
        <v>2054</v>
      </c>
      <c r="BK193" s="107" t="s">
        <v>387</v>
      </c>
      <c r="BL193" s="144">
        <v>1</v>
      </c>
      <c r="BM193" s="1"/>
      <c r="BN193" s="1"/>
      <c r="BO193" s="1"/>
      <c r="BP193" s="1"/>
      <c r="EC193" s="221"/>
      <c r="EK193"/>
    </row>
    <row r="194" spans="1:141" ht="16.5" customHeight="1" x14ac:dyDescent="0.3">
      <c r="A194" s="225"/>
      <c r="L194" t="s">
        <v>2119</v>
      </c>
      <c r="BB194" s="3"/>
      <c r="BC194" s="1"/>
      <c r="BD194" s="112" t="s">
        <v>383</v>
      </c>
      <c r="BE194" s="113" t="s">
        <v>2120</v>
      </c>
      <c r="BF194" s="107">
        <v>1700</v>
      </c>
      <c r="BG194" s="107">
        <v>23137</v>
      </c>
      <c r="BH194" s="143">
        <v>44862</v>
      </c>
      <c r="BI194" s="107" t="s">
        <v>385</v>
      </c>
      <c r="BJ194" s="108" t="s">
        <v>2054</v>
      </c>
      <c r="BK194" s="107" t="s">
        <v>387</v>
      </c>
      <c r="BL194" s="144">
        <v>1</v>
      </c>
      <c r="BM194" s="1"/>
      <c r="BN194" s="1"/>
      <c r="BO194" s="1"/>
      <c r="BP194" s="1"/>
      <c r="EC194" s="221"/>
      <c r="EK194"/>
    </row>
    <row r="195" spans="1:141" ht="16.5" customHeight="1" x14ac:dyDescent="0.3">
      <c r="A195" s="225"/>
      <c r="L195" t="s">
        <v>2121</v>
      </c>
      <c r="BB195" s="3"/>
      <c r="BC195" s="1"/>
      <c r="BD195" s="112" t="s">
        <v>453</v>
      </c>
      <c r="BE195" s="113" t="s">
        <v>2122</v>
      </c>
      <c r="BF195" s="107">
        <v>1815</v>
      </c>
      <c r="BG195" s="107">
        <v>21780</v>
      </c>
      <c r="BH195" s="143">
        <v>44862</v>
      </c>
      <c r="BI195" s="107" t="s">
        <v>385</v>
      </c>
      <c r="BJ195" s="108" t="s">
        <v>2123</v>
      </c>
      <c r="BK195" s="107" t="s">
        <v>456</v>
      </c>
      <c r="BL195" s="144">
        <v>1</v>
      </c>
      <c r="BM195" s="1"/>
      <c r="BN195" s="1"/>
      <c r="BO195" s="1"/>
      <c r="BP195" s="1"/>
      <c r="EC195" s="221"/>
      <c r="EK195"/>
    </row>
    <row r="196" spans="1:141" ht="16.5" customHeight="1" x14ac:dyDescent="0.3">
      <c r="A196" s="225"/>
      <c r="L196" t="s">
        <v>2124</v>
      </c>
      <c r="BB196" s="3"/>
      <c r="BC196" s="1"/>
      <c r="BD196" s="112" t="s">
        <v>453</v>
      </c>
      <c r="BE196" s="113" t="s">
        <v>2125</v>
      </c>
      <c r="BF196" s="107">
        <v>1815</v>
      </c>
      <c r="BG196" s="107">
        <v>21780</v>
      </c>
      <c r="BH196" s="143">
        <v>44862</v>
      </c>
      <c r="BI196" s="107" t="s">
        <v>385</v>
      </c>
      <c r="BJ196" s="108" t="s">
        <v>2058</v>
      </c>
      <c r="BK196" s="107" t="s">
        <v>456</v>
      </c>
      <c r="BL196" s="144">
        <v>1</v>
      </c>
      <c r="BM196" s="1"/>
      <c r="BN196" s="1"/>
      <c r="BO196" s="1"/>
      <c r="BP196" s="1"/>
      <c r="EC196" s="221"/>
      <c r="EK196"/>
    </row>
    <row r="197" spans="1:141" ht="16.5" customHeight="1" x14ac:dyDescent="0.3">
      <c r="A197" s="225"/>
      <c r="L197" t="s">
        <v>2126</v>
      </c>
      <c r="BB197" s="3"/>
      <c r="BC197" s="1"/>
      <c r="BD197" s="112" t="s">
        <v>453</v>
      </c>
      <c r="BE197" s="113" t="s">
        <v>2127</v>
      </c>
      <c r="BF197" s="107">
        <v>1500</v>
      </c>
      <c r="BG197" s="107">
        <v>22500</v>
      </c>
      <c r="BH197" s="143">
        <v>44865</v>
      </c>
      <c r="BI197" s="107" t="s">
        <v>385</v>
      </c>
      <c r="BJ197" s="108" t="s">
        <v>502</v>
      </c>
      <c r="BK197" s="107" t="s">
        <v>456</v>
      </c>
      <c r="BL197" s="144">
        <v>1</v>
      </c>
      <c r="BM197" s="1"/>
      <c r="BN197" s="1"/>
      <c r="BO197" s="1"/>
      <c r="BP197" s="1"/>
      <c r="EC197" s="221"/>
      <c r="EK197"/>
    </row>
    <row r="198" spans="1:141" ht="16.5" customHeight="1" x14ac:dyDescent="0.3">
      <c r="L198" t="s">
        <v>2128</v>
      </c>
      <c r="BB198" s="3"/>
      <c r="BC198" s="1"/>
      <c r="BD198" s="112" t="s">
        <v>689</v>
      </c>
      <c r="BE198" s="113" t="s">
        <v>2129</v>
      </c>
      <c r="BF198" s="107">
        <v>1925</v>
      </c>
      <c r="BG198" s="107">
        <v>23100</v>
      </c>
      <c r="BH198" s="143">
        <v>44866</v>
      </c>
      <c r="BI198" s="107" t="s">
        <v>385</v>
      </c>
      <c r="BJ198" s="108" t="s">
        <v>2062</v>
      </c>
      <c r="BK198" s="107" t="s">
        <v>692</v>
      </c>
      <c r="BL198" s="144">
        <v>1</v>
      </c>
      <c r="BM198" s="1"/>
      <c r="BN198" s="1"/>
      <c r="BO198" s="1"/>
      <c r="BP198" s="1"/>
      <c r="EC198" s="221"/>
      <c r="EK198"/>
    </row>
    <row r="199" spans="1:141" ht="16.5" customHeight="1" x14ac:dyDescent="0.3">
      <c r="L199" t="s">
        <v>2130</v>
      </c>
      <c r="BB199" s="3"/>
      <c r="BC199" s="1"/>
      <c r="BD199" s="112" t="s">
        <v>537</v>
      </c>
      <c r="BE199" s="113" t="s">
        <v>2131</v>
      </c>
      <c r="BF199" s="107">
        <v>1958</v>
      </c>
      <c r="BG199" s="107">
        <v>23496</v>
      </c>
      <c r="BH199" s="143">
        <v>44866</v>
      </c>
      <c r="BI199" s="107" t="s">
        <v>385</v>
      </c>
      <c r="BJ199" s="108" t="s">
        <v>1022</v>
      </c>
      <c r="BK199" s="107" t="s">
        <v>456</v>
      </c>
      <c r="BL199" s="144">
        <v>1</v>
      </c>
      <c r="BM199" s="1"/>
      <c r="BN199" s="1"/>
      <c r="BO199" s="1"/>
      <c r="BP199" s="1"/>
      <c r="EC199" s="221"/>
      <c r="EK199"/>
    </row>
    <row r="200" spans="1:141" ht="16.5" customHeight="1" x14ac:dyDescent="0.3">
      <c r="L200" t="s">
        <v>2132</v>
      </c>
      <c r="BB200" s="3"/>
      <c r="BC200" s="1"/>
      <c r="BD200" s="112" t="s">
        <v>537</v>
      </c>
      <c r="BE200" s="113" t="s">
        <v>2133</v>
      </c>
      <c r="BF200" s="107">
        <v>1958</v>
      </c>
      <c r="BG200" s="107">
        <v>23496</v>
      </c>
      <c r="BH200" s="143">
        <v>44866</v>
      </c>
      <c r="BI200" s="107" t="s">
        <v>385</v>
      </c>
      <c r="BJ200" s="108" t="s">
        <v>1022</v>
      </c>
      <c r="BK200" s="107" t="s">
        <v>456</v>
      </c>
      <c r="BL200" s="144">
        <v>1</v>
      </c>
      <c r="BM200" s="1"/>
      <c r="BN200" s="1"/>
      <c r="BO200" s="1"/>
      <c r="BP200" s="1"/>
      <c r="EC200" s="221"/>
      <c r="EK200"/>
    </row>
    <row r="201" spans="1:141" ht="16.5" customHeight="1" x14ac:dyDescent="0.3">
      <c r="L201" t="s">
        <v>2134</v>
      </c>
      <c r="BB201" s="3"/>
      <c r="BC201" s="1"/>
      <c r="BD201" s="112" t="s">
        <v>453</v>
      </c>
      <c r="BE201" s="113" t="s">
        <v>2135</v>
      </c>
      <c r="BF201" s="107">
        <v>1568</v>
      </c>
      <c r="BG201" s="107">
        <v>23520</v>
      </c>
      <c r="BH201" s="143">
        <v>44868</v>
      </c>
      <c r="BI201" s="107" t="s">
        <v>385</v>
      </c>
      <c r="BJ201" s="108" t="s">
        <v>455</v>
      </c>
      <c r="BK201" s="107" t="s">
        <v>456</v>
      </c>
      <c r="BL201" s="144">
        <v>1</v>
      </c>
      <c r="BM201" s="1"/>
      <c r="BN201" s="1"/>
      <c r="BO201" s="1"/>
      <c r="BP201" s="1"/>
      <c r="EC201" s="221"/>
      <c r="EK201"/>
    </row>
    <row r="202" spans="1:141" ht="16.5" customHeight="1" x14ac:dyDescent="0.3">
      <c r="BB202" s="3"/>
      <c r="BC202" s="1"/>
      <c r="BD202" s="112" t="s">
        <v>453</v>
      </c>
      <c r="BE202" s="113" t="s">
        <v>2136</v>
      </c>
      <c r="BF202" s="107">
        <v>1500</v>
      </c>
      <c r="BG202" s="107">
        <v>22500</v>
      </c>
      <c r="BH202" s="143">
        <v>44868</v>
      </c>
      <c r="BI202" s="107" t="s">
        <v>385</v>
      </c>
      <c r="BJ202" s="108" t="s">
        <v>502</v>
      </c>
      <c r="BK202" s="107" t="s">
        <v>456</v>
      </c>
      <c r="BL202" s="144">
        <v>1</v>
      </c>
      <c r="BM202" s="1"/>
      <c r="BN202" s="1"/>
      <c r="BO202" s="1"/>
      <c r="BP202" s="1"/>
      <c r="EC202" s="221"/>
      <c r="EK202"/>
    </row>
    <row r="203" spans="1:141" ht="16.5" customHeight="1" x14ac:dyDescent="0.3">
      <c r="BB203" s="3"/>
      <c r="BC203" s="1"/>
      <c r="BD203" s="112" t="s">
        <v>453</v>
      </c>
      <c r="BE203" s="113" t="s">
        <v>2137</v>
      </c>
      <c r="BF203" s="107">
        <v>1568</v>
      </c>
      <c r="BG203" s="107">
        <v>23520</v>
      </c>
      <c r="BH203" s="143">
        <v>44868</v>
      </c>
      <c r="BI203" s="107" t="s">
        <v>385</v>
      </c>
      <c r="BJ203" s="108" t="s">
        <v>634</v>
      </c>
      <c r="BK203" s="107" t="s">
        <v>456</v>
      </c>
      <c r="BL203" s="144">
        <v>1</v>
      </c>
      <c r="BM203" s="1"/>
      <c r="BN203" s="1"/>
      <c r="BO203" s="1"/>
      <c r="BP203" s="1"/>
      <c r="EC203" s="221"/>
      <c r="EK203"/>
    </row>
    <row r="204" spans="1:141" ht="16.5" customHeight="1" x14ac:dyDescent="0.3">
      <c r="BB204" s="3"/>
      <c r="BC204" s="1"/>
      <c r="BD204" s="112" t="s">
        <v>689</v>
      </c>
      <c r="BE204" s="113" t="s">
        <v>2138</v>
      </c>
      <c r="BF204" s="107">
        <v>1925</v>
      </c>
      <c r="BG204" s="107">
        <v>23100</v>
      </c>
      <c r="BH204" s="143">
        <v>44869</v>
      </c>
      <c r="BI204" s="107" t="s">
        <v>385</v>
      </c>
      <c r="BJ204" s="108" t="s">
        <v>2062</v>
      </c>
      <c r="BK204" s="107" t="s">
        <v>692</v>
      </c>
      <c r="BL204" s="144">
        <v>1</v>
      </c>
      <c r="BM204" s="1"/>
      <c r="BN204" s="1"/>
      <c r="BO204" s="1"/>
      <c r="BP204" s="1"/>
      <c r="EC204" s="221"/>
      <c r="EK204"/>
    </row>
    <row r="205" spans="1:141" ht="16.5" customHeight="1" x14ac:dyDescent="0.3">
      <c r="BB205" s="3"/>
      <c r="BC205" s="1"/>
      <c r="BD205" s="112" t="s">
        <v>500</v>
      </c>
      <c r="BE205" s="113" t="s">
        <v>2139</v>
      </c>
      <c r="BF205" s="107">
        <v>1925</v>
      </c>
      <c r="BG205" s="107">
        <v>23100</v>
      </c>
      <c r="BH205" s="143">
        <v>44869</v>
      </c>
      <c r="BI205" s="107" t="s">
        <v>385</v>
      </c>
      <c r="BJ205" s="108" t="s">
        <v>913</v>
      </c>
      <c r="BK205" s="107" t="s">
        <v>692</v>
      </c>
      <c r="BL205" s="144">
        <v>1</v>
      </c>
      <c r="BM205" s="1"/>
      <c r="BN205" s="1"/>
      <c r="BO205" s="1"/>
      <c r="BP205" s="1"/>
      <c r="EC205" s="221"/>
      <c r="EK205"/>
    </row>
    <row r="206" spans="1:141" ht="16.5" customHeight="1" x14ac:dyDescent="0.3">
      <c r="BB206" s="3"/>
      <c r="BC206" s="1"/>
      <c r="BD206" s="112" t="s">
        <v>537</v>
      </c>
      <c r="BE206" s="113" t="s">
        <v>2140</v>
      </c>
      <c r="BF206" s="107">
        <v>1958</v>
      </c>
      <c r="BG206" s="107">
        <v>23496</v>
      </c>
      <c r="BH206" s="143">
        <v>44874</v>
      </c>
      <c r="BI206" s="107" t="s">
        <v>385</v>
      </c>
      <c r="BJ206" s="108" t="s">
        <v>1022</v>
      </c>
      <c r="BK206" s="107" t="s">
        <v>456</v>
      </c>
      <c r="BL206" s="144">
        <v>1</v>
      </c>
      <c r="BM206" s="1"/>
      <c r="BN206" s="1"/>
      <c r="BO206" s="1"/>
      <c r="BP206" s="1"/>
      <c r="EC206" s="221"/>
      <c r="EK206"/>
    </row>
    <row r="207" spans="1:141" ht="16.5" customHeight="1" x14ac:dyDescent="0.3">
      <c r="BB207" s="3"/>
      <c r="BC207" s="1"/>
      <c r="BD207" s="112" t="s">
        <v>537</v>
      </c>
      <c r="BE207" s="113" t="s">
        <v>2141</v>
      </c>
      <c r="BF207" s="107">
        <v>1958</v>
      </c>
      <c r="BG207" s="107">
        <v>23496</v>
      </c>
      <c r="BH207" s="143">
        <v>44874</v>
      </c>
      <c r="BI207" s="107" t="s">
        <v>385</v>
      </c>
      <c r="BJ207" s="108" t="s">
        <v>1022</v>
      </c>
      <c r="BK207" s="107" t="s">
        <v>456</v>
      </c>
      <c r="BL207" s="144">
        <v>1</v>
      </c>
      <c r="BM207" s="1"/>
      <c r="BN207" s="1"/>
      <c r="BO207" s="1"/>
      <c r="BP207" s="1"/>
      <c r="EC207" s="221"/>
      <c r="EK207"/>
    </row>
    <row r="208" spans="1:141" ht="16.5" customHeight="1" x14ac:dyDescent="0.3">
      <c r="BB208" s="3"/>
      <c r="BC208" s="1"/>
      <c r="BD208" s="112" t="s">
        <v>537</v>
      </c>
      <c r="BE208" s="113" t="s">
        <v>2142</v>
      </c>
      <c r="BF208" s="107">
        <v>1958</v>
      </c>
      <c r="BG208" s="107">
        <v>23496</v>
      </c>
      <c r="BH208" s="143">
        <v>44874</v>
      </c>
      <c r="BI208" s="107" t="s">
        <v>385</v>
      </c>
      <c r="BJ208" s="108" t="s">
        <v>1022</v>
      </c>
      <c r="BK208" s="107" t="s">
        <v>456</v>
      </c>
      <c r="BL208" s="144">
        <v>1</v>
      </c>
      <c r="BM208" s="1"/>
      <c r="BN208" s="1"/>
      <c r="BO208" s="1"/>
      <c r="BP208" s="1"/>
      <c r="EC208" s="221"/>
      <c r="EK208"/>
    </row>
    <row r="209" spans="54:141" ht="16.5" customHeight="1" x14ac:dyDescent="0.3">
      <c r="BB209" s="3"/>
      <c r="BC209" s="1"/>
      <c r="BD209" s="112" t="s">
        <v>632</v>
      </c>
      <c r="BE209" s="113" t="s">
        <v>2143</v>
      </c>
      <c r="BF209" s="107">
        <v>1893</v>
      </c>
      <c r="BG209" s="107">
        <v>22716</v>
      </c>
      <c r="BH209" s="143">
        <v>44875</v>
      </c>
      <c r="BI209" s="107" t="s">
        <v>385</v>
      </c>
      <c r="BJ209" s="108" t="s">
        <v>2098</v>
      </c>
      <c r="BK209" s="107" t="s">
        <v>456</v>
      </c>
      <c r="BL209" s="144">
        <v>1</v>
      </c>
      <c r="BM209" s="1"/>
      <c r="BN209" s="1"/>
      <c r="BO209" s="1"/>
      <c r="BP209" s="1"/>
      <c r="EC209" s="221"/>
      <c r="EK209"/>
    </row>
    <row r="210" spans="54:141" ht="16.5" customHeight="1" x14ac:dyDescent="0.3">
      <c r="BB210" s="3"/>
      <c r="BC210" s="1"/>
      <c r="BD210" s="112" t="s">
        <v>453</v>
      </c>
      <c r="BE210" s="113" t="s">
        <v>2144</v>
      </c>
      <c r="BF210" s="107">
        <v>1500</v>
      </c>
      <c r="BG210" s="107">
        <v>22500</v>
      </c>
      <c r="BH210" s="143">
        <v>44875</v>
      </c>
      <c r="BI210" s="107" t="s">
        <v>385</v>
      </c>
      <c r="BJ210" s="108" t="s">
        <v>502</v>
      </c>
      <c r="BK210" s="107" t="s">
        <v>456</v>
      </c>
      <c r="BL210" s="144">
        <v>1</v>
      </c>
      <c r="BM210" s="1"/>
      <c r="BN210" s="1"/>
      <c r="BO210" s="1"/>
      <c r="BP210" s="1"/>
      <c r="EC210" s="221"/>
      <c r="EK210"/>
    </row>
    <row r="211" spans="54:141" ht="16.5" customHeight="1" x14ac:dyDescent="0.3">
      <c r="BB211" s="3"/>
      <c r="BC211" s="1"/>
      <c r="BD211" s="112" t="s">
        <v>500</v>
      </c>
      <c r="BE211" s="113" t="s">
        <v>2145</v>
      </c>
      <c r="BF211" s="107">
        <v>2000</v>
      </c>
      <c r="BG211" s="107">
        <v>24000</v>
      </c>
      <c r="BH211" s="143">
        <v>44879</v>
      </c>
      <c r="BI211" s="107" t="s">
        <v>385</v>
      </c>
      <c r="BJ211" s="108" t="s">
        <v>2146</v>
      </c>
      <c r="BK211" s="107" t="s">
        <v>692</v>
      </c>
      <c r="BL211" s="144">
        <v>1</v>
      </c>
      <c r="BM211" s="1"/>
      <c r="BN211" s="1"/>
      <c r="BO211" s="1"/>
      <c r="BP211" s="1"/>
      <c r="EC211" s="221"/>
      <c r="EK211"/>
    </row>
    <row r="212" spans="54:141" ht="16.5" customHeight="1" x14ac:dyDescent="0.3">
      <c r="BB212" s="3"/>
      <c r="BC212" s="1"/>
      <c r="BD212" s="112" t="s">
        <v>453</v>
      </c>
      <c r="BE212" s="113" t="s">
        <v>2147</v>
      </c>
      <c r="BF212" s="107">
        <v>1568</v>
      </c>
      <c r="BG212" s="107">
        <v>23520</v>
      </c>
      <c r="BH212" s="143">
        <v>44880</v>
      </c>
      <c r="BI212" s="107" t="s">
        <v>385</v>
      </c>
      <c r="BJ212" s="108" t="s">
        <v>634</v>
      </c>
      <c r="BK212" s="107" t="s">
        <v>456</v>
      </c>
      <c r="BL212" s="144">
        <v>1</v>
      </c>
      <c r="BM212" s="1"/>
      <c r="BN212" s="1"/>
      <c r="BO212" s="1"/>
      <c r="BP212" s="1"/>
      <c r="EC212" s="221"/>
      <c r="EK212"/>
    </row>
    <row r="213" spans="54:141" ht="16.5" customHeight="1" x14ac:dyDescent="0.3">
      <c r="BB213" s="3"/>
      <c r="BC213" s="1"/>
      <c r="BD213" s="112" t="s">
        <v>537</v>
      </c>
      <c r="BE213" s="113" t="s">
        <v>2148</v>
      </c>
      <c r="BF213" s="107">
        <v>1958</v>
      </c>
      <c r="BG213" s="107">
        <v>23496</v>
      </c>
      <c r="BH213" s="143">
        <v>44880</v>
      </c>
      <c r="BI213" s="107" t="s">
        <v>385</v>
      </c>
      <c r="BJ213" s="108" t="s">
        <v>1022</v>
      </c>
      <c r="BK213" s="107" t="s">
        <v>456</v>
      </c>
      <c r="BL213" s="144">
        <v>1</v>
      </c>
      <c r="BM213" s="1"/>
      <c r="BN213" s="1"/>
      <c r="BO213" s="1"/>
      <c r="BP213" s="1"/>
      <c r="EC213" s="221"/>
      <c r="EK213"/>
    </row>
    <row r="214" spans="54:141" ht="16.5" customHeight="1" x14ac:dyDescent="0.3">
      <c r="BB214" s="3"/>
      <c r="BC214" s="1"/>
      <c r="BD214" s="112" t="s">
        <v>453</v>
      </c>
      <c r="BE214" s="113" t="s">
        <v>2149</v>
      </c>
      <c r="BF214" s="107">
        <v>1500</v>
      </c>
      <c r="BG214" s="107">
        <v>22500</v>
      </c>
      <c r="BH214" s="143">
        <v>44880</v>
      </c>
      <c r="BI214" s="107" t="s">
        <v>385</v>
      </c>
      <c r="BJ214" s="108" t="s">
        <v>502</v>
      </c>
      <c r="BK214" s="107" t="s">
        <v>456</v>
      </c>
      <c r="BL214" s="144">
        <v>1</v>
      </c>
      <c r="BM214" s="1"/>
      <c r="BN214" s="1"/>
      <c r="BO214" s="1"/>
      <c r="BP214" s="1"/>
      <c r="EC214" s="221"/>
      <c r="EK214"/>
    </row>
    <row r="215" spans="54:141" ht="16.5" customHeight="1" x14ac:dyDescent="0.3">
      <c r="BB215" s="3"/>
      <c r="BC215" s="1"/>
      <c r="BD215" s="112" t="s">
        <v>1398</v>
      </c>
      <c r="BE215" s="113" t="s">
        <v>2150</v>
      </c>
      <c r="BF215" s="107">
        <v>1958</v>
      </c>
      <c r="BG215" s="107">
        <v>23496</v>
      </c>
      <c r="BH215" s="143">
        <v>44882</v>
      </c>
      <c r="BI215" s="107" t="s">
        <v>385</v>
      </c>
      <c r="BJ215" s="108" t="s">
        <v>743</v>
      </c>
      <c r="BK215" s="107" t="s">
        <v>456</v>
      </c>
      <c r="BL215" s="144">
        <v>1</v>
      </c>
      <c r="BM215" s="1"/>
      <c r="BN215" s="1"/>
      <c r="BO215" s="1"/>
      <c r="BP215" s="1"/>
      <c r="EC215" s="221"/>
      <c r="EK215"/>
    </row>
    <row r="216" spans="54:141" ht="16.5" customHeight="1" x14ac:dyDescent="0.3">
      <c r="BB216" s="3"/>
      <c r="BC216" s="1"/>
      <c r="BD216" s="112" t="s">
        <v>791</v>
      </c>
      <c r="BE216" s="113" t="s">
        <v>2151</v>
      </c>
      <c r="BF216" s="107">
        <v>1980</v>
      </c>
      <c r="BG216" s="107">
        <v>23760</v>
      </c>
      <c r="BH216" s="143">
        <v>44882</v>
      </c>
      <c r="BI216" s="107" t="s">
        <v>385</v>
      </c>
      <c r="BJ216" s="108" t="s">
        <v>2098</v>
      </c>
      <c r="BK216" s="107" t="s">
        <v>456</v>
      </c>
      <c r="BL216" s="144">
        <v>1</v>
      </c>
      <c r="BM216" s="1"/>
      <c r="BN216" s="1"/>
      <c r="BO216" s="1"/>
      <c r="BP216" s="1"/>
      <c r="EC216" s="221"/>
      <c r="EK216"/>
    </row>
    <row r="217" spans="54:141" ht="16.5" customHeight="1" x14ac:dyDescent="0.3">
      <c r="BB217" s="3"/>
      <c r="BC217" s="1"/>
      <c r="BD217" s="112" t="s">
        <v>791</v>
      </c>
      <c r="BE217" s="113" t="s">
        <v>2152</v>
      </c>
      <c r="BF217" s="107">
        <v>1980</v>
      </c>
      <c r="BG217" s="107">
        <v>23760</v>
      </c>
      <c r="BH217" s="143">
        <v>44882</v>
      </c>
      <c r="BI217" s="107" t="s">
        <v>385</v>
      </c>
      <c r="BJ217" s="108" t="s">
        <v>2098</v>
      </c>
      <c r="BK217" s="107" t="s">
        <v>456</v>
      </c>
      <c r="BL217" s="144">
        <v>1</v>
      </c>
      <c r="BM217" s="1"/>
      <c r="BN217" s="1"/>
      <c r="BO217" s="1"/>
      <c r="BP217" s="1"/>
      <c r="EC217" s="221"/>
      <c r="EK217"/>
    </row>
    <row r="218" spans="54:141" ht="16.5" customHeight="1" x14ac:dyDescent="0.3">
      <c r="BB218" s="3"/>
      <c r="BC218" s="1"/>
      <c r="BD218" s="112" t="s">
        <v>453</v>
      </c>
      <c r="BE218" s="113" t="s">
        <v>2153</v>
      </c>
      <c r="BF218" s="107">
        <v>1960</v>
      </c>
      <c r="BG218" s="107">
        <v>23520</v>
      </c>
      <c r="BH218" s="143">
        <v>44882</v>
      </c>
      <c r="BI218" s="107" t="s">
        <v>385</v>
      </c>
      <c r="BJ218" s="108" t="s">
        <v>718</v>
      </c>
      <c r="BK218" s="107" t="s">
        <v>456</v>
      </c>
      <c r="BL218" s="144">
        <v>1</v>
      </c>
      <c r="BM218" s="1"/>
      <c r="BN218" s="1"/>
      <c r="BO218" s="1"/>
      <c r="BP218" s="1"/>
      <c r="EC218" s="221"/>
      <c r="EK218"/>
    </row>
    <row r="219" spans="54:141" ht="16.5" customHeight="1" x14ac:dyDescent="0.3">
      <c r="BB219" s="3"/>
      <c r="BC219" s="1"/>
      <c r="BD219" s="112" t="s">
        <v>537</v>
      </c>
      <c r="BE219" s="113" t="s">
        <v>2154</v>
      </c>
      <c r="BF219" s="107">
        <v>1958</v>
      </c>
      <c r="BG219" s="107">
        <v>23496</v>
      </c>
      <c r="BH219" s="143">
        <v>44883</v>
      </c>
      <c r="BI219" s="107" t="s">
        <v>385</v>
      </c>
      <c r="BJ219" s="108" t="s">
        <v>1022</v>
      </c>
      <c r="BK219" s="107" t="s">
        <v>456</v>
      </c>
      <c r="BL219" s="144">
        <v>1</v>
      </c>
      <c r="BM219" s="1"/>
      <c r="BN219" s="1"/>
      <c r="BO219" s="1"/>
      <c r="BP219" s="1"/>
      <c r="EC219" s="221"/>
      <c r="EK219" s="221"/>
    </row>
    <row r="220" spans="54:141" ht="16.5" customHeight="1" x14ac:dyDescent="0.3">
      <c r="BB220" s="3"/>
      <c r="BC220" s="1"/>
      <c r="BD220" s="112" t="s">
        <v>537</v>
      </c>
      <c r="BE220" s="113" t="s">
        <v>2155</v>
      </c>
      <c r="BF220" s="107">
        <v>1958</v>
      </c>
      <c r="BG220" s="107">
        <v>23496</v>
      </c>
      <c r="BH220" s="143">
        <v>44888</v>
      </c>
      <c r="BI220" s="107" t="s">
        <v>385</v>
      </c>
      <c r="BJ220" s="108" t="s">
        <v>1022</v>
      </c>
      <c r="BK220" s="107" t="s">
        <v>456</v>
      </c>
      <c r="BL220" s="144">
        <v>1</v>
      </c>
      <c r="BM220" s="1"/>
      <c r="BN220" s="1"/>
      <c r="BO220" s="1"/>
      <c r="BP220" s="1"/>
      <c r="EC220" s="221"/>
      <c r="EK220" s="222"/>
    </row>
    <row r="221" spans="54:141" ht="16.5" customHeight="1" x14ac:dyDescent="0.3">
      <c r="BB221" s="3"/>
      <c r="BC221" s="1"/>
      <c r="BD221" s="112" t="s">
        <v>791</v>
      </c>
      <c r="BE221" s="113" t="s">
        <v>2156</v>
      </c>
      <c r="BF221" s="107">
        <v>1960</v>
      </c>
      <c r="BG221" s="107">
        <v>23520</v>
      </c>
      <c r="BH221" s="143">
        <v>44895</v>
      </c>
      <c r="BI221" s="107" t="s">
        <v>385</v>
      </c>
      <c r="BJ221" s="108" t="s">
        <v>718</v>
      </c>
      <c r="BK221" s="107" t="s">
        <v>456</v>
      </c>
      <c r="BL221" s="144">
        <v>1</v>
      </c>
      <c r="BM221" s="1"/>
      <c r="BN221" s="1"/>
      <c r="BO221" s="1"/>
      <c r="BP221" s="1"/>
      <c r="EC221" s="221"/>
      <c r="EK221" s="222"/>
    </row>
    <row r="222" spans="54:141" ht="16.5" customHeight="1" x14ac:dyDescent="0.3">
      <c r="BB222" s="3"/>
      <c r="BC222" s="1"/>
      <c r="BD222" s="112" t="s">
        <v>537</v>
      </c>
      <c r="BE222" s="113" t="s">
        <v>2157</v>
      </c>
      <c r="BF222" s="107">
        <v>1958</v>
      </c>
      <c r="BG222" s="107">
        <v>23496</v>
      </c>
      <c r="BH222" s="143">
        <v>44896</v>
      </c>
      <c r="BI222" s="107" t="s">
        <v>385</v>
      </c>
      <c r="BJ222" s="108" t="s">
        <v>1022</v>
      </c>
      <c r="BK222" s="107" t="s">
        <v>456</v>
      </c>
      <c r="BL222" s="144">
        <v>1</v>
      </c>
      <c r="BM222" s="1"/>
      <c r="BN222" s="1"/>
      <c r="BO222" s="1"/>
      <c r="BP222" s="1"/>
      <c r="EC222" s="221"/>
      <c r="EK222"/>
    </row>
    <row r="223" spans="54:141" ht="16.5" customHeight="1" x14ac:dyDescent="0.3">
      <c r="BB223" s="3"/>
      <c r="BC223" s="1"/>
      <c r="BD223" s="112" t="s">
        <v>1546</v>
      </c>
      <c r="BE223" s="113" t="s">
        <v>2158</v>
      </c>
      <c r="BF223" s="107">
        <v>1957</v>
      </c>
      <c r="BG223" s="107">
        <v>23484</v>
      </c>
      <c r="BH223" s="143">
        <v>44901</v>
      </c>
      <c r="BI223" s="107" t="s">
        <v>385</v>
      </c>
      <c r="BJ223" s="108" t="s">
        <v>743</v>
      </c>
      <c r="BK223" s="107" t="s">
        <v>456</v>
      </c>
      <c r="BL223" s="144">
        <v>1</v>
      </c>
      <c r="BM223" s="1"/>
      <c r="BN223" s="1"/>
      <c r="BO223" s="1"/>
      <c r="BP223" s="1"/>
      <c r="EC223" s="221"/>
      <c r="EK223"/>
    </row>
    <row r="224" spans="54:141" ht="16.5" customHeight="1" x14ac:dyDescent="0.3">
      <c r="BB224" s="3"/>
      <c r="BC224" s="1"/>
      <c r="BD224" s="112" t="s">
        <v>632</v>
      </c>
      <c r="BE224" s="113" t="s">
        <v>2159</v>
      </c>
      <c r="BF224" s="107">
        <v>1893</v>
      </c>
      <c r="BG224" s="107">
        <v>22716</v>
      </c>
      <c r="BH224" s="143">
        <v>44902</v>
      </c>
      <c r="BI224" s="107" t="s">
        <v>385</v>
      </c>
      <c r="BJ224" s="108" t="s">
        <v>2098</v>
      </c>
      <c r="BK224" s="107" t="s">
        <v>456</v>
      </c>
      <c r="BL224" s="144">
        <v>1</v>
      </c>
      <c r="BM224" s="1"/>
      <c r="BN224" s="1"/>
      <c r="BO224" s="1"/>
      <c r="BP224" s="1"/>
      <c r="EC224" s="221"/>
      <c r="EK224"/>
    </row>
    <row r="225" spans="54:141" ht="16.5" customHeight="1" x14ac:dyDescent="0.3">
      <c r="BB225" s="3"/>
      <c r="BC225" s="1"/>
      <c r="BD225" s="112" t="s">
        <v>791</v>
      </c>
      <c r="BE225" s="113" t="s">
        <v>2160</v>
      </c>
      <c r="BF225" s="107">
        <v>1980</v>
      </c>
      <c r="BG225" s="107">
        <v>23760</v>
      </c>
      <c r="BH225" s="143">
        <v>44902</v>
      </c>
      <c r="BI225" s="107" t="s">
        <v>385</v>
      </c>
      <c r="BJ225" s="108" t="s">
        <v>2161</v>
      </c>
      <c r="BK225" s="107" t="s">
        <v>456</v>
      </c>
      <c r="BL225" s="144">
        <v>1</v>
      </c>
      <c r="BM225" s="1"/>
      <c r="BN225" s="1"/>
      <c r="BO225" s="1"/>
      <c r="BP225" s="1"/>
      <c r="EC225" s="221"/>
      <c r="EK225"/>
    </row>
    <row r="226" spans="54:141" ht="16.5" customHeight="1" x14ac:dyDescent="0.3">
      <c r="BB226" s="3"/>
      <c r="BC226" s="1"/>
      <c r="BD226" s="112" t="s">
        <v>791</v>
      </c>
      <c r="BE226" s="113" t="s">
        <v>2162</v>
      </c>
      <c r="BF226" s="107">
        <v>1980</v>
      </c>
      <c r="BG226" s="107">
        <v>23760</v>
      </c>
      <c r="BH226" s="143">
        <v>44902</v>
      </c>
      <c r="BI226" s="107" t="s">
        <v>385</v>
      </c>
      <c r="BJ226" s="108" t="s">
        <v>962</v>
      </c>
      <c r="BK226" s="107" t="s">
        <v>456</v>
      </c>
      <c r="BL226" s="144">
        <v>1</v>
      </c>
      <c r="BM226" s="1"/>
      <c r="BN226" s="1"/>
      <c r="BO226" s="1"/>
      <c r="BP226" s="1"/>
      <c r="EC226"/>
      <c r="EK226"/>
    </row>
    <row r="227" spans="54:141" ht="16.5" customHeight="1" x14ac:dyDescent="0.3">
      <c r="BB227" s="3"/>
      <c r="BC227" s="1"/>
      <c r="BD227" s="112" t="s">
        <v>632</v>
      </c>
      <c r="BE227" s="113" t="s">
        <v>2163</v>
      </c>
      <c r="BF227" s="107">
        <v>1957</v>
      </c>
      <c r="BG227" s="107">
        <v>23484</v>
      </c>
      <c r="BH227" s="143">
        <v>44903</v>
      </c>
      <c r="BI227" s="107" t="s">
        <v>385</v>
      </c>
      <c r="BJ227" s="108" t="s">
        <v>743</v>
      </c>
      <c r="BK227" s="107" t="s">
        <v>456</v>
      </c>
      <c r="BL227" s="144">
        <v>1</v>
      </c>
      <c r="BM227" s="1"/>
      <c r="BN227" s="1"/>
      <c r="BO227" s="1"/>
      <c r="BP227" s="1"/>
      <c r="EC227"/>
      <c r="EK227"/>
    </row>
    <row r="228" spans="54:141" ht="16.5" customHeight="1" x14ac:dyDescent="0.3">
      <c r="BB228" s="3"/>
      <c r="BC228" s="1"/>
      <c r="BD228" s="112" t="s">
        <v>1546</v>
      </c>
      <c r="BE228" s="113" t="s">
        <v>2164</v>
      </c>
      <c r="BF228" s="107">
        <v>1958</v>
      </c>
      <c r="BG228" s="107">
        <v>23496</v>
      </c>
      <c r="BH228" s="143">
        <v>44903</v>
      </c>
      <c r="BI228" s="107" t="s">
        <v>385</v>
      </c>
      <c r="BJ228" s="108" t="s">
        <v>743</v>
      </c>
      <c r="BK228" s="107" t="s">
        <v>456</v>
      </c>
      <c r="BL228" s="144">
        <v>1</v>
      </c>
      <c r="BM228" s="1"/>
      <c r="BN228" s="1"/>
      <c r="BO228" s="1"/>
      <c r="BP228" s="1"/>
      <c r="EC228"/>
      <c r="EK228"/>
    </row>
    <row r="229" spans="54:141" ht="16.5" customHeight="1" x14ac:dyDescent="0.3">
      <c r="BB229" s="3"/>
      <c r="BC229" s="1"/>
      <c r="BD229" s="112" t="s">
        <v>537</v>
      </c>
      <c r="BE229" s="113" t="s">
        <v>2165</v>
      </c>
      <c r="BF229" s="107">
        <v>1958</v>
      </c>
      <c r="BG229" s="107">
        <v>23496</v>
      </c>
      <c r="BH229" s="143">
        <v>44904</v>
      </c>
      <c r="BI229" s="107" t="s">
        <v>385</v>
      </c>
      <c r="BJ229" s="108" t="s">
        <v>1022</v>
      </c>
      <c r="BK229" s="107" t="s">
        <v>456</v>
      </c>
      <c r="BL229" s="144">
        <v>1</v>
      </c>
      <c r="BM229" s="1"/>
      <c r="BN229" s="1"/>
      <c r="BO229" s="1"/>
      <c r="BP229" s="1"/>
      <c r="EC229"/>
      <c r="EK229" s="221"/>
    </row>
    <row r="230" spans="54:141" ht="16.5" customHeight="1" x14ac:dyDescent="0.3">
      <c r="BB230" s="3"/>
      <c r="BC230" s="1"/>
      <c r="BD230" s="112" t="s">
        <v>2166</v>
      </c>
      <c r="BE230" s="113" t="s">
        <v>2167</v>
      </c>
      <c r="BF230" s="107">
        <v>1930</v>
      </c>
      <c r="BG230" s="107">
        <v>23160</v>
      </c>
      <c r="BH230" s="143">
        <v>44907</v>
      </c>
      <c r="BI230" s="107" t="s">
        <v>385</v>
      </c>
      <c r="BJ230" s="108" t="s">
        <v>2168</v>
      </c>
      <c r="BK230" s="107" t="s">
        <v>456</v>
      </c>
      <c r="BL230" s="144">
        <v>1</v>
      </c>
      <c r="BM230" s="1"/>
      <c r="BN230" s="1"/>
      <c r="BO230" s="1"/>
      <c r="BP230" s="1"/>
      <c r="EC230"/>
      <c r="EK230" s="221"/>
    </row>
    <row r="231" spans="54:141" ht="16.5" customHeight="1" x14ac:dyDescent="0.3">
      <c r="BB231" s="3"/>
      <c r="BC231" s="1"/>
      <c r="BD231" s="112" t="s">
        <v>1546</v>
      </c>
      <c r="BE231" s="113" t="s">
        <v>2169</v>
      </c>
      <c r="BF231" s="107">
        <v>1958</v>
      </c>
      <c r="BG231" s="107">
        <v>23496</v>
      </c>
      <c r="BH231" s="143">
        <v>44907</v>
      </c>
      <c r="BI231" s="107" t="s">
        <v>385</v>
      </c>
      <c r="BJ231" s="108" t="s">
        <v>743</v>
      </c>
      <c r="BK231" s="107" t="s">
        <v>456</v>
      </c>
      <c r="BL231" s="144">
        <v>1</v>
      </c>
      <c r="BM231" s="1"/>
      <c r="BN231" s="1"/>
      <c r="BO231" s="1"/>
      <c r="BP231" s="1"/>
      <c r="EC231"/>
      <c r="EK231" s="221"/>
    </row>
    <row r="232" spans="54:141" ht="16.5" customHeight="1" x14ac:dyDescent="0.3">
      <c r="BB232" s="3"/>
      <c r="BC232" s="1"/>
      <c r="BD232" s="112" t="s">
        <v>1546</v>
      </c>
      <c r="BE232" s="113" t="s">
        <v>2170</v>
      </c>
      <c r="BF232" s="107">
        <v>1958</v>
      </c>
      <c r="BG232" s="107">
        <v>23496</v>
      </c>
      <c r="BH232" s="143">
        <v>44907</v>
      </c>
      <c r="BI232" s="107" t="s">
        <v>385</v>
      </c>
      <c r="BJ232" s="108" t="s">
        <v>743</v>
      </c>
      <c r="BK232" s="107" t="s">
        <v>456</v>
      </c>
      <c r="BL232" s="144">
        <v>1</v>
      </c>
      <c r="BM232" s="1"/>
      <c r="BN232" s="1"/>
      <c r="BO232" s="1"/>
      <c r="BP232" s="1"/>
      <c r="EC232"/>
      <c r="EK232" s="221"/>
    </row>
    <row r="233" spans="54:141" ht="16.5" customHeight="1" x14ac:dyDescent="0.3">
      <c r="BB233" s="3"/>
      <c r="BC233" s="1"/>
      <c r="BD233" s="112" t="s">
        <v>1546</v>
      </c>
      <c r="BE233" s="113" t="s">
        <v>2171</v>
      </c>
      <c r="BF233" s="107">
        <v>1958</v>
      </c>
      <c r="BG233" s="107">
        <v>23496</v>
      </c>
      <c r="BH233" s="143">
        <v>44907</v>
      </c>
      <c r="BI233" s="107" t="s">
        <v>385</v>
      </c>
      <c r="BJ233" s="108" t="s">
        <v>743</v>
      </c>
      <c r="BK233" s="107" t="s">
        <v>456</v>
      </c>
      <c r="BL233" s="144">
        <v>1</v>
      </c>
      <c r="BM233" s="1"/>
      <c r="BN233" s="1"/>
      <c r="BO233" s="1"/>
      <c r="BP233" s="1"/>
      <c r="EC233"/>
      <c r="EK233" s="221"/>
    </row>
    <row r="234" spans="54:141" ht="16.5" customHeight="1" x14ac:dyDescent="0.3">
      <c r="BB234" s="3"/>
      <c r="BC234" s="1"/>
      <c r="BD234" s="112" t="s">
        <v>1546</v>
      </c>
      <c r="BE234" s="113" t="s">
        <v>2172</v>
      </c>
      <c r="BF234" s="107">
        <v>1958</v>
      </c>
      <c r="BG234" s="107">
        <v>23496</v>
      </c>
      <c r="BH234" s="143">
        <v>44907</v>
      </c>
      <c r="BI234" s="107" t="s">
        <v>385</v>
      </c>
      <c r="BJ234" s="108" t="s">
        <v>743</v>
      </c>
      <c r="BK234" s="107" t="s">
        <v>456</v>
      </c>
      <c r="BL234" s="144">
        <v>1</v>
      </c>
      <c r="BM234" s="1"/>
      <c r="BN234" s="1"/>
      <c r="BO234" s="1"/>
      <c r="BP234" s="1"/>
      <c r="EC234"/>
      <c r="EK234" s="221"/>
    </row>
    <row r="235" spans="54:141" ht="16.5" customHeight="1" x14ac:dyDescent="0.3">
      <c r="BB235" s="3"/>
      <c r="BC235" s="1"/>
      <c r="BD235" s="112" t="s">
        <v>1546</v>
      </c>
      <c r="BE235" s="113" t="s">
        <v>2173</v>
      </c>
      <c r="BF235" s="107">
        <v>1958</v>
      </c>
      <c r="BG235" s="107">
        <v>23496</v>
      </c>
      <c r="BH235" s="143">
        <v>44907</v>
      </c>
      <c r="BI235" s="107" t="s">
        <v>385</v>
      </c>
      <c r="BJ235" s="108" t="s">
        <v>743</v>
      </c>
      <c r="BK235" s="107" t="s">
        <v>456</v>
      </c>
      <c r="BL235" s="144">
        <v>1</v>
      </c>
      <c r="BM235" s="1"/>
      <c r="BN235" s="1"/>
      <c r="BO235" s="1"/>
      <c r="BP235" s="1"/>
      <c r="EC235" s="221"/>
      <c r="EK235" s="221"/>
    </row>
    <row r="236" spans="54:141" ht="16.5" customHeight="1" x14ac:dyDescent="0.3">
      <c r="BB236" s="3"/>
      <c r="BC236" s="1"/>
      <c r="BD236" s="112" t="s">
        <v>632</v>
      </c>
      <c r="BE236" s="113" t="s">
        <v>2174</v>
      </c>
      <c r="BF236" s="107">
        <v>1980</v>
      </c>
      <c r="BG236" s="107">
        <v>23760</v>
      </c>
      <c r="BH236" s="143">
        <v>44909</v>
      </c>
      <c r="BI236" s="107" t="s">
        <v>385</v>
      </c>
      <c r="BJ236" s="108" t="s">
        <v>2175</v>
      </c>
      <c r="BK236" s="107" t="s">
        <v>456</v>
      </c>
      <c r="BL236" s="144">
        <v>1</v>
      </c>
      <c r="BM236" s="1"/>
      <c r="BN236" s="1"/>
      <c r="BO236" s="1"/>
      <c r="BP236" s="1"/>
      <c r="EC236" s="221"/>
      <c r="EK236" s="221"/>
    </row>
    <row r="237" spans="54:141" ht="16.5" customHeight="1" x14ac:dyDescent="0.3">
      <c r="BB237" s="3"/>
      <c r="BC237" s="1"/>
      <c r="BD237" s="112" t="s">
        <v>791</v>
      </c>
      <c r="BE237" s="113" t="s">
        <v>2176</v>
      </c>
      <c r="BF237" s="107">
        <v>1980</v>
      </c>
      <c r="BG237" s="107">
        <v>23760</v>
      </c>
      <c r="BH237" s="143">
        <v>44909</v>
      </c>
      <c r="BI237" s="107" t="s">
        <v>385</v>
      </c>
      <c r="BJ237" s="108" t="s">
        <v>962</v>
      </c>
      <c r="BK237" s="107" t="s">
        <v>456</v>
      </c>
      <c r="BL237" s="144">
        <v>1</v>
      </c>
      <c r="BM237" s="1"/>
      <c r="BN237" s="1"/>
      <c r="BO237" s="1"/>
      <c r="BP237" s="1"/>
      <c r="EC237" s="221"/>
      <c r="EK237" s="221"/>
    </row>
    <row r="238" spans="54:141" ht="16.5" customHeight="1" x14ac:dyDescent="0.3">
      <c r="BB238" s="3"/>
      <c r="BC238" s="1"/>
      <c r="BD238" s="112" t="s">
        <v>2166</v>
      </c>
      <c r="BE238" s="113" t="s">
        <v>2177</v>
      </c>
      <c r="BF238" s="107">
        <v>1950</v>
      </c>
      <c r="BG238" s="107">
        <v>23400</v>
      </c>
      <c r="BH238" s="143">
        <v>44910</v>
      </c>
      <c r="BI238" s="107" t="s">
        <v>385</v>
      </c>
      <c r="BJ238" s="108" t="s">
        <v>2168</v>
      </c>
      <c r="BK238" s="107" t="s">
        <v>456</v>
      </c>
      <c r="BL238" s="144">
        <v>1</v>
      </c>
      <c r="BM238" s="1"/>
      <c r="BN238" s="1"/>
      <c r="BO238" s="1"/>
      <c r="BP238" s="1"/>
      <c r="EC238" s="221"/>
      <c r="EK238" s="221"/>
    </row>
    <row r="239" spans="54:141" ht="16.5" customHeight="1" x14ac:dyDescent="0.3">
      <c r="BB239" s="3"/>
      <c r="BC239" s="1"/>
      <c r="BD239" s="112" t="s">
        <v>2166</v>
      </c>
      <c r="BE239" s="113" t="s">
        <v>2178</v>
      </c>
      <c r="BF239" s="107">
        <v>1950</v>
      </c>
      <c r="BG239" s="107">
        <v>23400</v>
      </c>
      <c r="BH239" s="143">
        <v>44910</v>
      </c>
      <c r="BI239" s="107" t="s">
        <v>385</v>
      </c>
      <c r="BJ239" s="108" t="s">
        <v>2168</v>
      </c>
      <c r="BK239" s="107" t="s">
        <v>456</v>
      </c>
      <c r="BL239" s="144">
        <v>1</v>
      </c>
      <c r="BM239" s="1"/>
      <c r="BN239" s="1"/>
      <c r="BO239" s="1"/>
      <c r="BP239" s="1"/>
      <c r="EC239" s="221"/>
      <c r="EK239" s="221"/>
    </row>
    <row r="240" spans="54:141" ht="16.5" customHeight="1" x14ac:dyDescent="0.3">
      <c r="BB240" s="3"/>
      <c r="BC240" s="1"/>
      <c r="BD240" s="112" t="s">
        <v>537</v>
      </c>
      <c r="BE240" s="113" t="s">
        <v>2179</v>
      </c>
      <c r="BF240" s="107">
        <v>1958</v>
      </c>
      <c r="BG240" s="107">
        <v>23496</v>
      </c>
      <c r="BH240" s="143">
        <v>44915</v>
      </c>
      <c r="BI240" s="107" t="s">
        <v>385</v>
      </c>
      <c r="BJ240" s="108" t="s">
        <v>1022</v>
      </c>
      <c r="BK240" s="107" t="s">
        <v>456</v>
      </c>
      <c r="BL240" s="144">
        <v>1</v>
      </c>
      <c r="BM240" s="1"/>
      <c r="BN240" s="1"/>
      <c r="BO240" s="1"/>
      <c r="BP240" s="1"/>
      <c r="EC240" s="221"/>
      <c r="EK240" s="221"/>
    </row>
    <row r="241" spans="54:141" ht="16.5" customHeight="1" x14ac:dyDescent="0.3">
      <c r="BB241" s="3"/>
      <c r="BC241" s="1"/>
      <c r="BD241" s="112" t="s">
        <v>1303</v>
      </c>
      <c r="BE241" s="113" t="s">
        <v>2180</v>
      </c>
      <c r="BF241" s="107">
        <v>1565</v>
      </c>
      <c r="BG241" s="107">
        <v>23475</v>
      </c>
      <c r="BH241" s="143">
        <v>44916</v>
      </c>
      <c r="BI241" s="107" t="s">
        <v>385</v>
      </c>
      <c r="BJ241" s="108" t="s">
        <v>2181</v>
      </c>
      <c r="BK241" s="107" t="s">
        <v>456</v>
      </c>
      <c r="BL241" s="144">
        <v>1</v>
      </c>
      <c r="BM241" s="1"/>
      <c r="BN241" s="1"/>
      <c r="BO241" s="1"/>
      <c r="BP241" s="1"/>
      <c r="EC241" s="221"/>
      <c r="EK241" s="221"/>
    </row>
    <row r="242" spans="54:141" ht="16.5" customHeight="1" x14ac:dyDescent="0.3">
      <c r="BB242" s="3"/>
      <c r="BC242" s="1"/>
      <c r="BD242" s="112" t="s">
        <v>2182</v>
      </c>
      <c r="BE242" s="113" t="s">
        <v>2183</v>
      </c>
      <c r="BF242" s="107">
        <v>1533</v>
      </c>
      <c r="BG242" s="107">
        <v>22995</v>
      </c>
      <c r="BH242" s="143">
        <v>44916</v>
      </c>
      <c r="BI242" s="107" t="s">
        <v>385</v>
      </c>
      <c r="BJ242" s="108" t="s">
        <v>1469</v>
      </c>
      <c r="BK242" s="107" t="s">
        <v>456</v>
      </c>
      <c r="BL242" s="144">
        <v>1</v>
      </c>
      <c r="BM242" s="1"/>
      <c r="BN242" s="1"/>
      <c r="BO242" s="1"/>
      <c r="BP242" s="1"/>
      <c r="EC242" s="221"/>
      <c r="EK242" s="221"/>
    </row>
    <row r="243" spans="54:141" ht="16.5" customHeight="1" x14ac:dyDescent="0.3">
      <c r="BB243" s="3"/>
      <c r="BC243" s="1"/>
      <c r="BD243" s="112" t="s">
        <v>2182</v>
      </c>
      <c r="BE243" s="113" t="s">
        <v>2184</v>
      </c>
      <c r="BF243" s="107">
        <v>1533</v>
      </c>
      <c r="BG243" s="107">
        <v>22995</v>
      </c>
      <c r="BH243" s="143">
        <v>44916</v>
      </c>
      <c r="BI243" s="107" t="s">
        <v>385</v>
      </c>
      <c r="BJ243" s="108" t="s">
        <v>1469</v>
      </c>
      <c r="BK243" s="107" t="s">
        <v>456</v>
      </c>
      <c r="BL243" s="144">
        <v>1</v>
      </c>
      <c r="BM243" s="1"/>
      <c r="BN243" s="1"/>
      <c r="BO243" s="1"/>
      <c r="BP243" s="1"/>
      <c r="EC243" s="221"/>
      <c r="EK243" s="221"/>
    </row>
    <row r="244" spans="54:141" ht="16.5" customHeight="1" x14ac:dyDescent="0.3">
      <c r="BB244" s="3"/>
      <c r="BC244" s="1"/>
      <c r="BD244" s="112" t="s">
        <v>1546</v>
      </c>
      <c r="BE244" s="113" t="s">
        <v>2185</v>
      </c>
      <c r="BF244" s="107">
        <v>1958</v>
      </c>
      <c r="BG244" s="107">
        <v>23496</v>
      </c>
      <c r="BH244" s="143">
        <v>44917</v>
      </c>
      <c r="BI244" s="107" t="s">
        <v>385</v>
      </c>
      <c r="BJ244" s="108" t="s">
        <v>743</v>
      </c>
      <c r="BK244" s="107" t="s">
        <v>456</v>
      </c>
      <c r="BL244" s="144">
        <v>1</v>
      </c>
      <c r="BM244" s="1"/>
      <c r="BN244" s="1"/>
      <c r="BO244" s="1"/>
      <c r="BP244" s="1"/>
      <c r="EC244" s="221"/>
      <c r="EK244" s="221"/>
    </row>
    <row r="245" spans="54:141" ht="16.5" customHeight="1" x14ac:dyDescent="0.3">
      <c r="BB245" s="3"/>
      <c r="BC245" s="1"/>
      <c r="BD245" s="112" t="s">
        <v>1546</v>
      </c>
      <c r="BE245" s="113" t="s">
        <v>2186</v>
      </c>
      <c r="BF245" s="107">
        <v>1958</v>
      </c>
      <c r="BG245" s="107">
        <v>23496</v>
      </c>
      <c r="BH245" s="143">
        <v>44917</v>
      </c>
      <c r="BI245" s="107" t="s">
        <v>385</v>
      </c>
      <c r="BJ245" s="108" t="s">
        <v>743</v>
      </c>
      <c r="BK245" s="107" t="s">
        <v>456</v>
      </c>
      <c r="BL245" s="144">
        <v>1</v>
      </c>
      <c r="BM245" s="1"/>
      <c r="BN245" s="1"/>
      <c r="BO245" s="1"/>
      <c r="BP245" s="1"/>
      <c r="EC245" s="221"/>
      <c r="EK245" s="221"/>
    </row>
    <row r="246" spans="54:141" ht="16.5" customHeight="1" x14ac:dyDescent="0.3">
      <c r="BB246" s="3"/>
      <c r="BC246" s="1"/>
      <c r="BD246" s="112" t="s">
        <v>1086</v>
      </c>
      <c r="BE246" s="113" t="s">
        <v>2187</v>
      </c>
      <c r="BF246" s="107">
        <v>1958</v>
      </c>
      <c r="BG246" s="107">
        <v>23496</v>
      </c>
      <c r="BH246" s="143">
        <v>44917</v>
      </c>
      <c r="BI246" s="107" t="s">
        <v>385</v>
      </c>
      <c r="BJ246" s="108" t="s">
        <v>1022</v>
      </c>
      <c r="BK246" s="107" t="s">
        <v>456</v>
      </c>
      <c r="BL246" s="144">
        <v>1</v>
      </c>
      <c r="BM246" s="1"/>
      <c r="BN246" s="1"/>
      <c r="BO246" s="1"/>
      <c r="BP246" s="1"/>
      <c r="EC246" s="221"/>
      <c r="EK246" s="221"/>
    </row>
    <row r="247" spans="54:141" ht="16.5" customHeight="1" x14ac:dyDescent="0.3">
      <c r="BB247" s="3"/>
      <c r="BC247" s="1"/>
      <c r="BD247" s="112" t="s">
        <v>2166</v>
      </c>
      <c r="BE247" s="113" t="s">
        <v>2188</v>
      </c>
      <c r="BF247" s="107">
        <v>1950</v>
      </c>
      <c r="BG247" s="107">
        <v>23400</v>
      </c>
      <c r="BH247" s="143">
        <v>44917</v>
      </c>
      <c r="BI247" s="107" t="s">
        <v>385</v>
      </c>
      <c r="BJ247" s="108" t="s">
        <v>2168</v>
      </c>
      <c r="BK247" s="107" t="s">
        <v>456</v>
      </c>
      <c r="BL247" s="144">
        <v>1</v>
      </c>
      <c r="BM247" s="1"/>
      <c r="BN247" s="1"/>
      <c r="BO247" s="1"/>
      <c r="BP247" s="1"/>
      <c r="EC247" s="221"/>
      <c r="EK247" s="221"/>
    </row>
    <row r="248" spans="54:141" ht="16.5" customHeight="1" x14ac:dyDescent="0.3">
      <c r="BB248" s="3"/>
      <c r="BC248" s="1"/>
      <c r="BD248" s="112" t="s">
        <v>2166</v>
      </c>
      <c r="BE248" s="113" t="s">
        <v>2189</v>
      </c>
      <c r="BF248" s="107">
        <v>1950</v>
      </c>
      <c r="BG248" s="107">
        <v>23400</v>
      </c>
      <c r="BH248" s="143">
        <v>44917</v>
      </c>
      <c r="BI248" s="107" t="s">
        <v>385</v>
      </c>
      <c r="BJ248" s="108" t="s">
        <v>2168</v>
      </c>
      <c r="BK248" s="107" t="s">
        <v>456</v>
      </c>
      <c r="BL248" s="144">
        <v>1</v>
      </c>
      <c r="BM248" s="1"/>
      <c r="BN248" s="1"/>
      <c r="BO248" s="1"/>
      <c r="BP248" s="1"/>
      <c r="EC248" s="221"/>
      <c r="EK248" s="221"/>
    </row>
    <row r="249" spans="54:141" ht="16.5" customHeight="1" x14ac:dyDescent="0.3">
      <c r="BB249" s="3"/>
      <c r="BC249" s="1"/>
      <c r="BD249" s="112" t="s">
        <v>1899</v>
      </c>
      <c r="BE249" s="113" t="s">
        <v>2190</v>
      </c>
      <c r="BF249" s="107">
        <v>1960</v>
      </c>
      <c r="BG249" s="107">
        <v>23520</v>
      </c>
      <c r="BH249" s="143">
        <v>44917</v>
      </c>
      <c r="BI249" s="107" t="s">
        <v>385</v>
      </c>
      <c r="BJ249" s="108" t="s">
        <v>718</v>
      </c>
      <c r="BK249" s="107" t="s">
        <v>456</v>
      </c>
      <c r="BL249" s="144">
        <v>1</v>
      </c>
      <c r="BM249" s="1"/>
      <c r="BN249" s="1"/>
      <c r="BO249" s="1"/>
      <c r="BP249" s="1"/>
      <c r="EC249" s="221"/>
      <c r="EK249" s="221"/>
    </row>
    <row r="250" spans="54:141" ht="16.5" customHeight="1" x14ac:dyDescent="0.3">
      <c r="BB250" s="3"/>
      <c r="BC250" s="1"/>
      <c r="BD250" s="112" t="s">
        <v>1086</v>
      </c>
      <c r="BE250" s="113" t="s">
        <v>2191</v>
      </c>
      <c r="BF250" s="107">
        <v>1958</v>
      </c>
      <c r="BG250" s="107">
        <v>23496</v>
      </c>
      <c r="BH250" s="143">
        <v>44918</v>
      </c>
      <c r="BI250" s="107" t="s">
        <v>385</v>
      </c>
      <c r="BJ250" s="108" t="s">
        <v>1022</v>
      </c>
      <c r="BK250" s="107" t="s">
        <v>456</v>
      </c>
      <c r="BL250" s="144">
        <v>1</v>
      </c>
      <c r="BM250" s="1"/>
      <c r="BN250" s="1"/>
      <c r="BO250" s="1"/>
      <c r="BP250" s="1"/>
      <c r="EC250" s="221"/>
      <c r="EK250" s="221"/>
    </row>
    <row r="251" spans="54:141" ht="16.5" customHeight="1" x14ac:dyDescent="0.3">
      <c r="BB251" s="3"/>
      <c r="BC251" s="1"/>
      <c r="BD251" s="112" t="s">
        <v>500</v>
      </c>
      <c r="BE251" s="113" t="s">
        <v>2192</v>
      </c>
      <c r="BF251" s="107">
        <v>1925</v>
      </c>
      <c r="BG251" s="107">
        <v>23100</v>
      </c>
      <c r="BH251" s="143">
        <v>44918</v>
      </c>
      <c r="BI251" s="107" t="s">
        <v>385</v>
      </c>
      <c r="BJ251" s="108" t="s">
        <v>2062</v>
      </c>
      <c r="BK251" s="107" t="s">
        <v>692</v>
      </c>
      <c r="BL251" s="144">
        <v>1</v>
      </c>
      <c r="BM251" s="1"/>
      <c r="BN251" s="1"/>
      <c r="BO251" s="1"/>
      <c r="BP251" s="1"/>
      <c r="EC251" s="221"/>
      <c r="EK251" s="221"/>
    </row>
    <row r="252" spans="54:141" ht="16.5" customHeight="1" x14ac:dyDescent="0.3">
      <c r="BB252" s="3"/>
      <c r="BC252" s="1"/>
      <c r="BD252" s="112" t="s">
        <v>1303</v>
      </c>
      <c r="BE252" s="113" t="s">
        <v>2193</v>
      </c>
      <c r="BF252" s="107">
        <v>1958</v>
      </c>
      <c r="BG252" s="107">
        <v>23496</v>
      </c>
      <c r="BH252" s="143">
        <v>44923</v>
      </c>
      <c r="BI252" s="107" t="s">
        <v>385</v>
      </c>
      <c r="BJ252" s="108" t="s">
        <v>743</v>
      </c>
      <c r="BK252" s="107" t="s">
        <v>456</v>
      </c>
      <c r="BL252" s="144">
        <v>1</v>
      </c>
      <c r="BM252" s="1"/>
      <c r="BN252" s="1"/>
      <c r="BO252" s="1"/>
      <c r="BP252" s="1"/>
      <c r="EC252" s="221"/>
      <c r="EK252" s="221"/>
    </row>
    <row r="253" spans="54:141" ht="16.5" customHeight="1" x14ac:dyDescent="0.3">
      <c r="BD253" s="112" t="s">
        <v>1546</v>
      </c>
      <c r="BE253" s="113" t="s">
        <v>2194</v>
      </c>
      <c r="BF253" s="107">
        <v>1958</v>
      </c>
      <c r="BG253" s="107">
        <v>23496</v>
      </c>
      <c r="BH253" s="143">
        <v>44923</v>
      </c>
      <c r="BI253" s="107" t="s">
        <v>385</v>
      </c>
      <c r="BJ253" s="108" t="s">
        <v>743</v>
      </c>
      <c r="BK253" s="107" t="s">
        <v>456</v>
      </c>
      <c r="BL253" s="144">
        <v>1</v>
      </c>
      <c r="EK253" s="221"/>
    </row>
    <row r="254" spans="54:141" ht="16.5" customHeight="1" x14ac:dyDescent="0.3">
      <c r="BD254" s="112" t="s">
        <v>1546</v>
      </c>
      <c r="BE254" s="113" t="s">
        <v>2195</v>
      </c>
      <c r="BF254" s="107">
        <v>1958</v>
      </c>
      <c r="BG254" s="107">
        <v>23496</v>
      </c>
      <c r="BH254" s="143">
        <v>44923</v>
      </c>
      <c r="BI254" s="107" t="s">
        <v>385</v>
      </c>
      <c r="BJ254" s="108" t="s">
        <v>743</v>
      </c>
      <c r="BK254" s="107" t="s">
        <v>456</v>
      </c>
      <c r="BL254" s="144">
        <v>1</v>
      </c>
      <c r="EK254" s="221"/>
    </row>
    <row r="255" spans="54:141" ht="16.5" customHeight="1" x14ac:dyDescent="0.3">
      <c r="BD255" s="112" t="s">
        <v>791</v>
      </c>
      <c r="BE255" s="113" t="s">
        <v>2196</v>
      </c>
      <c r="BF255" s="107">
        <v>1960</v>
      </c>
      <c r="BG255" s="107">
        <v>23520</v>
      </c>
      <c r="BH255" s="143">
        <v>44923</v>
      </c>
      <c r="BI255" s="107" t="s">
        <v>385</v>
      </c>
      <c r="BJ255" s="108" t="s">
        <v>718</v>
      </c>
      <c r="BK255" s="107" t="s">
        <v>456</v>
      </c>
      <c r="BL255" s="144">
        <v>1</v>
      </c>
    </row>
    <row r="256" spans="54:141" ht="16.5" customHeight="1" x14ac:dyDescent="0.3">
      <c r="BD256" s="112" t="s">
        <v>1546</v>
      </c>
      <c r="BE256" s="113" t="s">
        <v>2197</v>
      </c>
      <c r="BF256" s="107">
        <v>1958</v>
      </c>
      <c r="BG256" s="107">
        <v>23496</v>
      </c>
      <c r="BH256" s="143">
        <v>44924</v>
      </c>
      <c r="BI256" s="107" t="s">
        <v>385</v>
      </c>
      <c r="BJ256" s="108" t="s">
        <v>743</v>
      </c>
      <c r="BK256" s="107" t="s">
        <v>456</v>
      </c>
    </row>
    <row r="257" spans="56:63" ht="16.5" customHeight="1" x14ac:dyDescent="0.3">
      <c r="BD257" s="112" t="s">
        <v>1546</v>
      </c>
      <c r="BE257" s="113" t="s">
        <v>2198</v>
      </c>
      <c r="BF257" s="107">
        <v>1958</v>
      </c>
      <c r="BG257" s="107">
        <v>23496</v>
      </c>
      <c r="BH257" s="143">
        <v>44924</v>
      </c>
      <c r="BI257" s="107" t="s">
        <v>385</v>
      </c>
      <c r="BJ257" s="108" t="s">
        <v>743</v>
      </c>
      <c r="BK257" s="107" t="s">
        <v>456</v>
      </c>
    </row>
    <row r="258" spans="56:63" ht="16.5" customHeight="1" x14ac:dyDescent="0.3">
      <c r="BD258" s="112" t="s">
        <v>1546</v>
      </c>
      <c r="BE258" s="113" t="s">
        <v>2199</v>
      </c>
      <c r="BF258" s="107">
        <v>1958</v>
      </c>
      <c r="BG258" s="107">
        <v>23496</v>
      </c>
      <c r="BH258" s="143">
        <v>44924</v>
      </c>
      <c r="BI258" s="107" t="s">
        <v>385</v>
      </c>
      <c r="BJ258" s="108" t="s">
        <v>743</v>
      </c>
      <c r="BK258" s="107" t="s">
        <v>456</v>
      </c>
    </row>
    <row r="259" spans="56:63" ht="16.5" customHeight="1" x14ac:dyDescent="0.3">
      <c r="BD259" s="112" t="s">
        <v>2166</v>
      </c>
      <c r="BE259" s="113" t="s">
        <v>2200</v>
      </c>
      <c r="BF259" s="107">
        <v>1950</v>
      </c>
      <c r="BG259" s="107">
        <v>23400</v>
      </c>
      <c r="BH259" s="143">
        <v>44925</v>
      </c>
      <c r="BI259" s="107" t="s">
        <v>385</v>
      </c>
      <c r="BJ259" s="108" t="s">
        <v>2168</v>
      </c>
      <c r="BK259" s="107" t="s">
        <v>456</v>
      </c>
    </row>
    <row r="260" spans="56:63" ht="16.5" customHeight="1" x14ac:dyDescent="0.3">
      <c r="BD260" s="112" t="s">
        <v>2166</v>
      </c>
      <c r="BE260" s="113" t="s">
        <v>2201</v>
      </c>
      <c r="BF260" s="107">
        <v>1950</v>
      </c>
      <c r="BG260" s="107">
        <v>23400</v>
      </c>
      <c r="BH260" s="143">
        <v>44925</v>
      </c>
      <c r="BI260" s="107" t="s">
        <v>385</v>
      </c>
      <c r="BJ260" s="108" t="s">
        <v>2168</v>
      </c>
      <c r="BK260" s="107" t="s">
        <v>456</v>
      </c>
    </row>
    <row r="261" spans="56:63" ht="16.5" customHeight="1" x14ac:dyDescent="0.3">
      <c r="BD261" s="112" t="s">
        <v>453</v>
      </c>
      <c r="BE261" s="113" t="s">
        <v>2202</v>
      </c>
      <c r="BF261" s="107">
        <v>1960</v>
      </c>
      <c r="BG261" s="107">
        <v>23520</v>
      </c>
      <c r="BH261" s="143">
        <v>44925</v>
      </c>
      <c r="BI261" s="107" t="s">
        <v>385</v>
      </c>
      <c r="BJ261" s="108" t="s">
        <v>718</v>
      </c>
      <c r="BK261" s="107" t="s">
        <v>456</v>
      </c>
    </row>
    <row r="262" spans="56:63" ht="16.5" customHeight="1" x14ac:dyDescent="0.3">
      <c r="BD262" s="112" t="s">
        <v>791</v>
      </c>
      <c r="BE262" s="113" t="s">
        <v>2203</v>
      </c>
      <c r="BF262" s="107">
        <v>1980</v>
      </c>
      <c r="BG262" s="107">
        <v>23760</v>
      </c>
      <c r="BH262" s="143">
        <v>44929</v>
      </c>
      <c r="BI262" s="107" t="s">
        <v>385</v>
      </c>
      <c r="BJ262" s="108" t="s">
        <v>962</v>
      </c>
      <c r="BK262" s="107" t="s">
        <v>456</v>
      </c>
    </row>
    <row r="263" spans="56:63" ht="16.5" customHeight="1" x14ac:dyDescent="0.3">
      <c r="BD263" s="112" t="s">
        <v>901</v>
      </c>
      <c r="BE263" s="113" t="s">
        <v>2204</v>
      </c>
      <c r="BF263" s="107">
        <v>1815</v>
      </c>
      <c r="BG263" s="107">
        <v>21780</v>
      </c>
      <c r="BH263" s="143">
        <v>44929</v>
      </c>
      <c r="BI263" s="107" t="s">
        <v>385</v>
      </c>
      <c r="BJ263" s="108" t="s">
        <v>1314</v>
      </c>
      <c r="BK263" s="107" t="s">
        <v>456</v>
      </c>
    </row>
    <row r="264" spans="56:63" ht="16.5" customHeight="1" x14ac:dyDescent="0.3">
      <c r="BD264" s="112" t="s">
        <v>901</v>
      </c>
      <c r="BE264" s="113" t="s">
        <v>2205</v>
      </c>
      <c r="BF264" s="107">
        <v>1815</v>
      </c>
      <c r="BG264" s="107">
        <v>21780</v>
      </c>
      <c r="BH264" s="143">
        <v>44929</v>
      </c>
      <c r="BI264" s="107" t="s">
        <v>385</v>
      </c>
      <c r="BJ264" s="108" t="s">
        <v>1314</v>
      </c>
      <c r="BK264" s="107" t="s">
        <v>456</v>
      </c>
    </row>
    <row r="265" spans="56:63" ht="16.5" customHeight="1" x14ac:dyDescent="0.3">
      <c r="BD265" s="112" t="s">
        <v>901</v>
      </c>
      <c r="BE265" s="113" t="s">
        <v>2206</v>
      </c>
      <c r="BF265" s="107">
        <v>1500</v>
      </c>
      <c r="BG265" s="107">
        <v>22500</v>
      </c>
      <c r="BH265" s="143">
        <v>44929</v>
      </c>
      <c r="BI265" s="107" t="s">
        <v>385</v>
      </c>
      <c r="BJ265" s="108" t="s">
        <v>502</v>
      </c>
      <c r="BK265" s="107" t="s">
        <v>456</v>
      </c>
    </row>
    <row r="266" spans="56:63" ht="16.5" customHeight="1" x14ac:dyDescent="0.3">
      <c r="BD266" s="112" t="s">
        <v>1398</v>
      </c>
      <c r="BE266" s="113" t="s">
        <v>2207</v>
      </c>
      <c r="BF266" s="107">
        <v>1960</v>
      </c>
      <c r="BG266" s="107">
        <v>23520</v>
      </c>
      <c r="BH266" s="143">
        <v>44931</v>
      </c>
      <c r="BI266" s="107" t="s">
        <v>385</v>
      </c>
      <c r="BJ266" s="108" t="s">
        <v>718</v>
      </c>
      <c r="BK266" s="107" t="s">
        <v>456</v>
      </c>
    </row>
    <row r="267" spans="56:63" ht="16.5" customHeight="1" x14ac:dyDescent="0.3">
      <c r="BD267" s="112" t="s">
        <v>901</v>
      </c>
      <c r="BE267" s="113" t="s">
        <v>2208</v>
      </c>
      <c r="BF267" s="107">
        <v>1815</v>
      </c>
      <c r="BG267" s="107">
        <v>21780</v>
      </c>
      <c r="BH267" s="143">
        <v>44932</v>
      </c>
      <c r="BI267" s="107" t="s">
        <v>385</v>
      </c>
      <c r="BJ267" s="108" t="s">
        <v>2209</v>
      </c>
      <c r="BK267" s="107" t="s">
        <v>456</v>
      </c>
    </row>
    <row r="268" spans="56:63" ht="16.5" customHeight="1" x14ac:dyDescent="0.3">
      <c r="BD268" s="112" t="s">
        <v>901</v>
      </c>
      <c r="BE268" s="113" t="s">
        <v>2210</v>
      </c>
      <c r="BF268" s="107">
        <v>1815</v>
      </c>
      <c r="BG268" s="107">
        <v>21780</v>
      </c>
      <c r="BH268" s="143">
        <v>44932</v>
      </c>
      <c r="BI268" s="107" t="s">
        <v>385</v>
      </c>
      <c r="BJ268" s="108" t="s">
        <v>1314</v>
      </c>
      <c r="BK268" s="107" t="s">
        <v>456</v>
      </c>
    </row>
    <row r="269" spans="56:63" ht="16.5" customHeight="1" x14ac:dyDescent="0.3">
      <c r="BD269" s="112" t="s">
        <v>791</v>
      </c>
      <c r="BE269" s="113" t="s">
        <v>2211</v>
      </c>
      <c r="BF269" s="107">
        <v>1980</v>
      </c>
      <c r="BG269" s="107">
        <v>23760</v>
      </c>
      <c r="BH269" s="143">
        <v>44936</v>
      </c>
      <c r="BI269" s="107" t="s">
        <v>385</v>
      </c>
      <c r="BJ269" s="108" t="s">
        <v>962</v>
      </c>
      <c r="BK269" s="107" t="s">
        <v>456</v>
      </c>
    </row>
    <row r="270" spans="56:63" ht="16.5" customHeight="1" x14ac:dyDescent="0.3">
      <c r="BD270" s="112" t="s">
        <v>791</v>
      </c>
      <c r="BE270" s="113" t="s">
        <v>2212</v>
      </c>
      <c r="BF270" s="107">
        <v>1980</v>
      </c>
      <c r="BG270" s="107">
        <v>23760</v>
      </c>
      <c r="BH270" s="143">
        <v>44936</v>
      </c>
      <c r="BI270" s="107" t="s">
        <v>385</v>
      </c>
      <c r="BJ270" s="108" t="s">
        <v>2098</v>
      </c>
      <c r="BK270" s="107" t="s">
        <v>456</v>
      </c>
    </row>
    <row r="271" spans="56:63" ht="16.5" customHeight="1" x14ac:dyDescent="0.3">
      <c r="BD271" s="112" t="s">
        <v>330</v>
      </c>
      <c r="BE271" s="113" t="s">
        <v>2213</v>
      </c>
      <c r="BF271" s="107">
        <v>1955</v>
      </c>
      <c r="BG271" s="107">
        <v>23460</v>
      </c>
      <c r="BH271" s="143">
        <v>44937</v>
      </c>
      <c r="BI271" s="107" t="s">
        <v>385</v>
      </c>
      <c r="BJ271" s="108" t="s">
        <v>743</v>
      </c>
      <c r="BK271" s="107" t="s">
        <v>456</v>
      </c>
    </row>
    <row r="272" spans="56:63" ht="16.5" customHeight="1" x14ac:dyDescent="0.3">
      <c r="BD272" s="112" t="s">
        <v>709</v>
      </c>
      <c r="BE272" s="113" t="s">
        <v>2214</v>
      </c>
      <c r="BF272" s="107">
        <v>1917</v>
      </c>
      <c r="BG272" s="107">
        <v>23004</v>
      </c>
      <c r="BH272" s="143">
        <v>44943</v>
      </c>
      <c r="BI272" s="107" t="s">
        <v>385</v>
      </c>
      <c r="BJ272" s="108" t="s">
        <v>718</v>
      </c>
      <c r="BK272" s="107" t="s">
        <v>456</v>
      </c>
    </row>
    <row r="273" spans="56:63" ht="16.5" customHeight="1" x14ac:dyDescent="0.3">
      <c r="BD273" s="112" t="s">
        <v>537</v>
      </c>
      <c r="BE273" s="113" t="s">
        <v>2215</v>
      </c>
      <c r="BF273" s="107">
        <v>1960</v>
      </c>
      <c r="BG273" s="107">
        <v>23520</v>
      </c>
      <c r="BH273" s="143">
        <v>44943</v>
      </c>
      <c r="BI273" s="107" t="s">
        <v>385</v>
      </c>
      <c r="BJ273" s="108" t="s">
        <v>718</v>
      </c>
      <c r="BK273" s="107" t="s">
        <v>456</v>
      </c>
    </row>
    <row r="274" spans="56:63" ht="16.5" customHeight="1" x14ac:dyDescent="0.3">
      <c r="BD274" s="112" t="s">
        <v>854</v>
      </c>
      <c r="BE274" s="113" t="s">
        <v>2216</v>
      </c>
      <c r="BF274" s="107">
        <v>1980</v>
      </c>
      <c r="BG274" s="107">
        <v>23760</v>
      </c>
      <c r="BH274" s="143">
        <v>44944</v>
      </c>
      <c r="BI274" s="107" t="s">
        <v>385</v>
      </c>
      <c r="BJ274" s="108" t="s">
        <v>962</v>
      </c>
      <c r="BK274" s="107" t="s">
        <v>456</v>
      </c>
    </row>
    <row r="275" spans="56:63" ht="16.5" customHeight="1" x14ac:dyDescent="0.3">
      <c r="BD275" s="112" t="s">
        <v>330</v>
      </c>
      <c r="BE275" s="113" t="s">
        <v>2217</v>
      </c>
      <c r="BF275" s="107">
        <v>1958</v>
      </c>
      <c r="BG275" s="107">
        <v>23496</v>
      </c>
      <c r="BH275" s="143">
        <v>44945</v>
      </c>
      <c r="BI275" s="107" t="s">
        <v>385</v>
      </c>
      <c r="BJ275" s="108" t="s">
        <v>743</v>
      </c>
      <c r="BK275" s="107" t="s">
        <v>456</v>
      </c>
    </row>
    <row r="276" spans="56:63" ht="16.5" customHeight="1" x14ac:dyDescent="0.3">
      <c r="BD276" s="112" t="s">
        <v>854</v>
      </c>
      <c r="BE276" s="113" t="s">
        <v>2218</v>
      </c>
      <c r="BF276" s="107">
        <v>1958</v>
      </c>
      <c r="BG276" s="107">
        <v>23496</v>
      </c>
      <c r="BH276" s="143">
        <v>44945</v>
      </c>
      <c r="BI276" s="107" t="s">
        <v>385</v>
      </c>
      <c r="BJ276" s="108" t="s">
        <v>743</v>
      </c>
      <c r="BK276" s="107" t="s">
        <v>456</v>
      </c>
    </row>
    <row r="277" spans="56:63" ht="16.5" customHeight="1" x14ac:dyDescent="0.3">
      <c r="BD277" s="112" t="s">
        <v>1303</v>
      </c>
      <c r="BE277" s="113" t="s">
        <v>2219</v>
      </c>
      <c r="BF277" s="107">
        <v>1958</v>
      </c>
      <c r="BG277" s="107">
        <v>23496</v>
      </c>
      <c r="BH277" s="143">
        <v>44945</v>
      </c>
      <c r="BI277" s="107" t="s">
        <v>385</v>
      </c>
      <c r="BJ277" s="108" t="s">
        <v>743</v>
      </c>
      <c r="BK277" s="107" t="s">
        <v>456</v>
      </c>
    </row>
    <row r="278" spans="56:63" ht="16.5" customHeight="1" x14ac:dyDescent="0.3">
      <c r="BD278" s="112" t="s">
        <v>791</v>
      </c>
      <c r="BE278" s="113" t="s">
        <v>2220</v>
      </c>
      <c r="BF278" s="107">
        <v>1940</v>
      </c>
      <c r="BG278" s="107">
        <v>23280</v>
      </c>
      <c r="BH278" s="143">
        <v>44945</v>
      </c>
      <c r="BI278" s="107" t="s">
        <v>385</v>
      </c>
      <c r="BJ278" s="108" t="s">
        <v>962</v>
      </c>
      <c r="BK278" s="107" t="s">
        <v>456</v>
      </c>
    </row>
    <row r="279" spans="56:63" ht="16.5" customHeight="1" x14ac:dyDescent="0.3">
      <c r="BD279" s="112" t="s">
        <v>423</v>
      </c>
      <c r="BE279" s="113" t="s">
        <v>2221</v>
      </c>
      <c r="BF279" s="107">
        <v>1954</v>
      </c>
      <c r="BG279" s="107">
        <v>23448</v>
      </c>
      <c r="BH279" s="143">
        <v>44945</v>
      </c>
      <c r="BI279" s="107" t="s">
        <v>385</v>
      </c>
      <c r="BJ279" s="108" t="s">
        <v>743</v>
      </c>
      <c r="BK279" s="107" t="s">
        <v>456</v>
      </c>
    </row>
    <row r="280" spans="56:63" ht="16.5" customHeight="1" x14ac:dyDescent="0.3">
      <c r="BD280" s="112" t="s">
        <v>330</v>
      </c>
      <c r="BE280" s="113" t="s">
        <v>2222</v>
      </c>
      <c r="BF280" s="107">
        <v>1958</v>
      </c>
      <c r="BG280" s="107">
        <v>23496</v>
      </c>
      <c r="BH280" s="143">
        <v>44946</v>
      </c>
      <c r="BI280" s="107" t="s">
        <v>385</v>
      </c>
      <c r="BJ280" s="108" t="s">
        <v>743</v>
      </c>
      <c r="BK280" s="107" t="s">
        <v>456</v>
      </c>
    </row>
    <row r="281" spans="56:63" ht="16.5" customHeight="1" x14ac:dyDescent="0.3">
      <c r="BD281" s="112" t="s">
        <v>537</v>
      </c>
      <c r="BE281" s="113" t="s">
        <v>2223</v>
      </c>
      <c r="BF281" s="107">
        <v>1941</v>
      </c>
      <c r="BG281" s="107">
        <v>23292</v>
      </c>
      <c r="BH281" s="143">
        <v>44946</v>
      </c>
      <c r="BI281" s="107" t="s">
        <v>385</v>
      </c>
      <c r="BJ281" s="108" t="s">
        <v>743</v>
      </c>
      <c r="BK281" s="107" t="s">
        <v>456</v>
      </c>
    </row>
    <row r="282" spans="56:63" ht="16.5" customHeight="1" x14ac:dyDescent="0.3">
      <c r="BD282" s="112" t="s">
        <v>901</v>
      </c>
      <c r="BE282" s="113" t="s">
        <v>2224</v>
      </c>
      <c r="BF282" s="107">
        <v>1452</v>
      </c>
      <c r="BG282" s="107">
        <v>21780</v>
      </c>
      <c r="BH282" s="143">
        <v>44946</v>
      </c>
      <c r="BI282" s="107" t="s">
        <v>385</v>
      </c>
      <c r="BJ282" s="108" t="s">
        <v>2022</v>
      </c>
      <c r="BK282" s="107" t="s">
        <v>456</v>
      </c>
    </row>
    <row r="283" spans="56:63" ht="16.5" customHeight="1" x14ac:dyDescent="0.3">
      <c r="BD283" s="112" t="s">
        <v>709</v>
      </c>
      <c r="BE283" s="113" t="s">
        <v>2225</v>
      </c>
      <c r="BF283" s="107">
        <v>1917</v>
      </c>
      <c r="BG283" s="107">
        <v>23004</v>
      </c>
      <c r="BH283" s="143">
        <v>44951</v>
      </c>
      <c r="BI283" s="107" t="s">
        <v>385</v>
      </c>
      <c r="BJ283" s="108" t="s">
        <v>718</v>
      </c>
      <c r="BK283" s="107" t="s">
        <v>456</v>
      </c>
    </row>
    <row r="284" spans="56:63" ht="16.5" customHeight="1" x14ac:dyDescent="0.3">
      <c r="BD284" s="112" t="s">
        <v>791</v>
      </c>
      <c r="BE284" s="113" t="s">
        <v>2226</v>
      </c>
      <c r="BF284" s="107">
        <v>1960</v>
      </c>
      <c r="BG284" s="107">
        <v>23520</v>
      </c>
      <c r="BH284" s="143">
        <v>44951</v>
      </c>
      <c r="BI284" s="107" t="s">
        <v>385</v>
      </c>
      <c r="BJ284" s="108" t="s">
        <v>718</v>
      </c>
      <c r="BK284" s="107" t="s">
        <v>456</v>
      </c>
    </row>
    <row r="285" spans="56:63" ht="16.5" customHeight="1" x14ac:dyDescent="0.3">
      <c r="BD285" s="112" t="s">
        <v>537</v>
      </c>
      <c r="BE285" s="113" t="s">
        <v>2227</v>
      </c>
      <c r="BF285" s="107">
        <v>1917</v>
      </c>
      <c r="BG285" s="107">
        <v>23004</v>
      </c>
      <c r="BH285" s="143">
        <v>44952</v>
      </c>
      <c r="BI285" s="107" t="s">
        <v>385</v>
      </c>
      <c r="BJ285" s="108" t="s">
        <v>718</v>
      </c>
      <c r="BK285" s="107" t="s">
        <v>456</v>
      </c>
    </row>
    <row r="286" spans="56:63" ht="16.5" customHeight="1" x14ac:dyDescent="0.3">
      <c r="BD286" s="112" t="s">
        <v>1899</v>
      </c>
      <c r="BE286" s="113" t="s">
        <v>2228</v>
      </c>
      <c r="BF286" s="107">
        <v>1960</v>
      </c>
      <c r="BG286" s="107">
        <v>23520</v>
      </c>
      <c r="BH286" s="143">
        <v>44953</v>
      </c>
      <c r="BI286" s="107" t="s">
        <v>385</v>
      </c>
      <c r="BJ286" s="108" t="s">
        <v>718</v>
      </c>
      <c r="BK286" s="107" t="s">
        <v>456</v>
      </c>
    </row>
    <row r="287" spans="56:63" ht="16.5" customHeight="1" x14ac:dyDescent="0.3">
      <c r="BD287" s="112" t="s">
        <v>709</v>
      </c>
      <c r="BE287" s="113" t="s">
        <v>2229</v>
      </c>
      <c r="BF287" s="107">
        <v>1958</v>
      </c>
      <c r="BG287" s="107">
        <v>23496</v>
      </c>
      <c r="BH287" s="143">
        <v>44953</v>
      </c>
      <c r="BI287" s="107" t="s">
        <v>385</v>
      </c>
      <c r="BJ287" s="108" t="s">
        <v>718</v>
      </c>
      <c r="BK287" s="107" t="s">
        <v>456</v>
      </c>
    </row>
    <row r="288" spans="56:63" ht="16.5" customHeight="1" x14ac:dyDescent="0.3">
      <c r="BD288" s="112" t="s">
        <v>709</v>
      </c>
      <c r="BE288" s="113" t="s">
        <v>2230</v>
      </c>
      <c r="BF288" s="107">
        <v>1917</v>
      </c>
      <c r="BG288" s="107">
        <v>23004</v>
      </c>
      <c r="BH288" s="143">
        <v>44953</v>
      </c>
      <c r="BI288" s="107" t="s">
        <v>385</v>
      </c>
      <c r="BJ288" s="108" t="s">
        <v>718</v>
      </c>
      <c r="BK288" s="107" t="s">
        <v>456</v>
      </c>
    </row>
    <row r="289" spans="56:63" ht="16.5" customHeight="1" x14ac:dyDescent="0.3">
      <c r="BD289" s="112" t="s">
        <v>854</v>
      </c>
      <c r="BE289" s="90" t="s">
        <v>2231</v>
      </c>
      <c r="BF289" s="107">
        <v>1815</v>
      </c>
      <c r="BG289" s="107">
        <v>21780</v>
      </c>
      <c r="BH289" s="143">
        <v>44956</v>
      </c>
      <c r="BI289" s="107" t="s">
        <v>1591</v>
      </c>
      <c r="BJ289" s="108" t="s">
        <v>1851</v>
      </c>
      <c r="BK289" s="107" t="s">
        <v>1593</v>
      </c>
    </row>
    <row r="290" spans="56:63" ht="16.5" customHeight="1" x14ac:dyDescent="0.3">
      <c r="BD290" s="112" t="s">
        <v>1384</v>
      </c>
      <c r="BE290" s="90" t="s">
        <v>2232</v>
      </c>
      <c r="BF290" s="107">
        <v>1916</v>
      </c>
      <c r="BG290" s="107">
        <v>22992</v>
      </c>
      <c r="BH290" s="143">
        <v>44956</v>
      </c>
      <c r="BI290" s="107" t="s">
        <v>1591</v>
      </c>
      <c r="BJ290" s="108" t="s">
        <v>1610</v>
      </c>
      <c r="BK290" s="107" t="s">
        <v>1593</v>
      </c>
    </row>
    <row r="291" spans="56:63" ht="16.5" customHeight="1" x14ac:dyDescent="0.3">
      <c r="BD291" s="112" t="s">
        <v>330</v>
      </c>
      <c r="BE291" s="90" t="s">
        <v>2233</v>
      </c>
      <c r="BF291" s="107">
        <v>1958</v>
      </c>
      <c r="BG291" s="107">
        <v>23496</v>
      </c>
      <c r="BH291" s="143">
        <v>44956</v>
      </c>
      <c r="BI291" s="107" t="s">
        <v>1591</v>
      </c>
      <c r="BJ291" s="108" t="s">
        <v>1592</v>
      </c>
      <c r="BK291" s="107" t="s">
        <v>1593</v>
      </c>
    </row>
    <row r="292" spans="56:63" ht="16.5" customHeight="1" x14ac:dyDescent="0.3">
      <c r="BD292" s="112" t="s">
        <v>854</v>
      </c>
      <c r="BE292" s="90" t="s">
        <v>2234</v>
      </c>
      <c r="BF292" s="107">
        <v>1815</v>
      </c>
      <c r="BG292" s="107">
        <v>21780</v>
      </c>
      <c r="BH292" s="143">
        <v>44957</v>
      </c>
      <c r="BI292" s="107" t="s">
        <v>1591</v>
      </c>
      <c r="BJ292" s="108" t="s">
        <v>1851</v>
      </c>
      <c r="BK292" s="107" t="s">
        <v>1593</v>
      </c>
    </row>
    <row r="293" spans="56:63" ht="16.5" customHeight="1" x14ac:dyDescent="0.3">
      <c r="BD293" s="112" t="s">
        <v>1384</v>
      </c>
      <c r="BE293" s="90" t="s">
        <v>2235</v>
      </c>
      <c r="BF293" s="107">
        <v>1916</v>
      </c>
      <c r="BG293" s="107">
        <v>22992</v>
      </c>
      <c r="BH293" s="143">
        <v>44963</v>
      </c>
      <c r="BI293" s="107" t="s">
        <v>1591</v>
      </c>
      <c r="BJ293" s="108" t="s">
        <v>1610</v>
      </c>
      <c r="BK293" s="107" t="s">
        <v>1593</v>
      </c>
    </row>
    <row r="294" spans="56:63" ht="16.5" customHeight="1" x14ac:dyDescent="0.3">
      <c r="BD294" s="112" t="s">
        <v>709</v>
      </c>
      <c r="BE294" s="90" t="s">
        <v>2236</v>
      </c>
      <c r="BF294" s="107">
        <v>1960</v>
      </c>
      <c r="BG294" s="107">
        <v>23520</v>
      </c>
      <c r="BH294" s="143">
        <v>44967</v>
      </c>
      <c r="BI294" s="107" t="s">
        <v>1591</v>
      </c>
      <c r="BJ294" s="108" t="s">
        <v>1601</v>
      </c>
      <c r="BK294" s="107" t="s">
        <v>1593</v>
      </c>
    </row>
    <row r="295" spans="56:63" ht="16.5" customHeight="1" x14ac:dyDescent="0.3">
      <c r="BD295" s="112" t="s">
        <v>1020</v>
      </c>
      <c r="BE295" s="90" t="s">
        <v>2237</v>
      </c>
      <c r="BF295" s="107">
        <v>1940</v>
      </c>
      <c r="BG295" s="107">
        <v>23280</v>
      </c>
      <c r="BH295" s="143">
        <v>44973</v>
      </c>
      <c r="BI295" s="107" t="s">
        <v>1591</v>
      </c>
      <c r="BJ295" s="108" t="s">
        <v>1592</v>
      </c>
      <c r="BK295" s="107" t="s">
        <v>1593</v>
      </c>
    </row>
    <row r="296" spans="56:63" ht="16.5" customHeight="1" x14ac:dyDescent="0.3">
      <c r="BD296" s="112" t="s">
        <v>330</v>
      </c>
      <c r="BE296" s="90" t="s">
        <v>2238</v>
      </c>
      <c r="BF296" s="107">
        <v>1940</v>
      </c>
      <c r="BG296" s="107">
        <v>23280</v>
      </c>
      <c r="BH296" s="143">
        <v>44973</v>
      </c>
      <c r="BI296" s="107" t="s">
        <v>1591</v>
      </c>
      <c r="BJ296" s="108" t="s">
        <v>1592</v>
      </c>
      <c r="BK296" s="107" t="s">
        <v>1593</v>
      </c>
    </row>
    <row r="297" spans="56:63" ht="16.5" customHeight="1" x14ac:dyDescent="0.3">
      <c r="BD297" s="112" t="s">
        <v>1020</v>
      </c>
      <c r="BE297" s="90" t="s">
        <v>2239</v>
      </c>
      <c r="BF297" s="107">
        <v>1929</v>
      </c>
      <c r="BG297" s="107">
        <v>23148</v>
      </c>
      <c r="BH297" s="143">
        <v>44974</v>
      </c>
      <c r="BI297" s="107" t="s">
        <v>1591</v>
      </c>
      <c r="BJ297" s="108" t="s">
        <v>1592</v>
      </c>
      <c r="BK297" s="107" t="s">
        <v>1593</v>
      </c>
    </row>
    <row r="298" spans="56:63" ht="16.5" customHeight="1" x14ac:dyDescent="0.3">
      <c r="BD298" s="112" t="s">
        <v>709</v>
      </c>
      <c r="BE298" s="90" t="s">
        <v>2240</v>
      </c>
      <c r="BF298" s="107">
        <v>1917</v>
      </c>
      <c r="BG298" s="107">
        <v>23004</v>
      </c>
      <c r="BH298" s="143">
        <v>44984</v>
      </c>
      <c r="BI298" s="107" t="s">
        <v>1591</v>
      </c>
      <c r="BJ298" s="108" t="s">
        <v>1601</v>
      </c>
      <c r="BK298" s="107" t="s">
        <v>1593</v>
      </c>
    </row>
    <row r="299" spans="56:63" ht="16.5" customHeight="1" x14ac:dyDescent="0.3">
      <c r="BD299" s="112" t="s">
        <v>709</v>
      </c>
      <c r="BE299" s="90" t="s">
        <v>2241</v>
      </c>
      <c r="BF299" s="107">
        <v>1917</v>
      </c>
      <c r="BG299" s="107">
        <v>23004</v>
      </c>
      <c r="BH299" s="143">
        <v>44984</v>
      </c>
      <c r="BI299" s="107" t="s">
        <v>1591</v>
      </c>
      <c r="BJ299" s="108" t="s">
        <v>1601</v>
      </c>
      <c r="BK299" s="107" t="s">
        <v>1593</v>
      </c>
    </row>
    <row r="300" spans="56:63" ht="16.5" customHeight="1" x14ac:dyDescent="0.3">
      <c r="BD300" s="112" t="s">
        <v>1303</v>
      </c>
      <c r="BE300" s="90" t="s">
        <v>2242</v>
      </c>
      <c r="BF300" s="107">
        <v>1916</v>
      </c>
      <c r="BG300" s="107">
        <v>22992</v>
      </c>
      <c r="BH300" s="143">
        <v>44999</v>
      </c>
      <c r="BI300" s="107" t="s">
        <v>1591</v>
      </c>
      <c r="BJ300" s="108" t="s">
        <v>1610</v>
      </c>
      <c r="BK300" s="107" t="s">
        <v>1593</v>
      </c>
    </row>
    <row r="301" spans="56:63" ht="16.5" customHeight="1" x14ac:dyDescent="0.3">
      <c r="BD301" s="112" t="s">
        <v>1384</v>
      </c>
      <c r="BE301" s="90" t="s">
        <v>2243</v>
      </c>
      <c r="BF301" s="107">
        <v>1916</v>
      </c>
      <c r="BG301" s="107">
        <v>22992</v>
      </c>
      <c r="BH301" s="143">
        <v>44999</v>
      </c>
      <c r="BI301" s="107" t="s">
        <v>1591</v>
      </c>
      <c r="BJ301" s="108" t="s">
        <v>1610</v>
      </c>
      <c r="BK301" s="107" t="s">
        <v>1593</v>
      </c>
    </row>
    <row r="302" spans="56:63" ht="16.5" customHeight="1" x14ac:dyDescent="0.3">
      <c r="BD302" s="112" t="s">
        <v>805</v>
      </c>
      <c r="BE302" s="90" t="s">
        <v>2244</v>
      </c>
      <c r="BF302" s="107">
        <v>1960</v>
      </c>
      <c r="BG302" s="107">
        <v>23520</v>
      </c>
      <c r="BH302" s="143">
        <v>44999</v>
      </c>
      <c r="BI302" s="107" t="s">
        <v>1591</v>
      </c>
      <c r="BJ302" s="108" t="s">
        <v>1601</v>
      </c>
      <c r="BK302" s="107" t="s">
        <v>1593</v>
      </c>
    </row>
    <row r="303" spans="56:63" ht="16.5" customHeight="1" x14ac:dyDescent="0.3">
      <c r="BD303" s="112" t="s">
        <v>901</v>
      </c>
      <c r="BE303" s="90" t="s">
        <v>2245</v>
      </c>
      <c r="BF303" s="107">
        <v>1500</v>
      </c>
      <c r="BG303" s="107">
        <v>22500</v>
      </c>
      <c r="BH303" s="143">
        <v>44999</v>
      </c>
      <c r="BI303" s="107" t="s">
        <v>1591</v>
      </c>
      <c r="BJ303" s="108" t="s">
        <v>475</v>
      </c>
      <c r="BK303" s="107" t="s">
        <v>1593</v>
      </c>
    </row>
    <row r="304" spans="56:63" ht="16.5" customHeight="1" x14ac:dyDescent="0.3">
      <c r="BD304" s="112" t="s">
        <v>1020</v>
      </c>
      <c r="BE304" s="90" t="s">
        <v>2246</v>
      </c>
      <c r="BF304" s="107">
        <v>1958</v>
      </c>
      <c r="BG304" s="107">
        <v>23496</v>
      </c>
      <c r="BH304" s="143">
        <v>44999</v>
      </c>
      <c r="BI304" s="107" t="s">
        <v>1591</v>
      </c>
      <c r="BJ304" s="108" t="s">
        <v>1592</v>
      </c>
      <c r="BK304" s="107" t="s">
        <v>1593</v>
      </c>
    </row>
    <row r="305" spans="56:63" ht="16.5" customHeight="1" x14ac:dyDescent="0.3">
      <c r="BD305" s="112" t="s">
        <v>1020</v>
      </c>
      <c r="BE305" s="90" t="s">
        <v>2247</v>
      </c>
      <c r="BF305" s="107">
        <v>1958</v>
      </c>
      <c r="BG305" s="107">
        <v>23496</v>
      </c>
      <c r="BH305" s="143">
        <v>44999</v>
      </c>
      <c r="BI305" s="107" t="s">
        <v>1591</v>
      </c>
      <c r="BJ305" s="108" t="s">
        <v>1830</v>
      </c>
      <c r="BK305" s="107" t="s">
        <v>1593</v>
      </c>
    </row>
    <row r="306" spans="56:63" ht="16.5" customHeight="1" x14ac:dyDescent="0.3">
      <c r="BD306" s="112" t="s">
        <v>854</v>
      </c>
      <c r="BE306" s="90" t="s">
        <v>2248</v>
      </c>
      <c r="BF306" s="107">
        <v>1815</v>
      </c>
      <c r="BG306" s="107">
        <v>21780</v>
      </c>
      <c r="BH306" s="143">
        <v>45000</v>
      </c>
      <c r="BI306" s="107" t="s">
        <v>1591</v>
      </c>
      <c r="BJ306" s="108" t="s">
        <v>313</v>
      </c>
      <c r="BK306" s="107" t="s">
        <v>1593</v>
      </c>
    </row>
    <row r="307" spans="56:63" ht="16.5" customHeight="1" x14ac:dyDescent="0.3">
      <c r="BD307" s="112" t="s">
        <v>330</v>
      </c>
      <c r="BE307" s="90" t="s">
        <v>2249</v>
      </c>
      <c r="BF307" s="107">
        <v>1533</v>
      </c>
      <c r="BG307" s="107">
        <v>22995</v>
      </c>
      <c r="BH307" s="143">
        <v>45000</v>
      </c>
      <c r="BI307" s="107" t="s">
        <v>1591</v>
      </c>
      <c r="BJ307" s="108" t="s">
        <v>1640</v>
      </c>
      <c r="BK307" s="107" t="s">
        <v>1593</v>
      </c>
    </row>
    <row r="308" spans="56:63" ht="16.5" customHeight="1" x14ac:dyDescent="0.3">
      <c r="BD308" s="112" t="s">
        <v>330</v>
      </c>
      <c r="BE308" s="90" t="s">
        <v>2250</v>
      </c>
      <c r="BF308" s="107">
        <v>1958</v>
      </c>
      <c r="BG308" s="107">
        <v>23496</v>
      </c>
      <c r="BH308" s="143">
        <v>45001</v>
      </c>
      <c r="BI308" s="107" t="s">
        <v>1591</v>
      </c>
      <c r="BJ308" s="108" t="s">
        <v>1592</v>
      </c>
      <c r="BK308" s="107" t="s">
        <v>1593</v>
      </c>
    </row>
    <row r="309" spans="56:63" ht="16.5" customHeight="1" x14ac:dyDescent="0.3">
      <c r="BD309" s="112" t="s">
        <v>423</v>
      </c>
      <c r="BE309" s="90" t="s">
        <v>2251</v>
      </c>
      <c r="BF309" s="107">
        <v>1958</v>
      </c>
      <c r="BG309" s="107">
        <v>23496</v>
      </c>
      <c r="BH309" s="143">
        <v>45001</v>
      </c>
      <c r="BI309" s="107" t="s">
        <v>1591</v>
      </c>
      <c r="BJ309" s="108" t="s">
        <v>1592</v>
      </c>
      <c r="BK309" s="107" t="s">
        <v>1593</v>
      </c>
    </row>
    <row r="310" spans="56:63" ht="16.5" customHeight="1" x14ac:dyDescent="0.3">
      <c r="BD310" s="112" t="s">
        <v>901</v>
      </c>
      <c r="BE310" s="90" t="s">
        <v>2252</v>
      </c>
      <c r="BF310" s="107">
        <v>1500</v>
      </c>
      <c r="BG310" s="107">
        <v>22500</v>
      </c>
      <c r="BH310" s="143">
        <v>45002</v>
      </c>
      <c r="BI310" s="107" t="s">
        <v>1591</v>
      </c>
      <c r="BJ310" s="108" t="s">
        <v>475</v>
      </c>
      <c r="BK310" s="107" t="s">
        <v>1593</v>
      </c>
    </row>
    <row r="311" spans="56:63" ht="16.5" customHeight="1" x14ac:dyDescent="0.3">
      <c r="BD311" s="112" t="s">
        <v>1384</v>
      </c>
      <c r="BE311" s="90" t="s">
        <v>2253</v>
      </c>
      <c r="BF311" s="107">
        <v>1916</v>
      </c>
      <c r="BG311" s="107">
        <v>22992</v>
      </c>
      <c r="BH311" s="143">
        <v>45002</v>
      </c>
      <c r="BI311" s="107" t="s">
        <v>1591</v>
      </c>
      <c r="BJ311" s="108" t="s">
        <v>2254</v>
      </c>
      <c r="BK311" s="107" t="s">
        <v>1593</v>
      </c>
    </row>
    <row r="312" spans="56:63" ht="16.5" customHeight="1" x14ac:dyDescent="0.3">
      <c r="BD312" s="112" t="s">
        <v>1384</v>
      </c>
      <c r="BE312" s="90" t="s">
        <v>2255</v>
      </c>
      <c r="BF312" s="107">
        <v>1916</v>
      </c>
      <c r="BG312" s="107">
        <v>22992</v>
      </c>
      <c r="BH312" s="143">
        <v>45002</v>
      </c>
      <c r="BI312" s="107" t="s">
        <v>1591</v>
      </c>
      <c r="BJ312" s="108" t="s">
        <v>2254</v>
      </c>
      <c r="BK312" s="107" t="s">
        <v>1593</v>
      </c>
    </row>
    <row r="313" spans="56:63" ht="16.5" customHeight="1" x14ac:dyDescent="0.3">
      <c r="BD313" s="112" t="s">
        <v>1020</v>
      </c>
      <c r="BE313" s="90" t="s">
        <v>2256</v>
      </c>
      <c r="BF313" s="107">
        <v>1860</v>
      </c>
      <c r="BG313" s="107">
        <v>22320</v>
      </c>
      <c r="BH313" s="143">
        <v>45002</v>
      </c>
      <c r="BI313" s="107" t="s">
        <v>1591</v>
      </c>
      <c r="BJ313" s="108" t="s">
        <v>1592</v>
      </c>
      <c r="BK313" s="107" t="s">
        <v>1593</v>
      </c>
    </row>
    <row r="314" spans="56:63" ht="16.5" customHeight="1" x14ac:dyDescent="0.3">
      <c r="BD314" s="112" t="s">
        <v>1384</v>
      </c>
      <c r="BE314" s="90" t="s">
        <v>2257</v>
      </c>
      <c r="BF314" s="107">
        <v>1916</v>
      </c>
      <c r="BG314" s="107">
        <v>22992</v>
      </c>
      <c r="BH314" s="143">
        <v>45002</v>
      </c>
      <c r="BI314" s="107" t="s">
        <v>1591</v>
      </c>
      <c r="BJ314" s="108" t="s">
        <v>1610</v>
      </c>
      <c r="BK314" s="107" t="s">
        <v>1593</v>
      </c>
    </row>
    <row r="315" spans="56:63" ht="16.5" customHeight="1" x14ac:dyDescent="0.3">
      <c r="BD315" s="112" t="s">
        <v>709</v>
      </c>
      <c r="BE315" s="90" t="s">
        <v>2258</v>
      </c>
      <c r="BF315" s="107">
        <v>1925</v>
      </c>
      <c r="BG315" s="107">
        <v>23100</v>
      </c>
      <c r="BH315" s="143">
        <v>45002</v>
      </c>
      <c r="BI315" s="107" t="s">
        <v>1591</v>
      </c>
      <c r="BJ315" s="108" t="s">
        <v>1743</v>
      </c>
      <c r="BK315" s="107" t="s">
        <v>1691</v>
      </c>
    </row>
    <row r="316" spans="56:63" ht="16.5" customHeight="1" x14ac:dyDescent="0.3">
      <c r="BD316" s="112" t="s">
        <v>1384</v>
      </c>
      <c r="BE316" s="90" t="s">
        <v>2259</v>
      </c>
      <c r="BF316" s="107">
        <v>1916</v>
      </c>
      <c r="BG316" s="107">
        <v>22992</v>
      </c>
      <c r="BH316" s="143">
        <v>45005</v>
      </c>
      <c r="BI316" s="107" t="s">
        <v>1591</v>
      </c>
      <c r="BJ316" s="108" t="s">
        <v>1610</v>
      </c>
      <c r="BK316" s="107" t="s">
        <v>1593</v>
      </c>
    </row>
    <row r="317" spans="56:63" ht="16.5" customHeight="1" x14ac:dyDescent="0.3">
      <c r="BD317" s="112" t="s">
        <v>1384</v>
      </c>
      <c r="BE317" s="90" t="s">
        <v>2260</v>
      </c>
      <c r="BF317" s="107">
        <v>1916</v>
      </c>
      <c r="BG317" s="107">
        <v>22992</v>
      </c>
      <c r="BH317" s="143">
        <v>45005</v>
      </c>
      <c r="BI317" s="107" t="s">
        <v>1591</v>
      </c>
      <c r="BJ317" s="108" t="s">
        <v>1610</v>
      </c>
      <c r="BK317" s="107" t="s">
        <v>1593</v>
      </c>
    </row>
    <row r="318" spans="56:63" ht="16.5" customHeight="1" x14ac:dyDescent="0.3">
      <c r="BD318" s="112" t="s">
        <v>854</v>
      </c>
      <c r="BE318" s="90" t="s">
        <v>2261</v>
      </c>
      <c r="BF318" s="107">
        <v>1980</v>
      </c>
      <c r="BG318" s="107">
        <v>23760</v>
      </c>
      <c r="BH318" s="143">
        <v>45005</v>
      </c>
      <c r="BI318" s="107" t="s">
        <v>1591</v>
      </c>
      <c r="BJ318" s="108" t="s">
        <v>2262</v>
      </c>
      <c r="BK318" s="107" t="s">
        <v>1593</v>
      </c>
    </row>
    <row r="319" spans="56:63" ht="16.5" customHeight="1" x14ac:dyDescent="0.3">
      <c r="BD319" s="112" t="s">
        <v>854</v>
      </c>
      <c r="BE319" s="90" t="s">
        <v>2263</v>
      </c>
      <c r="BF319" s="107">
        <v>1980</v>
      </c>
      <c r="BG319" s="107">
        <v>23760</v>
      </c>
      <c r="BH319" s="143">
        <v>45005</v>
      </c>
      <c r="BI319" s="107" t="s">
        <v>1591</v>
      </c>
      <c r="BJ319" s="108" t="s">
        <v>1864</v>
      </c>
      <c r="BK319" s="107" t="s">
        <v>1593</v>
      </c>
    </row>
    <row r="320" spans="56:63" ht="16.5" customHeight="1" x14ac:dyDescent="0.3">
      <c r="BD320" s="112" t="s">
        <v>537</v>
      </c>
      <c r="BE320" s="90" t="s">
        <v>2264</v>
      </c>
      <c r="BF320" s="107">
        <v>1917</v>
      </c>
      <c r="BG320" s="107">
        <v>23004</v>
      </c>
      <c r="BH320" s="143">
        <v>45005</v>
      </c>
      <c r="BI320" s="107" t="s">
        <v>1591</v>
      </c>
      <c r="BJ320" s="108" t="s">
        <v>1601</v>
      </c>
      <c r="BK320" s="107" t="s">
        <v>1593</v>
      </c>
    </row>
    <row r="321" spans="56:63" ht="16.5" customHeight="1" x14ac:dyDescent="0.3">
      <c r="BD321" s="112" t="s">
        <v>791</v>
      </c>
      <c r="BE321" s="90" t="s">
        <v>2265</v>
      </c>
      <c r="BF321" s="107">
        <v>1980</v>
      </c>
      <c r="BG321" s="107">
        <v>23760</v>
      </c>
      <c r="BH321" s="143">
        <v>45005</v>
      </c>
      <c r="BI321" s="107" t="s">
        <v>1591</v>
      </c>
      <c r="BJ321" s="108" t="s">
        <v>1728</v>
      </c>
      <c r="BK321" s="107" t="s">
        <v>1593</v>
      </c>
    </row>
    <row r="322" spans="56:63" ht="16.5" customHeight="1" x14ac:dyDescent="0.3">
      <c r="BD322" s="112" t="s">
        <v>1899</v>
      </c>
      <c r="BE322" s="90" t="s">
        <v>2266</v>
      </c>
      <c r="BF322" s="107">
        <v>1960</v>
      </c>
      <c r="BG322" s="107">
        <v>23520</v>
      </c>
      <c r="BH322" s="143">
        <v>45005</v>
      </c>
      <c r="BI322" s="107" t="s">
        <v>1591</v>
      </c>
      <c r="BJ322" s="108" t="s">
        <v>1601</v>
      </c>
      <c r="BK322" s="107" t="s">
        <v>1593</v>
      </c>
    </row>
    <row r="323" spans="56:63" ht="16.5" customHeight="1" x14ac:dyDescent="0.3">
      <c r="BD323" s="112" t="s">
        <v>1303</v>
      </c>
      <c r="BE323" s="90" t="s">
        <v>2267</v>
      </c>
      <c r="BF323" s="107">
        <v>1958</v>
      </c>
      <c r="BG323" s="107">
        <v>23496</v>
      </c>
      <c r="BH323" s="143">
        <v>45005</v>
      </c>
      <c r="BI323" s="107" t="s">
        <v>1591</v>
      </c>
      <c r="BJ323" s="108" t="s">
        <v>1592</v>
      </c>
      <c r="BK323" s="107" t="s">
        <v>1593</v>
      </c>
    </row>
    <row r="324" spans="56:63" ht="16.5" customHeight="1" x14ac:dyDescent="0.3">
      <c r="BD324" s="112" t="s">
        <v>1303</v>
      </c>
      <c r="BE324" s="90" t="s">
        <v>2268</v>
      </c>
      <c r="BF324" s="107">
        <v>1958</v>
      </c>
      <c r="BG324" s="107">
        <v>23496</v>
      </c>
      <c r="BH324" s="143">
        <v>45005</v>
      </c>
      <c r="BI324" s="107" t="s">
        <v>1591</v>
      </c>
      <c r="BJ324" s="108" t="s">
        <v>1592</v>
      </c>
      <c r="BK324" s="107" t="s">
        <v>1593</v>
      </c>
    </row>
    <row r="325" spans="56:63" ht="16.5" customHeight="1" x14ac:dyDescent="0.3">
      <c r="BD325" s="112" t="s">
        <v>1020</v>
      </c>
      <c r="BE325" s="90" t="s">
        <v>2269</v>
      </c>
      <c r="BF325" s="107">
        <v>1827</v>
      </c>
      <c r="BG325" s="107">
        <v>21924</v>
      </c>
      <c r="BH325" s="143">
        <v>45005</v>
      </c>
      <c r="BI325" s="107" t="s">
        <v>1591</v>
      </c>
      <c r="BJ325" s="108" t="s">
        <v>1592</v>
      </c>
      <c r="BK325" s="107" t="s">
        <v>1593</v>
      </c>
    </row>
    <row r="326" spans="56:63" ht="16.5" customHeight="1" x14ac:dyDescent="0.3">
      <c r="BD326" s="112" t="s">
        <v>1020</v>
      </c>
      <c r="BE326" s="90" t="s">
        <v>2270</v>
      </c>
      <c r="BF326" s="107">
        <v>1859</v>
      </c>
      <c r="BG326" s="107">
        <v>22308</v>
      </c>
      <c r="BH326" s="143">
        <v>45005</v>
      </c>
      <c r="BI326" s="107" t="s">
        <v>1591</v>
      </c>
      <c r="BJ326" s="108" t="s">
        <v>1592</v>
      </c>
      <c r="BK326" s="107" t="s">
        <v>1593</v>
      </c>
    </row>
    <row r="327" spans="56:63" ht="16.5" customHeight="1" x14ac:dyDescent="0.3">
      <c r="BD327" s="112" t="s">
        <v>1020</v>
      </c>
      <c r="BE327" s="90" t="s">
        <v>2271</v>
      </c>
      <c r="BF327" s="107">
        <v>1953</v>
      </c>
      <c r="BG327" s="107">
        <v>23436</v>
      </c>
      <c r="BH327" s="143">
        <v>45007</v>
      </c>
      <c r="BI327" s="107" t="s">
        <v>1591</v>
      </c>
      <c r="BJ327" s="108" t="s">
        <v>1592</v>
      </c>
      <c r="BK327" s="107" t="s">
        <v>1593</v>
      </c>
    </row>
    <row r="328" spans="56:63" ht="16.5" customHeight="1" x14ac:dyDescent="0.3">
      <c r="BD328" s="112" t="s">
        <v>1020</v>
      </c>
      <c r="BE328" s="90" t="s">
        <v>2272</v>
      </c>
      <c r="BF328" s="107">
        <v>1842</v>
      </c>
      <c r="BG328" s="107">
        <v>22104</v>
      </c>
      <c r="BH328" s="143">
        <v>45007</v>
      </c>
      <c r="BI328" s="107" t="s">
        <v>1591</v>
      </c>
      <c r="BJ328" s="108" t="s">
        <v>1592</v>
      </c>
      <c r="BK328" s="107" t="s">
        <v>1593</v>
      </c>
    </row>
    <row r="329" spans="56:63" ht="16.5" customHeight="1" x14ac:dyDescent="0.3">
      <c r="BD329" s="112" t="s">
        <v>1303</v>
      </c>
      <c r="BE329" s="90" t="s">
        <v>2273</v>
      </c>
      <c r="BF329" s="107">
        <v>1958</v>
      </c>
      <c r="BG329" s="107">
        <v>23496</v>
      </c>
      <c r="BH329" s="143">
        <v>45007</v>
      </c>
      <c r="BI329" s="107" t="s">
        <v>1591</v>
      </c>
      <c r="BJ329" s="108" t="s">
        <v>1592</v>
      </c>
      <c r="BK329" s="107" t="s">
        <v>1593</v>
      </c>
    </row>
    <row r="330" spans="56:63" ht="16.5" customHeight="1" x14ac:dyDescent="0.3">
      <c r="BD330" s="112" t="s">
        <v>330</v>
      </c>
      <c r="BE330" s="90" t="s">
        <v>2274</v>
      </c>
      <c r="BF330" s="107">
        <v>1940</v>
      </c>
      <c r="BG330" s="107">
        <v>23280</v>
      </c>
      <c r="BH330" s="143">
        <v>45007</v>
      </c>
      <c r="BI330" s="107" t="s">
        <v>1591</v>
      </c>
      <c r="BJ330" s="108" t="s">
        <v>1864</v>
      </c>
      <c r="BK330" s="107" t="s">
        <v>1593</v>
      </c>
    </row>
    <row r="331" spans="56:63" ht="16.5" customHeight="1" x14ac:dyDescent="0.3">
      <c r="BD331" s="112" t="s">
        <v>330</v>
      </c>
      <c r="BE331" s="90" t="s">
        <v>2275</v>
      </c>
      <c r="BF331" s="107">
        <v>1980</v>
      </c>
      <c r="BG331" s="107">
        <v>23760</v>
      </c>
      <c r="BH331" s="143">
        <v>45007</v>
      </c>
      <c r="BI331" s="107" t="s">
        <v>1591</v>
      </c>
      <c r="BJ331" s="108" t="s">
        <v>1728</v>
      </c>
      <c r="BK331" s="107" t="s">
        <v>1593</v>
      </c>
    </row>
    <row r="332" spans="56:63" ht="16.5" customHeight="1" x14ac:dyDescent="0.3">
      <c r="BD332" s="112" t="s">
        <v>1303</v>
      </c>
      <c r="BE332" s="90" t="s">
        <v>2276</v>
      </c>
      <c r="BF332" s="107">
        <v>1958</v>
      </c>
      <c r="BG332" s="107">
        <v>23496</v>
      </c>
      <c r="BH332" s="143">
        <v>45007</v>
      </c>
      <c r="BI332" s="107" t="s">
        <v>1591</v>
      </c>
      <c r="BJ332" s="108" t="s">
        <v>1592</v>
      </c>
      <c r="BK332" s="107" t="s">
        <v>1593</v>
      </c>
    </row>
    <row r="333" spans="56:63" ht="16.5" customHeight="1" x14ac:dyDescent="0.3">
      <c r="BD333" s="112" t="s">
        <v>1020</v>
      </c>
      <c r="BE333" s="90" t="s">
        <v>2277</v>
      </c>
      <c r="BF333" s="107">
        <v>1909</v>
      </c>
      <c r="BG333" s="107">
        <v>22908</v>
      </c>
      <c r="BH333" s="143">
        <v>45008</v>
      </c>
      <c r="BI333" s="107" t="s">
        <v>1591</v>
      </c>
      <c r="BJ333" s="108" t="s">
        <v>1592</v>
      </c>
      <c r="BK333" s="107" t="s">
        <v>1593</v>
      </c>
    </row>
    <row r="334" spans="56:63" ht="16.5" customHeight="1" x14ac:dyDescent="0.3">
      <c r="BD334" s="112" t="s">
        <v>1384</v>
      </c>
      <c r="BE334" s="90" t="s">
        <v>2278</v>
      </c>
      <c r="BF334" s="107">
        <v>1916</v>
      </c>
      <c r="BG334" s="107">
        <v>22992</v>
      </c>
      <c r="BH334" s="143">
        <v>45009</v>
      </c>
      <c r="BI334" s="107" t="s">
        <v>1591</v>
      </c>
      <c r="BJ334" s="108" t="s">
        <v>1610</v>
      </c>
      <c r="BK334" s="107" t="s">
        <v>1593</v>
      </c>
    </row>
    <row r="335" spans="56:63" ht="16.5" customHeight="1" x14ac:dyDescent="0.3">
      <c r="BD335" s="112" t="s">
        <v>1384</v>
      </c>
      <c r="BE335" s="90" t="s">
        <v>2279</v>
      </c>
      <c r="BF335" s="107">
        <v>1916</v>
      </c>
      <c r="BG335" s="107">
        <v>22992</v>
      </c>
      <c r="BH335" s="143">
        <v>45009</v>
      </c>
      <c r="BI335" s="107" t="s">
        <v>1591</v>
      </c>
      <c r="BJ335" s="108" t="s">
        <v>1610</v>
      </c>
      <c r="BK335" s="107" t="s">
        <v>1593</v>
      </c>
    </row>
    <row r="336" spans="56:63" ht="16.5" customHeight="1" x14ac:dyDescent="0.3">
      <c r="BD336" s="112" t="s">
        <v>1020</v>
      </c>
      <c r="BE336" s="90" t="s">
        <v>2280</v>
      </c>
      <c r="BF336" s="107">
        <v>1958</v>
      </c>
      <c r="BG336" s="107">
        <v>23496</v>
      </c>
      <c r="BH336" s="143">
        <v>45009</v>
      </c>
      <c r="BI336" s="107" t="s">
        <v>1591</v>
      </c>
      <c r="BJ336" s="108" t="s">
        <v>1592</v>
      </c>
      <c r="BK336" s="107" t="s">
        <v>1593</v>
      </c>
    </row>
    <row r="337" spans="56:63" ht="16.5" customHeight="1" x14ac:dyDescent="0.3">
      <c r="BD337" s="112" t="s">
        <v>1020</v>
      </c>
      <c r="BE337" s="90" t="s">
        <v>2281</v>
      </c>
      <c r="BF337" s="107">
        <v>1958</v>
      </c>
      <c r="BG337" s="107">
        <v>23496</v>
      </c>
      <c r="BH337" s="143">
        <v>45009</v>
      </c>
      <c r="BI337" s="107" t="s">
        <v>1591</v>
      </c>
      <c r="BJ337" s="108" t="s">
        <v>1592</v>
      </c>
      <c r="BK337" s="107" t="s">
        <v>1593</v>
      </c>
    </row>
    <row r="338" spans="56:63" ht="16.5" customHeight="1" x14ac:dyDescent="0.3">
      <c r="BD338" s="112" t="s">
        <v>1303</v>
      </c>
      <c r="BE338" s="90" t="s">
        <v>2282</v>
      </c>
      <c r="BF338" s="107">
        <v>1958</v>
      </c>
      <c r="BG338" s="107">
        <v>23496</v>
      </c>
      <c r="BH338" s="143">
        <v>45009</v>
      </c>
      <c r="BI338" s="107" t="s">
        <v>1591</v>
      </c>
      <c r="BJ338" s="108" t="s">
        <v>1592</v>
      </c>
      <c r="BK338" s="107" t="s">
        <v>1593</v>
      </c>
    </row>
    <row r="339" spans="56:63" ht="16.5" customHeight="1" x14ac:dyDescent="0.3">
      <c r="BD339" s="112" t="s">
        <v>1303</v>
      </c>
      <c r="BE339" s="90" t="s">
        <v>2283</v>
      </c>
      <c r="BF339" s="107">
        <v>1958</v>
      </c>
      <c r="BG339" s="107">
        <v>23496</v>
      </c>
      <c r="BH339" s="143">
        <v>45009</v>
      </c>
      <c r="BI339" s="107" t="s">
        <v>1591</v>
      </c>
      <c r="BJ339" s="108" t="s">
        <v>1592</v>
      </c>
      <c r="BK339" s="107" t="s">
        <v>1593</v>
      </c>
    </row>
    <row r="340" spans="56:63" ht="16.5" customHeight="1" x14ac:dyDescent="0.3">
      <c r="BD340" s="112" t="s">
        <v>1398</v>
      </c>
      <c r="BE340" s="90" t="s">
        <v>2284</v>
      </c>
      <c r="BF340" s="107">
        <v>1960</v>
      </c>
      <c r="BG340" s="107">
        <v>23520</v>
      </c>
      <c r="BH340" s="143">
        <v>45012</v>
      </c>
      <c r="BI340" s="107" t="s">
        <v>1591</v>
      </c>
      <c r="BJ340" s="108" t="s">
        <v>1601</v>
      </c>
      <c r="BK340" s="107" t="s">
        <v>1593</v>
      </c>
    </row>
    <row r="341" spans="56:63" ht="16.5" customHeight="1" x14ac:dyDescent="0.3">
      <c r="BD341" s="112" t="s">
        <v>537</v>
      </c>
      <c r="BE341" s="90" t="s">
        <v>2285</v>
      </c>
      <c r="BF341" s="107">
        <v>1960</v>
      </c>
      <c r="BG341" s="107">
        <v>23520</v>
      </c>
      <c r="BH341" s="143">
        <v>45012</v>
      </c>
      <c r="BI341" s="107" t="s">
        <v>1591</v>
      </c>
      <c r="BJ341" s="108" t="s">
        <v>1601</v>
      </c>
      <c r="BK341" s="107" t="s">
        <v>1593</v>
      </c>
    </row>
    <row r="342" spans="56:63" ht="16.5" customHeight="1" x14ac:dyDescent="0.3">
      <c r="BD342" s="112" t="s">
        <v>854</v>
      </c>
      <c r="BE342" s="90" t="s">
        <v>2286</v>
      </c>
      <c r="BF342" s="107">
        <v>1815</v>
      </c>
      <c r="BG342" s="107">
        <v>21780</v>
      </c>
      <c r="BH342" s="143">
        <v>45012</v>
      </c>
      <c r="BI342" s="107" t="s">
        <v>1591</v>
      </c>
      <c r="BJ342" s="108" t="s">
        <v>313</v>
      </c>
      <c r="BK342" s="107" t="s">
        <v>1593</v>
      </c>
    </row>
    <row r="343" spans="56:63" ht="16.5" customHeight="1" x14ac:dyDescent="0.3">
      <c r="BD343" s="112" t="s">
        <v>1384</v>
      </c>
      <c r="BE343" s="90" t="s">
        <v>2287</v>
      </c>
      <c r="BF343" s="107">
        <v>1916</v>
      </c>
      <c r="BG343" s="107">
        <v>22992</v>
      </c>
      <c r="BH343" s="143">
        <v>45012</v>
      </c>
      <c r="BI343" s="107" t="s">
        <v>1591</v>
      </c>
      <c r="BJ343" s="108" t="s">
        <v>1610</v>
      </c>
      <c r="BK343" s="107" t="s">
        <v>1593</v>
      </c>
    </row>
    <row r="344" spans="56:63" ht="16.5" customHeight="1" x14ac:dyDescent="0.3">
      <c r="BD344" s="112" t="s">
        <v>709</v>
      </c>
      <c r="BE344" s="90" t="s">
        <v>2288</v>
      </c>
      <c r="BF344" s="107">
        <v>1925</v>
      </c>
      <c r="BG344" s="107">
        <v>23100</v>
      </c>
      <c r="BH344" s="143">
        <v>45012</v>
      </c>
      <c r="BI344" s="107" t="s">
        <v>1591</v>
      </c>
      <c r="BJ344" s="108" t="s">
        <v>541</v>
      </c>
      <c r="BK344" s="107" t="s">
        <v>1691</v>
      </c>
    </row>
    <row r="345" spans="56:63" ht="16.5" customHeight="1" x14ac:dyDescent="0.3">
      <c r="BD345" s="112" t="s">
        <v>901</v>
      </c>
      <c r="BE345" s="90" t="s">
        <v>2289</v>
      </c>
      <c r="BF345" s="107">
        <v>1500</v>
      </c>
      <c r="BG345" s="107">
        <v>22500</v>
      </c>
      <c r="BH345" s="143">
        <v>45013</v>
      </c>
      <c r="BI345" s="107" t="s">
        <v>1591</v>
      </c>
      <c r="BJ345" s="108" t="s">
        <v>475</v>
      </c>
      <c r="BK345" s="107" t="s">
        <v>1593</v>
      </c>
    </row>
    <row r="346" spans="56:63" ht="16.5" customHeight="1" x14ac:dyDescent="0.3">
      <c r="BD346" s="112" t="s">
        <v>854</v>
      </c>
      <c r="BE346" s="90" t="s">
        <v>2290</v>
      </c>
      <c r="BF346" s="107">
        <v>1815</v>
      </c>
      <c r="BG346" s="107">
        <v>21780</v>
      </c>
      <c r="BH346" s="143">
        <v>45013</v>
      </c>
      <c r="BI346" s="107" t="s">
        <v>1591</v>
      </c>
      <c r="BJ346" s="108" t="s">
        <v>313</v>
      </c>
      <c r="BK346" s="107" t="s">
        <v>1593</v>
      </c>
    </row>
    <row r="347" spans="56:63" ht="16.5" customHeight="1" x14ac:dyDescent="0.3">
      <c r="BD347" s="112" t="s">
        <v>537</v>
      </c>
      <c r="BE347" s="90" t="s">
        <v>2291</v>
      </c>
      <c r="BF347" s="107">
        <v>1960</v>
      </c>
      <c r="BG347" s="107">
        <v>23520</v>
      </c>
      <c r="BH347" s="143">
        <v>45014</v>
      </c>
      <c r="BI347" s="107" t="s">
        <v>1591</v>
      </c>
      <c r="BJ347" s="108" t="s">
        <v>1601</v>
      </c>
      <c r="BK347" s="107" t="s">
        <v>1593</v>
      </c>
    </row>
    <row r="348" spans="56:63" ht="16.5" customHeight="1" x14ac:dyDescent="0.3">
      <c r="BD348" s="112" t="s">
        <v>537</v>
      </c>
      <c r="BE348" s="90" t="s">
        <v>2292</v>
      </c>
      <c r="BF348" s="107">
        <v>1960</v>
      </c>
      <c r="BG348" s="107">
        <v>23520</v>
      </c>
      <c r="BH348" s="143">
        <v>45014</v>
      </c>
      <c r="BI348" s="107" t="s">
        <v>1591</v>
      </c>
      <c r="BJ348" s="108" t="s">
        <v>1601</v>
      </c>
      <c r="BK348" s="107" t="s">
        <v>1593</v>
      </c>
    </row>
    <row r="349" spans="56:63" ht="16.5" customHeight="1" x14ac:dyDescent="0.3">
      <c r="BD349" s="112" t="s">
        <v>1020</v>
      </c>
      <c r="BE349" s="90" t="s">
        <v>2293</v>
      </c>
      <c r="BF349" s="107">
        <v>1952</v>
      </c>
      <c r="BG349" s="107">
        <v>23424</v>
      </c>
      <c r="BH349" s="143">
        <v>45015</v>
      </c>
      <c r="BI349" s="107" t="s">
        <v>1591</v>
      </c>
      <c r="BJ349" s="108" t="s">
        <v>1592</v>
      </c>
      <c r="BK349" s="107" t="s">
        <v>1593</v>
      </c>
    </row>
    <row r="350" spans="56:63" ht="16.5" customHeight="1" x14ac:dyDescent="0.3">
      <c r="BD350" s="112" t="s">
        <v>537</v>
      </c>
      <c r="BE350" s="90" t="s">
        <v>2294</v>
      </c>
      <c r="BF350" s="107">
        <v>1925</v>
      </c>
      <c r="BG350" s="107">
        <v>23100</v>
      </c>
      <c r="BH350" s="143">
        <v>45015</v>
      </c>
      <c r="BI350" s="107" t="s">
        <v>1591</v>
      </c>
      <c r="BJ350" s="108" t="s">
        <v>2295</v>
      </c>
      <c r="BK350" s="107" t="s">
        <v>1691</v>
      </c>
    </row>
    <row r="351" spans="56:63" ht="16.5" customHeight="1" x14ac:dyDescent="0.3">
      <c r="BD351" s="112" t="s">
        <v>1384</v>
      </c>
      <c r="BE351" s="90" t="s">
        <v>2296</v>
      </c>
      <c r="BF351" s="107">
        <v>1916</v>
      </c>
      <c r="BG351" s="107">
        <v>22992</v>
      </c>
      <c r="BH351" s="143">
        <v>45015</v>
      </c>
      <c r="BI351" s="107" t="s">
        <v>1591</v>
      </c>
      <c r="BJ351" s="108" t="s">
        <v>1610</v>
      </c>
      <c r="BK351" s="107" t="s">
        <v>1593</v>
      </c>
    </row>
    <row r="352" spans="56:63" ht="16.5" customHeight="1" x14ac:dyDescent="0.3">
      <c r="BD352" s="112" t="s">
        <v>1384</v>
      </c>
      <c r="BE352" s="90" t="s">
        <v>2297</v>
      </c>
      <c r="BF352" s="107">
        <v>1916</v>
      </c>
      <c r="BG352" s="107">
        <v>22992</v>
      </c>
      <c r="BH352" s="143">
        <v>45015</v>
      </c>
      <c r="BI352" s="107" t="s">
        <v>1591</v>
      </c>
      <c r="BJ352" s="108" t="s">
        <v>1610</v>
      </c>
      <c r="BK352" s="107" t="s">
        <v>1593</v>
      </c>
    </row>
    <row r="353" spans="56:63" ht="16.5" customHeight="1" x14ac:dyDescent="0.3">
      <c r="BD353" s="112" t="s">
        <v>1020</v>
      </c>
      <c r="BE353" s="90" t="s">
        <v>2298</v>
      </c>
      <c r="BF353" s="107">
        <v>1958</v>
      </c>
      <c r="BG353" s="107">
        <v>23496</v>
      </c>
      <c r="BH353" s="143">
        <v>45015</v>
      </c>
      <c r="BI353" s="107" t="s">
        <v>1591</v>
      </c>
      <c r="BJ353" s="108" t="s">
        <v>1830</v>
      </c>
      <c r="BK353" s="107" t="s">
        <v>1593</v>
      </c>
    </row>
    <row r="354" spans="56:63" ht="16.5" customHeight="1" x14ac:dyDescent="0.3">
      <c r="BD354" s="112" t="s">
        <v>1020</v>
      </c>
      <c r="BE354" s="90" t="s">
        <v>2299</v>
      </c>
      <c r="BF354" s="107">
        <v>1958</v>
      </c>
      <c r="BG354" s="107">
        <v>23496</v>
      </c>
      <c r="BH354" s="143">
        <v>45015</v>
      </c>
      <c r="BI354" s="107" t="s">
        <v>1591</v>
      </c>
      <c r="BJ354" s="108" t="s">
        <v>1830</v>
      </c>
      <c r="BK354" s="107" t="s">
        <v>1593</v>
      </c>
    </row>
    <row r="355" spans="56:63" ht="16.5" customHeight="1" x14ac:dyDescent="0.3">
      <c r="BD355" s="112" t="s">
        <v>2300</v>
      </c>
      <c r="BE355" s="90" t="s">
        <v>2301</v>
      </c>
      <c r="BF355" s="107">
        <v>1960</v>
      </c>
      <c r="BG355" s="107">
        <v>23520</v>
      </c>
      <c r="BH355" s="143">
        <v>45016</v>
      </c>
      <c r="BI355" s="107" t="s">
        <v>1591</v>
      </c>
      <c r="BJ355" s="108"/>
      <c r="BK355" s="107" t="s">
        <v>1593</v>
      </c>
    </row>
    <row r="356" spans="56:63" ht="16.5" customHeight="1" x14ac:dyDescent="0.3">
      <c r="BD356" s="112" t="s">
        <v>1020</v>
      </c>
      <c r="BE356" s="90" t="s">
        <v>2302</v>
      </c>
      <c r="BF356" s="107">
        <v>1958</v>
      </c>
      <c r="BG356" s="107">
        <v>23496</v>
      </c>
      <c r="BH356" s="143">
        <v>45016</v>
      </c>
      <c r="BI356" s="107" t="s">
        <v>1591</v>
      </c>
      <c r="BJ356" s="108" t="s">
        <v>1592</v>
      </c>
      <c r="BK356" s="107" t="s">
        <v>1593</v>
      </c>
    </row>
    <row r="357" spans="56:63" ht="16.5" customHeight="1" x14ac:dyDescent="0.3">
      <c r="BD357" s="112" t="s">
        <v>1303</v>
      </c>
      <c r="BE357" s="90" t="s">
        <v>2303</v>
      </c>
      <c r="BF357" s="107">
        <v>1958</v>
      </c>
      <c r="BG357" s="107">
        <v>23496</v>
      </c>
      <c r="BH357" s="143">
        <v>45016</v>
      </c>
      <c r="BI357" s="107" t="s">
        <v>1591</v>
      </c>
      <c r="BJ357" s="108"/>
      <c r="BK357" s="107" t="s">
        <v>1593</v>
      </c>
    </row>
    <row r="358" spans="56:63" ht="16.5" customHeight="1" x14ac:dyDescent="0.3">
      <c r="BD358" s="112" t="s">
        <v>1020</v>
      </c>
      <c r="BE358" s="90" t="s">
        <v>2304</v>
      </c>
      <c r="BF358" s="107">
        <v>1839</v>
      </c>
      <c r="BG358" s="107">
        <v>22068</v>
      </c>
      <c r="BH358" s="143">
        <v>45016</v>
      </c>
      <c r="BI358" s="107" t="s">
        <v>1591</v>
      </c>
      <c r="BJ358" s="108" t="s">
        <v>1592</v>
      </c>
      <c r="BK358" s="107" t="s">
        <v>1593</v>
      </c>
    </row>
    <row r="359" spans="56:63" ht="16.5" customHeight="1" x14ac:dyDescent="0.3">
      <c r="BD359" s="112" t="s">
        <v>1020</v>
      </c>
      <c r="BE359" s="90" t="s">
        <v>2305</v>
      </c>
      <c r="BF359" s="107">
        <v>1958</v>
      </c>
      <c r="BG359" s="107">
        <v>23496</v>
      </c>
      <c r="BH359" s="143">
        <v>45016</v>
      </c>
      <c r="BI359" s="107" t="s">
        <v>1591</v>
      </c>
      <c r="BJ359" s="108" t="s">
        <v>1592</v>
      </c>
      <c r="BK359" s="107" t="s">
        <v>1593</v>
      </c>
    </row>
    <row r="360" spans="56:63" ht="16.5" customHeight="1" x14ac:dyDescent="0.3">
      <c r="BD360" s="134" t="s">
        <v>1008</v>
      </c>
      <c r="BE360" s="113" t="s">
        <v>2306</v>
      </c>
      <c r="BF360" s="229">
        <v>1916</v>
      </c>
      <c r="BG360" s="230">
        <v>22992</v>
      </c>
      <c r="BH360" s="143">
        <v>45019</v>
      </c>
      <c r="BI360" s="198" t="s">
        <v>583</v>
      </c>
      <c r="BJ360" s="199" t="s">
        <v>2307</v>
      </c>
      <c r="BK360" s="201" t="s">
        <v>1371</v>
      </c>
    </row>
    <row r="361" spans="56:63" ht="16.5" customHeight="1" x14ac:dyDescent="0.3">
      <c r="BD361" s="134" t="s">
        <v>350</v>
      </c>
      <c r="BE361" s="113" t="s">
        <v>2308</v>
      </c>
      <c r="BF361" s="229">
        <v>2300</v>
      </c>
      <c r="BG361" s="230">
        <v>23000</v>
      </c>
      <c r="BH361" s="143">
        <v>45020</v>
      </c>
      <c r="BI361" s="198" t="s">
        <v>583</v>
      </c>
      <c r="BJ361" s="199" t="s">
        <v>1125</v>
      </c>
      <c r="BK361" s="201" t="s">
        <v>2309</v>
      </c>
    </row>
    <row r="362" spans="56:63" ht="16.5" customHeight="1" x14ac:dyDescent="0.3">
      <c r="BD362" s="134" t="s">
        <v>330</v>
      </c>
      <c r="BE362" s="113" t="s">
        <v>2310</v>
      </c>
      <c r="BF362" s="229">
        <v>1916</v>
      </c>
      <c r="BG362" s="230">
        <v>22992</v>
      </c>
      <c r="BH362" s="143">
        <v>45022</v>
      </c>
      <c r="BI362" s="198" t="s">
        <v>583</v>
      </c>
      <c r="BJ362" s="134" t="s">
        <v>2311</v>
      </c>
      <c r="BK362" s="201" t="s">
        <v>1371</v>
      </c>
    </row>
    <row r="363" spans="56:63" ht="16.5" customHeight="1" x14ac:dyDescent="0.3">
      <c r="BD363" s="134" t="s">
        <v>920</v>
      </c>
      <c r="BE363" s="113" t="s">
        <v>2312</v>
      </c>
      <c r="BF363" s="229">
        <v>1568</v>
      </c>
      <c r="BG363" s="230">
        <v>23520</v>
      </c>
      <c r="BH363" s="143">
        <v>45023</v>
      </c>
      <c r="BI363" s="198" t="s">
        <v>583</v>
      </c>
      <c r="BJ363" s="134" t="s">
        <v>2313</v>
      </c>
      <c r="BK363" s="201" t="s">
        <v>1371</v>
      </c>
    </row>
    <row r="364" spans="56:63" ht="16.5" customHeight="1" x14ac:dyDescent="0.3">
      <c r="BD364" s="134" t="s">
        <v>1008</v>
      </c>
      <c r="BE364" s="113" t="s">
        <v>2314</v>
      </c>
      <c r="BF364" s="229">
        <v>1916</v>
      </c>
      <c r="BG364" s="230">
        <v>22992</v>
      </c>
      <c r="BH364" s="143">
        <v>45023</v>
      </c>
      <c r="BI364" s="198" t="s">
        <v>583</v>
      </c>
      <c r="BJ364" s="199" t="s">
        <v>2307</v>
      </c>
      <c r="BK364" s="201" t="s">
        <v>1371</v>
      </c>
    </row>
    <row r="365" spans="56:63" ht="16.5" customHeight="1" x14ac:dyDescent="0.3">
      <c r="BD365" s="134" t="s">
        <v>1008</v>
      </c>
      <c r="BE365" s="113" t="s">
        <v>2315</v>
      </c>
      <c r="BF365" s="229">
        <v>1916</v>
      </c>
      <c r="BG365" s="230">
        <v>22992</v>
      </c>
      <c r="BH365" s="143">
        <v>45023</v>
      </c>
      <c r="BI365" s="198" t="s">
        <v>583</v>
      </c>
      <c r="BJ365" s="134" t="s">
        <v>2307</v>
      </c>
      <c r="BK365" s="201" t="s">
        <v>1371</v>
      </c>
    </row>
    <row r="366" spans="56:63" ht="16.5" customHeight="1" x14ac:dyDescent="0.3">
      <c r="BD366" s="134" t="s">
        <v>330</v>
      </c>
      <c r="BE366" s="113" t="s">
        <v>2316</v>
      </c>
      <c r="BF366" s="229">
        <v>1916</v>
      </c>
      <c r="BG366" s="161">
        <v>22992</v>
      </c>
      <c r="BH366" s="143">
        <v>45030</v>
      </c>
      <c r="BI366" s="198" t="s">
        <v>583</v>
      </c>
      <c r="BJ366" s="199" t="s">
        <v>2311</v>
      </c>
      <c r="BK366" s="201" t="s">
        <v>1371</v>
      </c>
    </row>
    <row r="367" spans="56:63" ht="16.5" customHeight="1" x14ac:dyDescent="0.3">
      <c r="BD367" s="134" t="s">
        <v>920</v>
      </c>
      <c r="BE367" s="113" t="s">
        <v>2317</v>
      </c>
      <c r="BF367" s="229">
        <v>1568</v>
      </c>
      <c r="BG367" s="230">
        <v>23520</v>
      </c>
      <c r="BH367" s="143">
        <v>45036</v>
      </c>
      <c r="BI367" s="198" t="s">
        <v>583</v>
      </c>
      <c r="BJ367" s="199" t="s">
        <v>2318</v>
      </c>
      <c r="BK367" s="201" t="s">
        <v>1371</v>
      </c>
    </row>
    <row r="368" spans="56:63" ht="16.5" customHeight="1" x14ac:dyDescent="0.3">
      <c r="BD368" s="134" t="s">
        <v>989</v>
      </c>
      <c r="BE368" s="113" t="s">
        <v>2319</v>
      </c>
      <c r="BF368" s="229">
        <v>1952</v>
      </c>
      <c r="BG368" s="230">
        <v>23424</v>
      </c>
      <c r="BH368" s="143">
        <v>45044</v>
      </c>
      <c r="BI368" s="198" t="s">
        <v>583</v>
      </c>
      <c r="BJ368" s="134" t="s">
        <v>2320</v>
      </c>
      <c r="BK368" s="201" t="s">
        <v>1371</v>
      </c>
    </row>
    <row r="369" spans="56:63" ht="16.5" customHeight="1" x14ac:dyDescent="0.3">
      <c r="BD369" s="134" t="s">
        <v>350</v>
      </c>
      <c r="BE369" s="113" t="s">
        <v>2321</v>
      </c>
      <c r="BF369" s="229">
        <v>2300</v>
      </c>
      <c r="BG369" s="230">
        <v>23000</v>
      </c>
      <c r="BH369" s="143">
        <v>45049</v>
      </c>
      <c r="BI369" s="198" t="s">
        <v>583</v>
      </c>
      <c r="BJ369" s="134" t="s">
        <v>1125</v>
      </c>
      <c r="BK369" s="201" t="s">
        <v>2309</v>
      </c>
    </row>
    <row r="370" spans="56:63" ht="16.5" customHeight="1" x14ac:dyDescent="0.3">
      <c r="BD370" s="134" t="s">
        <v>330</v>
      </c>
      <c r="BE370" s="113" t="s">
        <v>2322</v>
      </c>
      <c r="BF370" s="229">
        <v>1916</v>
      </c>
      <c r="BG370" s="230">
        <v>22992</v>
      </c>
      <c r="BH370" s="143">
        <v>45062</v>
      </c>
      <c r="BI370" s="198" t="s">
        <v>583</v>
      </c>
      <c r="BJ370" s="199" t="s">
        <v>2323</v>
      </c>
      <c r="BK370" s="201" t="s">
        <v>1371</v>
      </c>
    </row>
    <row r="371" spans="56:63" ht="16.5" customHeight="1" x14ac:dyDescent="0.3">
      <c r="BD371" s="134" t="s">
        <v>350</v>
      </c>
      <c r="BE371" s="113" t="s">
        <v>2324</v>
      </c>
      <c r="BF371" s="229">
        <v>2300</v>
      </c>
      <c r="BG371" s="230">
        <v>23000</v>
      </c>
      <c r="BH371" s="143">
        <v>45063</v>
      </c>
      <c r="BI371" s="198" t="s">
        <v>583</v>
      </c>
      <c r="BJ371" s="134" t="s">
        <v>1125</v>
      </c>
      <c r="BK371" s="201" t="s">
        <v>2309</v>
      </c>
    </row>
    <row r="372" spans="56:63" ht="16.5" customHeight="1" x14ac:dyDescent="0.3">
      <c r="BD372" s="134" t="s">
        <v>350</v>
      </c>
      <c r="BE372" s="113" t="s">
        <v>2325</v>
      </c>
      <c r="BF372" s="229">
        <v>2300</v>
      </c>
      <c r="BG372" s="230">
        <v>23000</v>
      </c>
      <c r="BH372" s="143">
        <v>45070</v>
      </c>
      <c r="BI372" s="198" t="s">
        <v>583</v>
      </c>
      <c r="BJ372" s="134" t="s">
        <v>1125</v>
      </c>
      <c r="BK372" s="201" t="s">
        <v>2309</v>
      </c>
    </row>
    <row r="373" spans="56:63" ht="16.5" customHeight="1" x14ac:dyDescent="0.3">
      <c r="BD373" s="134" t="s">
        <v>350</v>
      </c>
      <c r="BE373" s="113" t="s">
        <v>2326</v>
      </c>
      <c r="BF373" s="229">
        <v>2300</v>
      </c>
      <c r="BG373" s="230">
        <v>23000</v>
      </c>
      <c r="BH373" s="143">
        <v>45070</v>
      </c>
      <c r="BI373" s="198" t="s">
        <v>583</v>
      </c>
      <c r="BJ373" s="199" t="s">
        <v>1125</v>
      </c>
      <c r="BK373" s="201" t="s">
        <v>2309</v>
      </c>
    </row>
    <row r="374" spans="56:63" ht="16.5" customHeight="1" x14ac:dyDescent="0.3">
      <c r="BD374" s="134" t="s">
        <v>1073</v>
      </c>
      <c r="BE374" s="113" t="s">
        <v>2327</v>
      </c>
      <c r="BF374" s="229">
        <v>1568</v>
      </c>
      <c r="BG374" s="230">
        <v>23520</v>
      </c>
      <c r="BH374" s="143">
        <v>45070</v>
      </c>
      <c r="BI374" s="198" t="s">
        <v>583</v>
      </c>
      <c r="BJ374" s="134" t="s">
        <v>2328</v>
      </c>
      <c r="BK374" s="201" t="s">
        <v>1371</v>
      </c>
    </row>
    <row r="375" spans="56:63" ht="16.5" customHeight="1" x14ac:dyDescent="0.3">
      <c r="BD375" s="134" t="s">
        <v>920</v>
      </c>
      <c r="BE375" s="113" t="s">
        <v>2329</v>
      </c>
      <c r="BF375" s="229">
        <v>1568</v>
      </c>
      <c r="BG375" s="230">
        <v>23520</v>
      </c>
      <c r="BH375" s="143">
        <v>45072</v>
      </c>
      <c r="BI375" s="198" t="s">
        <v>583</v>
      </c>
      <c r="BJ375" s="134" t="s">
        <v>2318</v>
      </c>
      <c r="BK375" s="201" t="s">
        <v>1371</v>
      </c>
    </row>
    <row r="376" spans="56:63" ht="16.5" customHeight="1" x14ac:dyDescent="0.3">
      <c r="BD376" s="134" t="s">
        <v>330</v>
      </c>
      <c r="BE376" s="113" t="s">
        <v>2330</v>
      </c>
      <c r="BF376" s="229">
        <v>1916</v>
      </c>
      <c r="BG376" s="230">
        <v>22992</v>
      </c>
      <c r="BH376" s="143">
        <v>45072</v>
      </c>
      <c r="BI376" s="198" t="s">
        <v>583</v>
      </c>
      <c r="BJ376" s="134" t="s">
        <v>2307</v>
      </c>
      <c r="BK376" s="201" t="s">
        <v>1371</v>
      </c>
    </row>
    <row r="377" spans="56:63" ht="16.5" customHeight="1" x14ac:dyDescent="0.3">
      <c r="BD377" s="134" t="s">
        <v>920</v>
      </c>
      <c r="BE377" s="113" t="s">
        <v>2331</v>
      </c>
      <c r="BF377" s="229">
        <v>1500</v>
      </c>
      <c r="BG377" s="161">
        <v>22500</v>
      </c>
      <c r="BH377" s="143">
        <v>45079</v>
      </c>
      <c r="BI377" s="198" t="s">
        <v>583</v>
      </c>
      <c r="BJ377" s="199" t="s">
        <v>2332</v>
      </c>
      <c r="BK377" s="201" t="s">
        <v>1371</v>
      </c>
    </row>
    <row r="378" spans="56:63" ht="16.5" customHeight="1" x14ac:dyDescent="0.3">
      <c r="BD378" s="134" t="s">
        <v>920</v>
      </c>
      <c r="BE378" s="113" t="s">
        <v>2333</v>
      </c>
      <c r="BF378" s="229">
        <v>1500</v>
      </c>
      <c r="BG378" s="230">
        <v>22500</v>
      </c>
      <c r="BH378" s="143">
        <v>45079</v>
      </c>
      <c r="BI378" s="198" t="s">
        <v>583</v>
      </c>
      <c r="BJ378" s="134" t="s">
        <v>2332</v>
      </c>
      <c r="BK378" s="201" t="s">
        <v>1371</v>
      </c>
    </row>
    <row r="379" spans="56:63" ht="16.5" customHeight="1" x14ac:dyDescent="0.3">
      <c r="BD379" s="134" t="s">
        <v>920</v>
      </c>
      <c r="BE379" s="113" t="s">
        <v>2334</v>
      </c>
      <c r="BF379" s="229">
        <v>1500</v>
      </c>
      <c r="BG379" s="230">
        <v>22500</v>
      </c>
      <c r="BH379" s="143">
        <v>45085</v>
      </c>
      <c r="BI379" s="198" t="s">
        <v>583</v>
      </c>
      <c r="BJ379" s="199" t="s">
        <v>2332</v>
      </c>
      <c r="BK379" s="201" t="s">
        <v>1371</v>
      </c>
    </row>
    <row r="380" spans="56:63" ht="16.5" customHeight="1" x14ac:dyDescent="0.3">
      <c r="BD380" s="134" t="s">
        <v>920</v>
      </c>
      <c r="BE380" s="113" t="s">
        <v>2335</v>
      </c>
      <c r="BF380" s="229">
        <v>1500</v>
      </c>
      <c r="BG380" s="230">
        <v>22500</v>
      </c>
      <c r="BH380" s="143">
        <v>45085</v>
      </c>
      <c r="BI380" s="198" t="s">
        <v>583</v>
      </c>
      <c r="BJ380" s="199" t="s">
        <v>2332</v>
      </c>
      <c r="BK380" s="201" t="s">
        <v>1371</v>
      </c>
    </row>
    <row r="381" spans="56:63" ht="16.5" customHeight="1" x14ac:dyDescent="0.3">
      <c r="BD381" s="134" t="s">
        <v>920</v>
      </c>
      <c r="BE381" s="113" t="s">
        <v>2336</v>
      </c>
      <c r="BF381" s="229">
        <v>1500</v>
      </c>
      <c r="BG381" s="230">
        <v>22500</v>
      </c>
      <c r="BH381" s="143">
        <v>45086</v>
      </c>
      <c r="BI381" s="198" t="s">
        <v>583</v>
      </c>
      <c r="BJ381" s="134" t="s">
        <v>2332</v>
      </c>
      <c r="BK381" s="201" t="s">
        <v>1371</v>
      </c>
    </row>
    <row r="382" spans="56:63" ht="16.5" customHeight="1" x14ac:dyDescent="0.3">
      <c r="BD382" s="134" t="s">
        <v>920</v>
      </c>
      <c r="BE382" s="113" t="s">
        <v>2337</v>
      </c>
      <c r="BF382" s="229">
        <v>1500</v>
      </c>
      <c r="BG382" s="230">
        <v>22500</v>
      </c>
      <c r="BH382" s="143">
        <v>45086</v>
      </c>
      <c r="BI382" s="198" t="s">
        <v>583</v>
      </c>
      <c r="BJ382" s="134" t="s">
        <v>2332</v>
      </c>
      <c r="BK382" s="201" t="s">
        <v>1371</v>
      </c>
    </row>
    <row r="383" spans="56:63" ht="16.5" customHeight="1" x14ac:dyDescent="0.3">
      <c r="BD383" s="134" t="s">
        <v>2338</v>
      </c>
      <c r="BE383" s="113" t="s">
        <v>2339</v>
      </c>
      <c r="BF383" s="229">
        <v>1578</v>
      </c>
      <c r="BG383" s="230">
        <v>23670</v>
      </c>
      <c r="BH383" s="143">
        <v>45090</v>
      </c>
      <c r="BI383" s="198" t="s">
        <v>583</v>
      </c>
      <c r="BJ383" s="134" t="s">
        <v>2340</v>
      </c>
      <c r="BK383" s="201" t="s">
        <v>1380</v>
      </c>
    </row>
    <row r="384" spans="56:63" ht="16.5" customHeight="1" x14ac:dyDescent="0.3">
      <c r="BD384" s="134" t="s">
        <v>350</v>
      </c>
      <c r="BE384" s="113" t="s">
        <v>2341</v>
      </c>
      <c r="BF384" s="229">
        <v>2300</v>
      </c>
      <c r="BG384" s="230">
        <v>23000</v>
      </c>
      <c r="BH384" s="143">
        <v>45096</v>
      </c>
      <c r="BI384" s="198" t="s">
        <v>583</v>
      </c>
      <c r="BJ384" s="134" t="s">
        <v>1125</v>
      </c>
      <c r="BK384" s="201" t="s">
        <v>2342</v>
      </c>
    </row>
    <row r="385" spans="56:63" ht="16.5" customHeight="1" x14ac:dyDescent="0.3">
      <c r="BD385" s="134" t="s">
        <v>989</v>
      </c>
      <c r="BE385" s="113" t="s">
        <v>2343</v>
      </c>
      <c r="BF385" s="229">
        <v>1829</v>
      </c>
      <c r="BG385" s="230">
        <v>21948</v>
      </c>
      <c r="BH385" s="143">
        <v>45097</v>
      </c>
      <c r="BI385" s="198" t="s">
        <v>583</v>
      </c>
      <c r="BJ385" s="199" t="s">
        <v>2320</v>
      </c>
      <c r="BK385" s="201" t="s">
        <v>1371</v>
      </c>
    </row>
    <row r="386" spans="56:63" ht="16.5" customHeight="1" x14ac:dyDescent="0.3">
      <c r="BD386" s="134" t="s">
        <v>920</v>
      </c>
      <c r="BE386" s="113" t="s">
        <v>2344</v>
      </c>
      <c r="BF386" s="229">
        <v>1500</v>
      </c>
      <c r="BG386" s="230">
        <v>22500</v>
      </c>
      <c r="BH386" s="143">
        <v>45100</v>
      </c>
      <c r="BI386" s="198" t="s">
        <v>583</v>
      </c>
      <c r="BJ386" s="199" t="s">
        <v>2345</v>
      </c>
      <c r="BK386" s="201" t="s">
        <v>1371</v>
      </c>
    </row>
    <row r="387" spans="56:63" ht="16.5" customHeight="1" x14ac:dyDescent="0.3">
      <c r="BD387" s="134" t="s">
        <v>920</v>
      </c>
      <c r="BE387" s="113" t="s">
        <v>2346</v>
      </c>
      <c r="BF387" s="229">
        <v>1500</v>
      </c>
      <c r="BG387" s="230">
        <v>22500</v>
      </c>
      <c r="BH387" s="143">
        <v>45100</v>
      </c>
      <c r="BI387" s="198" t="s">
        <v>583</v>
      </c>
      <c r="BJ387" s="134" t="s">
        <v>2345</v>
      </c>
      <c r="BK387" s="201" t="s">
        <v>1371</v>
      </c>
    </row>
    <row r="388" spans="56:63" ht="16.5" customHeight="1" x14ac:dyDescent="0.3">
      <c r="BD388" s="134" t="s">
        <v>2347</v>
      </c>
      <c r="BE388" s="113" t="s">
        <v>2348</v>
      </c>
      <c r="BF388" s="229">
        <v>1300</v>
      </c>
      <c r="BG388" s="230">
        <v>23587</v>
      </c>
      <c r="BH388" s="143">
        <v>45105</v>
      </c>
      <c r="BI388" s="198" t="s">
        <v>583</v>
      </c>
      <c r="BJ388" s="199" t="s">
        <v>2349</v>
      </c>
      <c r="BK388" s="201" t="s">
        <v>1380</v>
      </c>
    </row>
    <row r="389" spans="56:63" ht="16.5" customHeight="1" x14ac:dyDescent="0.3">
      <c r="BD389" s="134" t="s">
        <v>920</v>
      </c>
      <c r="BE389" s="113" t="s">
        <v>2350</v>
      </c>
      <c r="BF389" s="229">
        <v>1568</v>
      </c>
      <c r="BG389" s="230">
        <v>23520</v>
      </c>
      <c r="BH389" s="143">
        <v>45105</v>
      </c>
      <c r="BI389" s="198" t="s">
        <v>583</v>
      </c>
      <c r="BJ389" s="134" t="s">
        <v>2318</v>
      </c>
      <c r="BK389" s="201" t="s">
        <v>1371</v>
      </c>
    </row>
    <row r="390" spans="56:63" ht="16.5" customHeight="1" x14ac:dyDescent="0.3">
      <c r="BD390" s="134" t="s">
        <v>2351</v>
      </c>
      <c r="BE390" s="113" t="s">
        <v>2352</v>
      </c>
      <c r="BF390" s="229">
        <v>1578</v>
      </c>
      <c r="BG390" s="230">
        <v>23670</v>
      </c>
      <c r="BH390" s="143">
        <v>45106</v>
      </c>
      <c r="BI390" s="198" t="s">
        <v>583</v>
      </c>
      <c r="BJ390" s="134" t="s">
        <v>2340</v>
      </c>
      <c r="BK390" s="201" t="s">
        <v>1380</v>
      </c>
    </row>
    <row r="391" spans="56:63" ht="16.5" customHeight="1" x14ac:dyDescent="0.3">
      <c r="BD391" s="134" t="s">
        <v>754</v>
      </c>
      <c r="BE391" s="113" t="s">
        <v>2353</v>
      </c>
      <c r="BF391" s="229">
        <v>1815</v>
      </c>
      <c r="BG391" s="230">
        <v>21780</v>
      </c>
      <c r="BH391" s="143">
        <v>45107</v>
      </c>
      <c r="BI391" s="198" t="s">
        <v>583</v>
      </c>
      <c r="BJ391" s="134" t="s">
        <v>1075</v>
      </c>
      <c r="BK391" s="201" t="s">
        <v>1371</v>
      </c>
    </row>
    <row r="392" spans="56:63" ht="16.5" customHeight="1" x14ac:dyDescent="0.3">
      <c r="BD392" s="134" t="s">
        <v>989</v>
      </c>
      <c r="BE392" s="113" t="s">
        <v>2354</v>
      </c>
      <c r="BF392" s="229">
        <v>1844</v>
      </c>
      <c r="BG392" s="230">
        <v>22128</v>
      </c>
      <c r="BH392" s="143">
        <v>45112</v>
      </c>
      <c r="BI392" s="198" t="s">
        <v>583</v>
      </c>
      <c r="BJ392" s="134" t="s">
        <v>2320</v>
      </c>
      <c r="BK392" s="201" t="s">
        <v>1371</v>
      </c>
    </row>
    <row r="393" spans="56:63" ht="16.5" customHeight="1" x14ac:dyDescent="0.3">
      <c r="BD393" s="134" t="s">
        <v>968</v>
      </c>
      <c r="BE393" s="113" t="s">
        <v>2355</v>
      </c>
      <c r="BF393" s="229">
        <v>1958</v>
      </c>
      <c r="BG393" s="230">
        <v>23496</v>
      </c>
      <c r="BH393" s="143">
        <v>45117</v>
      </c>
      <c r="BI393" s="198" t="s">
        <v>583</v>
      </c>
      <c r="BJ393" s="134" t="s">
        <v>2320</v>
      </c>
      <c r="BK393" s="201" t="s">
        <v>1371</v>
      </c>
    </row>
    <row r="394" spans="56:63" ht="16.5" customHeight="1" x14ac:dyDescent="0.3">
      <c r="BD394" s="134" t="s">
        <v>920</v>
      </c>
      <c r="BE394" s="113" t="s">
        <v>2356</v>
      </c>
      <c r="BF394" s="229">
        <v>1568</v>
      </c>
      <c r="BG394" s="230">
        <v>23520</v>
      </c>
      <c r="BH394" s="143">
        <v>45118</v>
      </c>
      <c r="BI394" s="198" t="s">
        <v>583</v>
      </c>
      <c r="BJ394" s="199" t="s">
        <v>2318</v>
      </c>
      <c r="BK394" s="201" t="s">
        <v>1371</v>
      </c>
    </row>
    <row r="395" spans="56:63" ht="16.5" customHeight="1" x14ac:dyDescent="0.3">
      <c r="BD395" s="134" t="s">
        <v>989</v>
      </c>
      <c r="BE395" s="113" t="s">
        <v>2357</v>
      </c>
      <c r="BF395" s="229">
        <v>1958</v>
      </c>
      <c r="BG395" s="230">
        <v>23496</v>
      </c>
      <c r="BH395" s="143">
        <v>45118</v>
      </c>
      <c r="BI395" s="198" t="s">
        <v>583</v>
      </c>
      <c r="BJ395" s="199" t="s">
        <v>2320</v>
      </c>
      <c r="BK395" s="201" t="s">
        <v>1371</v>
      </c>
    </row>
    <row r="396" spans="56:63" ht="16.5" customHeight="1" x14ac:dyDescent="0.3">
      <c r="BD396" s="134" t="s">
        <v>754</v>
      </c>
      <c r="BE396" s="113" t="s">
        <v>2358</v>
      </c>
      <c r="BF396" s="229">
        <v>1980</v>
      </c>
      <c r="BG396" s="230">
        <v>23760</v>
      </c>
      <c r="BH396" s="143">
        <v>45119</v>
      </c>
      <c r="BI396" s="198" t="s">
        <v>583</v>
      </c>
      <c r="BJ396" s="134" t="s">
        <v>2359</v>
      </c>
      <c r="BK396" s="201" t="s">
        <v>1371</v>
      </c>
    </row>
    <row r="397" spans="56:63" ht="16.5" customHeight="1" x14ac:dyDescent="0.3">
      <c r="BD397" s="134" t="s">
        <v>873</v>
      </c>
      <c r="BE397" s="113" t="s">
        <v>2360</v>
      </c>
      <c r="BF397" s="229">
        <v>1958</v>
      </c>
      <c r="BG397" s="230">
        <v>23496</v>
      </c>
      <c r="BH397" s="143">
        <v>45121</v>
      </c>
      <c r="BI397" s="198" t="s">
        <v>583</v>
      </c>
      <c r="BJ397" s="134" t="s">
        <v>2361</v>
      </c>
      <c r="BK397" s="201" t="s">
        <v>1371</v>
      </c>
    </row>
    <row r="398" spans="56:63" ht="16.5" customHeight="1" x14ac:dyDescent="0.3">
      <c r="BD398" s="134" t="s">
        <v>873</v>
      </c>
      <c r="BE398" s="113" t="s">
        <v>2362</v>
      </c>
      <c r="BF398" s="229">
        <v>1958</v>
      </c>
      <c r="BG398" s="230">
        <v>23496</v>
      </c>
      <c r="BH398" s="143">
        <v>45124</v>
      </c>
      <c r="BI398" s="198" t="s">
        <v>583</v>
      </c>
      <c r="BJ398" s="134" t="s">
        <v>2361</v>
      </c>
      <c r="BK398" s="201" t="s">
        <v>1371</v>
      </c>
    </row>
    <row r="399" spans="56:63" ht="16.5" customHeight="1" x14ac:dyDescent="0.3">
      <c r="BD399" s="134" t="s">
        <v>968</v>
      </c>
      <c r="BE399" s="113" t="s">
        <v>2363</v>
      </c>
      <c r="BF399" s="229">
        <v>1958</v>
      </c>
      <c r="BG399" s="230">
        <v>23496</v>
      </c>
      <c r="BH399" s="143">
        <v>45124</v>
      </c>
      <c r="BI399" s="198" t="s">
        <v>583</v>
      </c>
      <c r="BJ399" s="199" t="s">
        <v>2320</v>
      </c>
      <c r="BK399" s="201" t="s">
        <v>1371</v>
      </c>
    </row>
    <row r="400" spans="56:63" ht="16.5" customHeight="1" x14ac:dyDescent="0.3">
      <c r="BD400" s="134" t="s">
        <v>989</v>
      </c>
      <c r="BE400" s="113" t="s">
        <v>2364</v>
      </c>
      <c r="BF400" s="229">
        <v>1839</v>
      </c>
      <c r="BG400" s="230">
        <v>22068</v>
      </c>
      <c r="BH400" s="143">
        <v>45124</v>
      </c>
      <c r="BI400" s="198" t="s">
        <v>583</v>
      </c>
      <c r="BJ400" s="199" t="s">
        <v>2320</v>
      </c>
      <c r="BK400" s="201" t="s">
        <v>1371</v>
      </c>
    </row>
    <row r="401" spans="56:63" ht="16.5" customHeight="1" x14ac:dyDescent="0.3">
      <c r="BD401" s="134" t="s">
        <v>704</v>
      </c>
      <c r="BE401" s="113" t="s">
        <v>2365</v>
      </c>
      <c r="BF401" s="229">
        <v>1950</v>
      </c>
      <c r="BG401" s="230">
        <v>23400</v>
      </c>
      <c r="BH401" s="143">
        <v>45126</v>
      </c>
      <c r="BI401" s="198" t="s">
        <v>583</v>
      </c>
      <c r="BJ401" s="134" t="s">
        <v>2366</v>
      </c>
      <c r="BK401" s="201" t="s">
        <v>1394</v>
      </c>
    </row>
    <row r="402" spans="56:63" ht="16.5" customHeight="1" x14ac:dyDescent="0.3">
      <c r="BD402" s="134" t="s">
        <v>330</v>
      </c>
      <c r="BE402" s="113" t="s">
        <v>2367</v>
      </c>
      <c r="BF402" s="229">
        <v>1980</v>
      </c>
      <c r="BG402" s="230">
        <v>23760</v>
      </c>
      <c r="BH402" s="143">
        <v>45126</v>
      </c>
      <c r="BI402" s="198" t="s">
        <v>583</v>
      </c>
      <c r="BJ402" s="134" t="s">
        <v>2359</v>
      </c>
      <c r="BK402" s="201" t="s">
        <v>1371</v>
      </c>
    </row>
    <row r="403" spans="56:63" ht="16.5" customHeight="1" x14ac:dyDescent="0.3">
      <c r="BD403" s="134" t="s">
        <v>754</v>
      </c>
      <c r="BE403" s="113" t="s">
        <v>2368</v>
      </c>
      <c r="BF403" s="229">
        <v>1815</v>
      </c>
      <c r="BG403" s="230">
        <v>21780</v>
      </c>
      <c r="BH403" s="143">
        <v>45127</v>
      </c>
      <c r="BI403" s="198" t="s">
        <v>583</v>
      </c>
      <c r="BJ403" s="199" t="s">
        <v>1075</v>
      </c>
      <c r="BK403" s="201" t="s">
        <v>1371</v>
      </c>
    </row>
    <row r="404" spans="56:63" ht="16.5" customHeight="1" x14ac:dyDescent="0.3">
      <c r="BD404" s="134" t="s">
        <v>1073</v>
      </c>
      <c r="BE404" s="113" t="s">
        <v>2369</v>
      </c>
      <c r="BF404" s="229">
        <v>1985</v>
      </c>
      <c r="BG404" s="230">
        <v>23820</v>
      </c>
      <c r="BH404" s="143">
        <v>45131</v>
      </c>
      <c r="BI404" s="198" t="s">
        <v>583</v>
      </c>
      <c r="BJ404" s="134" t="s">
        <v>2370</v>
      </c>
      <c r="BK404" s="201" t="s">
        <v>1371</v>
      </c>
    </row>
    <row r="405" spans="56:63" ht="16.5" customHeight="1" x14ac:dyDescent="0.3">
      <c r="BD405" s="134" t="s">
        <v>873</v>
      </c>
      <c r="BE405" s="113" t="s">
        <v>2371</v>
      </c>
      <c r="BF405" s="229">
        <v>1925</v>
      </c>
      <c r="BG405" s="230">
        <v>23100</v>
      </c>
      <c r="BH405" s="143">
        <v>45131</v>
      </c>
      <c r="BI405" s="198" t="s">
        <v>583</v>
      </c>
      <c r="BJ405" s="134" t="s">
        <v>2372</v>
      </c>
      <c r="BK405" s="201" t="s">
        <v>1394</v>
      </c>
    </row>
    <row r="406" spans="56:63" ht="16.5" customHeight="1" x14ac:dyDescent="0.3">
      <c r="BD406" s="134" t="s">
        <v>873</v>
      </c>
      <c r="BE406" s="113" t="s">
        <v>2373</v>
      </c>
      <c r="BF406" s="229">
        <v>1925</v>
      </c>
      <c r="BG406" s="230">
        <v>23100</v>
      </c>
      <c r="BH406" s="143">
        <v>45131</v>
      </c>
      <c r="BI406" s="198" t="s">
        <v>583</v>
      </c>
      <c r="BJ406" s="134" t="s">
        <v>2372</v>
      </c>
      <c r="BK406" s="201" t="s">
        <v>1394</v>
      </c>
    </row>
    <row r="407" spans="56:63" ht="16.5" customHeight="1" x14ac:dyDescent="0.3">
      <c r="BD407" s="134" t="s">
        <v>968</v>
      </c>
      <c r="BE407" s="113" t="s">
        <v>2374</v>
      </c>
      <c r="BF407" s="229">
        <v>1939</v>
      </c>
      <c r="BG407" s="230">
        <v>23268</v>
      </c>
      <c r="BH407" s="143">
        <v>45131</v>
      </c>
      <c r="BI407" s="198" t="s">
        <v>583</v>
      </c>
      <c r="BJ407" s="134" t="s">
        <v>2320</v>
      </c>
      <c r="BK407" s="201" t="s">
        <v>1371</v>
      </c>
    </row>
    <row r="408" spans="56:63" ht="16.5" customHeight="1" x14ac:dyDescent="0.3">
      <c r="BD408" s="134" t="s">
        <v>468</v>
      </c>
      <c r="BE408" s="113" t="s">
        <v>2375</v>
      </c>
      <c r="BF408" s="229">
        <v>1568</v>
      </c>
      <c r="BG408" s="230">
        <v>23520</v>
      </c>
      <c r="BH408" s="143">
        <v>45138</v>
      </c>
      <c r="BI408" s="198" t="s">
        <v>583</v>
      </c>
      <c r="BJ408" s="134" t="s">
        <v>2328</v>
      </c>
      <c r="BK408" s="201" t="s">
        <v>1371</v>
      </c>
    </row>
    <row r="409" spans="56:63" ht="16.5" customHeight="1" x14ac:dyDescent="0.3">
      <c r="BD409" s="134" t="s">
        <v>968</v>
      </c>
      <c r="BE409" s="113" t="s">
        <v>2376</v>
      </c>
      <c r="BF409" s="229">
        <v>1958</v>
      </c>
      <c r="BG409" s="230">
        <v>23496</v>
      </c>
      <c r="BH409" s="143">
        <v>45138</v>
      </c>
      <c r="BI409" s="198" t="s">
        <v>583</v>
      </c>
      <c r="BJ409" s="199" t="s">
        <v>2320</v>
      </c>
      <c r="BK409" s="201" t="s">
        <v>1371</v>
      </c>
    </row>
    <row r="410" spans="56:63" ht="16.5" customHeight="1" x14ac:dyDescent="0.3">
      <c r="BD410" s="134" t="s">
        <v>1073</v>
      </c>
      <c r="BE410" s="113" t="s">
        <v>2377</v>
      </c>
      <c r="BF410" s="229">
        <v>1960</v>
      </c>
      <c r="BG410" s="230">
        <v>23520</v>
      </c>
      <c r="BH410" s="143">
        <v>45138</v>
      </c>
      <c r="BI410" s="198" t="s">
        <v>583</v>
      </c>
      <c r="BJ410" s="199" t="s">
        <v>2378</v>
      </c>
      <c r="BK410" s="201" t="s">
        <v>1371</v>
      </c>
    </row>
    <row r="411" spans="56:63" ht="16.5" customHeight="1" x14ac:dyDescent="0.3">
      <c r="BD411" s="134" t="s">
        <v>330</v>
      </c>
      <c r="BE411" s="113" t="s">
        <v>2379</v>
      </c>
      <c r="BF411" s="229">
        <v>1568</v>
      </c>
      <c r="BG411" s="230">
        <v>23520</v>
      </c>
      <c r="BH411" s="143">
        <v>45139</v>
      </c>
      <c r="BI411" s="198" t="s">
        <v>583</v>
      </c>
      <c r="BJ411" s="199" t="s">
        <v>2328</v>
      </c>
      <c r="BK411" s="201" t="s">
        <v>1371</v>
      </c>
    </row>
    <row r="412" spans="56:63" ht="16.5" customHeight="1" x14ac:dyDescent="0.3">
      <c r="BD412" s="134" t="s">
        <v>704</v>
      </c>
      <c r="BE412" s="113" t="s">
        <v>2380</v>
      </c>
      <c r="BF412" s="229">
        <v>1568</v>
      </c>
      <c r="BG412" s="230">
        <v>23520</v>
      </c>
      <c r="BH412" s="143">
        <v>45139</v>
      </c>
      <c r="BI412" s="198" t="s">
        <v>583</v>
      </c>
      <c r="BJ412" s="199" t="s">
        <v>2328</v>
      </c>
      <c r="BK412" s="201" t="s">
        <v>1371</v>
      </c>
    </row>
    <row r="413" spans="56:63" ht="16.5" customHeight="1" x14ac:dyDescent="0.3">
      <c r="BD413" s="134" t="s">
        <v>920</v>
      </c>
      <c r="BE413" s="113" t="s">
        <v>2381</v>
      </c>
      <c r="BF413" s="229">
        <v>1500</v>
      </c>
      <c r="BG413" s="230">
        <v>22500</v>
      </c>
      <c r="BH413" s="143">
        <v>45139</v>
      </c>
      <c r="BI413" s="198" t="s">
        <v>583</v>
      </c>
      <c r="BJ413" s="134" t="s">
        <v>1125</v>
      </c>
      <c r="BK413" s="201" t="s">
        <v>1371</v>
      </c>
    </row>
    <row r="414" spans="56:63" ht="16.5" customHeight="1" x14ac:dyDescent="0.3">
      <c r="BD414" s="134" t="s">
        <v>968</v>
      </c>
      <c r="BE414" s="113" t="s">
        <v>2382</v>
      </c>
      <c r="BF414" s="229">
        <v>1958</v>
      </c>
      <c r="BG414" s="230">
        <v>23496</v>
      </c>
      <c r="BH414" s="143">
        <v>45139</v>
      </c>
      <c r="BI414" s="198" t="s">
        <v>583</v>
      </c>
      <c r="BJ414" s="199" t="s">
        <v>2320</v>
      </c>
      <c r="BK414" s="201" t="s">
        <v>1371</v>
      </c>
    </row>
    <row r="415" spans="56:63" ht="16.5" customHeight="1" x14ac:dyDescent="0.3">
      <c r="BD415" s="134" t="s">
        <v>968</v>
      </c>
      <c r="BE415" s="113" t="s">
        <v>2383</v>
      </c>
      <c r="BF415" s="229">
        <v>1958</v>
      </c>
      <c r="BG415" s="230">
        <v>23496</v>
      </c>
      <c r="BH415" s="143">
        <v>45139</v>
      </c>
      <c r="BI415" s="198" t="s">
        <v>583</v>
      </c>
      <c r="BJ415" s="134" t="s">
        <v>2320</v>
      </c>
      <c r="BK415" s="201" t="s">
        <v>1371</v>
      </c>
    </row>
    <row r="416" spans="56:63" ht="16.5" customHeight="1" x14ac:dyDescent="0.3">
      <c r="BD416" s="134" t="s">
        <v>968</v>
      </c>
      <c r="BE416" s="113" t="s">
        <v>2384</v>
      </c>
      <c r="BF416" s="229">
        <v>1858</v>
      </c>
      <c r="BG416" s="230">
        <v>22296</v>
      </c>
      <c r="BH416" s="143">
        <v>45139</v>
      </c>
      <c r="BI416" s="198" t="s">
        <v>583</v>
      </c>
      <c r="BJ416" s="134" t="s">
        <v>2320</v>
      </c>
      <c r="BK416" s="201" t="s">
        <v>1371</v>
      </c>
    </row>
    <row r="417" spans="56:63" ht="16.5" customHeight="1" x14ac:dyDescent="0.3">
      <c r="BD417" s="134" t="s">
        <v>968</v>
      </c>
      <c r="BE417" s="113" t="s">
        <v>2385</v>
      </c>
      <c r="BF417" s="229">
        <v>1958</v>
      </c>
      <c r="BG417" s="230">
        <v>23496</v>
      </c>
      <c r="BH417" s="143">
        <v>45139</v>
      </c>
      <c r="BI417" s="198" t="s">
        <v>583</v>
      </c>
      <c r="BJ417" s="199" t="s">
        <v>2320</v>
      </c>
      <c r="BK417" s="201" t="s">
        <v>1371</v>
      </c>
    </row>
    <row r="418" spans="56:63" ht="16.5" customHeight="1" x14ac:dyDescent="0.3">
      <c r="BD418" s="134" t="s">
        <v>873</v>
      </c>
      <c r="BE418" s="113" t="s">
        <v>2386</v>
      </c>
      <c r="BF418" s="229">
        <v>1925</v>
      </c>
      <c r="BG418" s="230">
        <v>23100</v>
      </c>
      <c r="BH418" s="143">
        <v>45141</v>
      </c>
      <c r="BI418" s="198" t="s">
        <v>583</v>
      </c>
      <c r="BJ418" s="199" t="s">
        <v>2372</v>
      </c>
      <c r="BK418" s="201" t="s">
        <v>1394</v>
      </c>
    </row>
    <row r="419" spans="56:63" ht="16.5" customHeight="1" x14ac:dyDescent="0.3">
      <c r="BD419" s="134" t="s">
        <v>2387</v>
      </c>
      <c r="BE419" s="113" t="s">
        <v>2388</v>
      </c>
      <c r="BF419" s="229">
        <v>2300</v>
      </c>
      <c r="BG419" s="230">
        <v>23000</v>
      </c>
      <c r="BH419" s="143">
        <v>45145</v>
      </c>
      <c r="BI419" s="198" t="s">
        <v>583</v>
      </c>
      <c r="BJ419" s="134" t="s">
        <v>1125</v>
      </c>
      <c r="BK419" s="201" t="s">
        <v>2309</v>
      </c>
    </row>
    <row r="420" spans="56:63" ht="16.5" customHeight="1" x14ac:dyDescent="0.3">
      <c r="BD420" s="134" t="s">
        <v>873</v>
      </c>
      <c r="BE420" s="113" t="s">
        <v>2389</v>
      </c>
      <c r="BF420" s="229">
        <v>1925</v>
      </c>
      <c r="BG420" s="230">
        <v>23100</v>
      </c>
      <c r="BH420" s="143">
        <v>45145</v>
      </c>
      <c r="BI420" s="198" t="s">
        <v>583</v>
      </c>
      <c r="BJ420" s="134" t="s">
        <v>2372</v>
      </c>
      <c r="BK420" s="201" t="s">
        <v>1394</v>
      </c>
    </row>
    <row r="421" spans="56:63" ht="16.5" customHeight="1" x14ac:dyDescent="0.3">
      <c r="BD421" s="134" t="s">
        <v>2387</v>
      </c>
      <c r="BE421" s="113" t="s">
        <v>2390</v>
      </c>
      <c r="BF421" s="229">
        <v>2300</v>
      </c>
      <c r="BG421" s="230">
        <v>23000</v>
      </c>
      <c r="BH421" s="143">
        <v>45146</v>
      </c>
      <c r="BI421" s="198" t="s">
        <v>583</v>
      </c>
      <c r="BJ421" s="199" t="s">
        <v>1125</v>
      </c>
      <c r="BK421" s="201" t="s">
        <v>2309</v>
      </c>
    </row>
    <row r="422" spans="56:63" ht="16.5" customHeight="1" x14ac:dyDescent="0.3">
      <c r="BD422" s="231" t="s">
        <v>1073</v>
      </c>
      <c r="BE422" s="232" t="s">
        <v>2391</v>
      </c>
      <c r="BF422" s="233">
        <v>1980</v>
      </c>
      <c r="BG422" s="234">
        <v>23760</v>
      </c>
      <c r="BH422" s="235">
        <v>45147</v>
      </c>
      <c r="BI422" s="236" t="s">
        <v>583</v>
      </c>
      <c r="BJ422" s="231" t="s">
        <v>2370</v>
      </c>
      <c r="BK422" s="237" t="s">
        <v>1371</v>
      </c>
    </row>
    <row r="423" spans="56:63" ht="16.5" customHeight="1" x14ac:dyDescent="0.3">
      <c r="BD423" s="134" t="s">
        <v>1073</v>
      </c>
      <c r="BE423" s="113" t="s">
        <v>2392</v>
      </c>
      <c r="BF423" s="229">
        <v>1980</v>
      </c>
      <c r="BG423" s="230">
        <v>23760</v>
      </c>
      <c r="BH423" s="143">
        <v>45147</v>
      </c>
      <c r="BI423" s="198" t="s">
        <v>583</v>
      </c>
      <c r="BJ423" s="134" t="s">
        <v>2370</v>
      </c>
      <c r="BK423" s="201" t="s">
        <v>1371</v>
      </c>
    </row>
    <row r="424" spans="56:63" ht="16.5" customHeight="1" x14ac:dyDescent="0.3">
      <c r="BD424" s="231" t="s">
        <v>873</v>
      </c>
      <c r="BE424" s="232" t="s">
        <v>2393</v>
      </c>
      <c r="BF424" s="233">
        <v>1951</v>
      </c>
      <c r="BG424" s="234">
        <v>23412</v>
      </c>
      <c r="BH424" s="143">
        <v>45147</v>
      </c>
      <c r="BI424" s="236" t="s">
        <v>583</v>
      </c>
      <c r="BJ424" s="238" t="s">
        <v>2394</v>
      </c>
      <c r="BK424" s="237" t="s">
        <v>1394</v>
      </c>
    </row>
    <row r="425" spans="56:63" ht="16.5" customHeight="1" x14ac:dyDescent="0.3">
      <c r="BD425" s="134" t="s">
        <v>1073</v>
      </c>
      <c r="BE425" s="113" t="s">
        <v>2395</v>
      </c>
      <c r="BF425" s="229">
        <v>1980</v>
      </c>
      <c r="BG425" s="230">
        <v>23760</v>
      </c>
      <c r="BH425" s="143">
        <v>45149</v>
      </c>
      <c r="BI425" s="198" t="s">
        <v>583</v>
      </c>
      <c r="BJ425" s="199" t="s">
        <v>2359</v>
      </c>
      <c r="BK425" s="201" t="s">
        <v>1371</v>
      </c>
    </row>
    <row r="426" spans="56:63" ht="16.5" customHeight="1" x14ac:dyDescent="0.3">
      <c r="BD426" s="134" t="s">
        <v>1073</v>
      </c>
      <c r="BE426" s="113" t="s">
        <v>2396</v>
      </c>
      <c r="BF426" s="229">
        <v>1979</v>
      </c>
      <c r="BG426" s="230">
        <v>23748</v>
      </c>
      <c r="BH426" s="143">
        <v>45149</v>
      </c>
      <c r="BI426" s="198" t="s">
        <v>583</v>
      </c>
      <c r="BJ426" s="134" t="s">
        <v>2359</v>
      </c>
      <c r="BK426" s="201" t="s">
        <v>1371</v>
      </c>
    </row>
    <row r="427" spans="56:63" ht="16.5" customHeight="1" x14ac:dyDescent="0.3">
      <c r="BD427" s="239" t="s">
        <v>2397</v>
      </c>
      <c r="BE427" s="240" t="s">
        <v>2398</v>
      </c>
      <c r="BF427" s="241">
        <v>1659</v>
      </c>
      <c r="BG427" s="242">
        <v>22578.989999999998</v>
      </c>
      <c r="BH427" s="243">
        <v>45149</v>
      </c>
      <c r="BI427" s="244" t="s">
        <v>583</v>
      </c>
      <c r="BJ427" s="245" t="s">
        <v>2340</v>
      </c>
      <c r="BK427" s="246" t="s">
        <v>1380</v>
      </c>
    </row>
    <row r="428" spans="56:63" ht="16.5" customHeight="1" x14ac:dyDescent="0.3">
      <c r="BD428" s="231" t="s">
        <v>968</v>
      </c>
      <c r="BE428" s="232" t="s">
        <v>2399</v>
      </c>
      <c r="BF428" s="233">
        <v>1951</v>
      </c>
      <c r="BG428" s="234">
        <v>23412</v>
      </c>
      <c r="BH428" s="235">
        <v>45154</v>
      </c>
      <c r="BI428" s="236" t="s">
        <v>583</v>
      </c>
      <c r="BJ428" s="238" t="s">
        <v>2320</v>
      </c>
      <c r="BK428" s="237" t="s">
        <v>1371</v>
      </c>
    </row>
    <row r="429" spans="56:63" ht="16.5" customHeight="1" x14ac:dyDescent="0.3">
      <c r="BD429" s="231" t="s">
        <v>968</v>
      </c>
      <c r="BE429" s="232" t="s">
        <v>2400</v>
      </c>
      <c r="BF429" s="233">
        <v>1958</v>
      </c>
      <c r="BG429" s="234">
        <v>23496</v>
      </c>
      <c r="BH429" s="235">
        <v>45154</v>
      </c>
      <c r="BI429" s="236" t="s">
        <v>583</v>
      </c>
      <c r="BJ429" s="231" t="s">
        <v>2320</v>
      </c>
      <c r="BK429" s="237" t="s">
        <v>1371</v>
      </c>
    </row>
    <row r="430" spans="56:63" ht="16.5" customHeight="1" x14ac:dyDescent="0.3">
      <c r="BD430" s="231" t="s">
        <v>968</v>
      </c>
      <c r="BE430" s="232" t="s">
        <v>2401</v>
      </c>
      <c r="BF430" s="233">
        <v>1958</v>
      </c>
      <c r="BG430" s="234">
        <v>23496</v>
      </c>
      <c r="BH430" s="235">
        <v>45154</v>
      </c>
      <c r="BI430" s="236" t="s">
        <v>583</v>
      </c>
      <c r="BJ430" s="231" t="s">
        <v>2320</v>
      </c>
      <c r="BK430" s="237" t="s">
        <v>1371</v>
      </c>
    </row>
    <row r="431" spans="56:63" ht="16.5" customHeight="1" x14ac:dyDescent="0.3">
      <c r="BD431" s="134" t="s">
        <v>920</v>
      </c>
      <c r="BE431" s="113" t="s">
        <v>2402</v>
      </c>
      <c r="BF431" s="229">
        <v>1500</v>
      </c>
      <c r="BG431" s="230">
        <v>22500</v>
      </c>
      <c r="BH431" s="143">
        <v>45155</v>
      </c>
      <c r="BI431" s="198" t="s">
        <v>583</v>
      </c>
      <c r="BJ431" s="199" t="s">
        <v>1125</v>
      </c>
      <c r="BK431" s="201" t="s">
        <v>1371</v>
      </c>
    </row>
    <row r="432" spans="56:63" ht="16.5" customHeight="1" x14ac:dyDescent="0.3">
      <c r="BD432" s="134" t="s">
        <v>330</v>
      </c>
      <c r="BE432" s="113" t="s">
        <v>2403</v>
      </c>
      <c r="BF432" s="229">
        <v>1917</v>
      </c>
      <c r="BG432" s="230">
        <v>23004</v>
      </c>
      <c r="BH432" s="143">
        <v>45156</v>
      </c>
      <c r="BI432" s="198" t="s">
        <v>583</v>
      </c>
      <c r="BJ432" s="134" t="s">
        <v>2378</v>
      </c>
      <c r="BK432" s="201" t="s">
        <v>1371</v>
      </c>
    </row>
    <row r="433" spans="56:63" ht="16.5" customHeight="1" x14ac:dyDescent="0.3">
      <c r="BD433" s="134" t="s">
        <v>330</v>
      </c>
      <c r="BE433" s="113" t="s">
        <v>2404</v>
      </c>
      <c r="BF433" s="229">
        <v>1960</v>
      </c>
      <c r="BG433" s="230">
        <v>23520</v>
      </c>
      <c r="BH433" s="143">
        <v>45156</v>
      </c>
      <c r="BI433" s="198" t="s">
        <v>583</v>
      </c>
      <c r="BJ433" s="199" t="s">
        <v>2378</v>
      </c>
      <c r="BK433" s="201" t="s">
        <v>1371</v>
      </c>
    </row>
    <row r="434" spans="56:63" ht="16.5" customHeight="1" x14ac:dyDescent="0.3">
      <c r="BD434" s="134" t="s">
        <v>330</v>
      </c>
      <c r="BE434" s="113" t="s">
        <v>2405</v>
      </c>
      <c r="BF434" s="229">
        <v>1917</v>
      </c>
      <c r="BG434" s="230">
        <v>23004</v>
      </c>
      <c r="BH434" s="143">
        <v>45156</v>
      </c>
      <c r="BI434" s="198" t="s">
        <v>583</v>
      </c>
      <c r="BJ434" s="199" t="s">
        <v>2378</v>
      </c>
      <c r="BK434" s="201" t="s">
        <v>1371</v>
      </c>
    </row>
    <row r="435" spans="56:63" ht="16.5" customHeight="1" x14ac:dyDescent="0.3">
      <c r="BD435" s="134" t="s">
        <v>330</v>
      </c>
      <c r="BE435" s="113" t="s">
        <v>2406</v>
      </c>
      <c r="BF435" s="229">
        <v>1960</v>
      </c>
      <c r="BG435" s="230">
        <v>23520</v>
      </c>
      <c r="BH435" s="143">
        <v>45156</v>
      </c>
      <c r="BI435" s="198" t="s">
        <v>583</v>
      </c>
      <c r="BJ435" s="199" t="s">
        <v>2378</v>
      </c>
      <c r="BK435" s="201" t="s">
        <v>1371</v>
      </c>
    </row>
    <row r="436" spans="56:63" ht="16.5" customHeight="1" x14ac:dyDescent="0.3">
      <c r="BD436" s="231" t="s">
        <v>330</v>
      </c>
      <c r="BE436" s="232" t="s">
        <v>2407</v>
      </c>
      <c r="BF436" s="233">
        <v>1533</v>
      </c>
      <c r="BG436" s="234">
        <v>22995</v>
      </c>
      <c r="BH436" s="235">
        <v>45156</v>
      </c>
      <c r="BI436" s="236" t="s">
        <v>583</v>
      </c>
      <c r="BJ436" s="238" t="s">
        <v>2408</v>
      </c>
      <c r="BK436" s="237" t="s">
        <v>1371</v>
      </c>
    </row>
    <row r="437" spans="56:63" ht="16.5" customHeight="1" x14ac:dyDescent="0.3">
      <c r="BD437" s="231" t="s">
        <v>330</v>
      </c>
      <c r="BE437" s="232" t="s">
        <v>2409</v>
      </c>
      <c r="BF437" s="233">
        <v>1533</v>
      </c>
      <c r="BG437" s="234">
        <v>22995</v>
      </c>
      <c r="BH437" s="235">
        <v>45156</v>
      </c>
      <c r="BI437" s="236" t="s">
        <v>583</v>
      </c>
      <c r="BJ437" s="238" t="s">
        <v>2408</v>
      </c>
      <c r="BK437" s="237" t="s">
        <v>1371</v>
      </c>
    </row>
    <row r="438" spans="56:63" ht="16.5" customHeight="1" x14ac:dyDescent="0.3">
      <c r="BD438" s="231" t="s">
        <v>330</v>
      </c>
      <c r="BE438" s="232" t="s">
        <v>2410</v>
      </c>
      <c r="BF438" s="233">
        <v>1533</v>
      </c>
      <c r="BG438" s="234">
        <v>22995</v>
      </c>
      <c r="BH438" s="235">
        <v>45156</v>
      </c>
      <c r="BI438" s="236" t="s">
        <v>583</v>
      </c>
      <c r="BJ438" s="231" t="s">
        <v>2408</v>
      </c>
      <c r="BK438" s="237" t="s">
        <v>1371</v>
      </c>
    </row>
    <row r="439" spans="56:63" ht="16.5" customHeight="1" x14ac:dyDescent="0.3">
      <c r="BD439" s="231" t="s">
        <v>330</v>
      </c>
      <c r="BE439" s="232" t="s">
        <v>2411</v>
      </c>
      <c r="BF439" s="233">
        <v>1533</v>
      </c>
      <c r="BG439" s="234">
        <v>22995</v>
      </c>
      <c r="BH439" s="235">
        <v>45156</v>
      </c>
      <c r="BI439" s="236" t="s">
        <v>583</v>
      </c>
      <c r="BJ439" s="238" t="s">
        <v>2408</v>
      </c>
      <c r="BK439" s="237" t="s">
        <v>1371</v>
      </c>
    </row>
    <row r="440" spans="56:63" ht="16.5" customHeight="1" x14ac:dyDescent="0.3">
      <c r="BD440" s="134" t="s">
        <v>330</v>
      </c>
      <c r="BE440" s="113" t="s">
        <v>2412</v>
      </c>
      <c r="BF440" s="229">
        <v>1568</v>
      </c>
      <c r="BG440" s="230">
        <v>23520</v>
      </c>
      <c r="BH440" s="235">
        <v>45159</v>
      </c>
      <c r="BI440" s="198" t="s">
        <v>583</v>
      </c>
      <c r="BJ440" s="199" t="s">
        <v>2328</v>
      </c>
      <c r="BK440" s="201" t="s">
        <v>1371</v>
      </c>
    </row>
    <row r="441" spans="56:63" ht="16.5" customHeight="1" x14ac:dyDescent="0.3">
      <c r="BD441" s="134" t="s">
        <v>2387</v>
      </c>
      <c r="BE441" s="113" t="s">
        <v>2413</v>
      </c>
      <c r="BF441" s="229">
        <v>2300</v>
      </c>
      <c r="BG441" s="230">
        <v>23000</v>
      </c>
      <c r="BH441" s="235">
        <v>45159</v>
      </c>
      <c r="BI441" s="198" t="s">
        <v>583</v>
      </c>
      <c r="BJ441" s="199" t="s">
        <v>1125</v>
      </c>
      <c r="BK441" s="201" t="s">
        <v>2309</v>
      </c>
    </row>
    <row r="442" spans="56:63" ht="16.5" customHeight="1" x14ac:dyDescent="0.3">
      <c r="BD442" s="231" t="s">
        <v>2414</v>
      </c>
      <c r="BE442" s="232" t="s">
        <v>2415</v>
      </c>
      <c r="BF442" s="233">
        <v>1960</v>
      </c>
      <c r="BG442" s="234">
        <v>23520</v>
      </c>
      <c r="BH442" s="235">
        <v>45159</v>
      </c>
      <c r="BI442" s="236" t="s">
        <v>583</v>
      </c>
      <c r="BJ442" s="238" t="s">
        <v>2378</v>
      </c>
      <c r="BK442" s="237" t="s">
        <v>1371</v>
      </c>
    </row>
    <row r="443" spans="56:63" ht="16.5" customHeight="1" x14ac:dyDescent="0.3">
      <c r="BD443" s="134" t="s">
        <v>873</v>
      </c>
      <c r="BE443" s="113" t="s">
        <v>2416</v>
      </c>
      <c r="BF443" s="229">
        <v>1925</v>
      </c>
      <c r="BG443" s="230">
        <v>23100</v>
      </c>
      <c r="BH443" s="235">
        <v>45159</v>
      </c>
      <c r="BI443" s="198" t="s">
        <v>583</v>
      </c>
      <c r="BJ443" s="134" t="s">
        <v>2417</v>
      </c>
      <c r="BK443" s="201" t="s">
        <v>1394</v>
      </c>
    </row>
    <row r="444" spans="56:63" ht="16.5" customHeight="1" x14ac:dyDescent="0.3">
      <c r="BD444" s="231" t="s">
        <v>2418</v>
      </c>
      <c r="BE444" s="232" t="s">
        <v>2419</v>
      </c>
      <c r="BF444" s="233">
        <v>1958</v>
      </c>
      <c r="BG444" s="234">
        <v>23496</v>
      </c>
      <c r="BH444" s="235">
        <v>45167</v>
      </c>
      <c r="BI444" s="236" t="s">
        <v>583</v>
      </c>
      <c r="BJ444" s="238" t="s">
        <v>2320</v>
      </c>
      <c r="BK444" s="237" t="s">
        <v>1371</v>
      </c>
    </row>
    <row r="445" spans="56:63" ht="16.5" customHeight="1" x14ac:dyDescent="0.3">
      <c r="BD445" s="231" t="s">
        <v>2418</v>
      </c>
      <c r="BE445" s="232" t="s">
        <v>2420</v>
      </c>
      <c r="BF445" s="233">
        <v>1958</v>
      </c>
      <c r="BG445" s="234">
        <v>23496</v>
      </c>
      <c r="BH445" s="235">
        <v>45167</v>
      </c>
      <c r="BI445" s="236" t="s">
        <v>583</v>
      </c>
      <c r="BJ445" s="231" t="s">
        <v>2320</v>
      </c>
      <c r="BK445" s="237" t="s">
        <v>1371</v>
      </c>
    </row>
    <row r="446" spans="56:63" ht="16.5" customHeight="1" x14ac:dyDescent="0.3">
      <c r="BD446" s="231" t="s">
        <v>2418</v>
      </c>
      <c r="BE446" s="232" t="s">
        <v>2421</v>
      </c>
      <c r="BF446" s="233">
        <v>1914</v>
      </c>
      <c r="BG446" s="234">
        <v>22968</v>
      </c>
      <c r="BH446" s="235">
        <v>45167</v>
      </c>
      <c r="BI446" s="236" t="s">
        <v>583</v>
      </c>
      <c r="BJ446" s="238" t="s">
        <v>2320</v>
      </c>
      <c r="BK446" s="237" t="s">
        <v>1371</v>
      </c>
    </row>
    <row r="447" spans="56:63" ht="16.5" customHeight="1" x14ac:dyDescent="0.3">
      <c r="BD447" s="231" t="s">
        <v>873</v>
      </c>
      <c r="BE447" s="232" t="s">
        <v>2422</v>
      </c>
      <c r="BF447" s="233">
        <v>1925</v>
      </c>
      <c r="BG447" s="234">
        <v>23100</v>
      </c>
      <c r="BH447" s="235">
        <v>45167</v>
      </c>
      <c r="BI447" s="236" t="s">
        <v>583</v>
      </c>
      <c r="BJ447" s="231" t="s">
        <v>2417</v>
      </c>
      <c r="BK447" s="237" t="s">
        <v>2423</v>
      </c>
    </row>
    <row r="448" spans="56:63" ht="16.5" customHeight="1" x14ac:dyDescent="0.3">
      <c r="BD448" s="231" t="s">
        <v>968</v>
      </c>
      <c r="BE448" s="232" t="s">
        <v>2424</v>
      </c>
      <c r="BF448" s="233">
        <v>1916</v>
      </c>
      <c r="BG448" s="234">
        <v>22992</v>
      </c>
      <c r="BH448" s="235">
        <v>45167</v>
      </c>
      <c r="BI448" s="236" t="s">
        <v>583</v>
      </c>
      <c r="BJ448" s="238" t="s">
        <v>2307</v>
      </c>
      <c r="BK448" s="237" t="s">
        <v>1371</v>
      </c>
    </row>
    <row r="449" spans="56:63" ht="16.5" customHeight="1" x14ac:dyDescent="0.3">
      <c r="BD449" s="231" t="s">
        <v>1073</v>
      </c>
      <c r="BE449" s="232" t="s">
        <v>2425</v>
      </c>
      <c r="BF449" s="233">
        <v>1953</v>
      </c>
      <c r="BG449" s="234">
        <v>23436</v>
      </c>
      <c r="BH449" s="235">
        <v>45167</v>
      </c>
      <c r="BI449" s="236" t="s">
        <v>583</v>
      </c>
      <c r="BJ449" s="238" t="s">
        <v>2426</v>
      </c>
      <c r="BK449" s="237" t="s">
        <v>1371</v>
      </c>
    </row>
    <row r="450" spans="56:63" ht="16.5" customHeight="1" x14ac:dyDescent="0.3">
      <c r="BD450" s="239" t="s">
        <v>989</v>
      </c>
      <c r="BE450" s="240" t="s">
        <v>2427</v>
      </c>
      <c r="BF450" s="241">
        <v>1858</v>
      </c>
      <c r="BG450" s="242">
        <v>22296</v>
      </c>
      <c r="BH450" s="243">
        <v>45168</v>
      </c>
      <c r="BI450" s="244" t="s">
        <v>583</v>
      </c>
      <c r="BJ450" s="245" t="s">
        <v>2320</v>
      </c>
      <c r="BK450" s="246" t="s">
        <v>1371</v>
      </c>
    </row>
    <row r="451" spans="56:63" ht="16.5" customHeight="1" x14ac:dyDescent="0.3">
      <c r="BD451" s="239" t="s">
        <v>989</v>
      </c>
      <c r="BE451" s="240" t="s">
        <v>2428</v>
      </c>
      <c r="BF451" s="241">
        <v>1861</v>
      </c>
      <c r="BG451" s="242">
        <v>22332</v>
      </c>
      <c r="BH451" s="243">
        <v>45168</v>
      </c>
      <c r="BI451" s="244" t="s">
        <v>583</v>
      </c>
      <c r="BJ451" s="239" t="s">
        <v>2320</v>
      </c>
      <c r="BK451" s="246" t="s">
        <v>1371</v>
      </c>
    </row>
    <row r="452" spans="56:63" ht="16.5" customHeight="1" x14ac:dyDescent="0.3">
      <c r="BD452" s="247" t="s">
        <v>989</v>
      </c>
      <c r="BE452" s="248" t="s">
        <v>2429</v>
      </c>
      <c r="BF452" s="249">
        <v>1834</v>
      </c>
      <c r="BG452" s="250">
        <v>22008</v>
      </c>
      <c r="BH452" s="251">
        <v>45168</v>
      </c>
      <c r="BI452" s="252" t="s">
        <v>583</v>
      </c>
      <c r="BJ452" s="247" t="s">
        <v>2320</v>
      </c>
      <c r="BK452" s="253" t="s">
        <v>1371</v>
      </c>
    </row>
    <row r="453" spans="56:63" ht="16.5" customHeight="1" x14ac:dyDescent="0.3">
      <c r="BD453" s="247" t="s">
        <v>989</v>
      </c>
      <c r="BE453" s="248" t="s">
        <v>2430</v>
      </c>
      <c r="BF453" s="249">
        <v>1870</v>
      </c>
      <c r="BG453" s="250">
        <v>22440</v>
      </c>
      <c r="BH453" s="251">
        <v>45168</v>
      </c>
      <c r="BI453" s="252" t="s">
        <v>583</v>
      </c>
      <c r="BJ453" s="254" t="s">
        <v>2320</v>
      </c>
      <c r="BK453" s="253" t="s">
        <v>1371</v>
      </c>
    </row>
    <row r="454" spans="56:63" ht="16.5" customHeight="1" x14ac:dyDescent="0.3">
      <c r="BD454" s="247" t="s">
        <v>989</v>
      </c>
      <c r="BE454" s="248" t="s">
        <v>2431</v>
      </c>
      <c r="BF454" s="249">
        <v>1958</v>
      </c>
      <c r="BG454" s="250">
        <v>23496</v>
      </c>
      <c r="BH454" s="251">
        <v>45168</v>
      </c>
      <c r="BI454" s="252" t="s">
        <v>583</v>
      </c>
      <c r="BJ454" s="254" t="s">
        <v>2320</v>
      </c>
      <c r="BK454" s="253" t="s">
        <v>1371</v>
      </c>
    </row>
    <row r="455" spans="56:63" ht="16.5" customHeight="1" x14ac:dyDescent="0.3">
      <c r="BD455" s="134" t="s">
        <v>968</v>
      </c>
      <c r="BE455" s="113" t="s">
        <v>2432</v>
      </c>
      <c r="BF455" s="229">
        <v>1958</v>
      </c>
      <c r="BG455" s="234">
        <v>23496</v>
      </c>
      <c r="BH455" s="143">
        <v>45168</v>
      </c>
      <c r="BI455" s="198" t="s">
        <v>583</v>
      </c>
      <c r="BJ455" s="199" t="s">
        <v>2320</v>
      </c>
      <c r="BK455" s="201" t="s">
        <v>1371</v>
      </c>
    </row>
    <row r="456" spans="56:63" ht="16.5" customHeight="1" x14ac:dyDescent="0.3">
      <c r="BD456" s="231" t="s">
        <v>2433</v>
      </c>
      <c r="BE456" s="232" t="s">
        <v>2434</v>
      </c>
      <c r="BF456" s="233">
        <v>1952</v>
      </c>
      <c r="BG456" s="234">
        <v>23424</v>
      </c>
      <c r="BH456" s="235">
        <v>45169</v>
      </c>
      <c r="BI456" s="236" t="s">
        <v>583</v>
      </c>
      <c r="BJ456" s="238" t="s">
        <v>2320</v>
      </c>
      <c r="BK456" s="237" t="s">
        <v>1371</v>
      </c>
    </row>
    <row r="457" spans="56:63" ht="16.5" customHeight="1" x14ac:dyDescent="0.3">
      <c r="BD457" s="231" t="s">
        <v>968</v>
      </c>
      <c r="BE457" s="232" t="s">
        <v>2435</v>
      </c>
      <c r="BF457" s="233">
        <v>1948</v>
      </c>
      <c r="BG457" s="234">
        <v>23376</v>
      </c>
      <c r="BH457" s="235">
        <v>45169</v>
      </c>
      <c r="BI457" s="236" t="s">
        <v>583</v>
      </c>
      <c r="BJ457" s="238" t="s">
        <v>2320</v>
      </c>
      <c r="BK457" s="237" t="s">
        <v>1371</v>
      </c>
    </row>
    <row r="458" spans="56:63" ht="16.5" customHeight="1" x14ac:dyDescent="0.3">
      <c r="BD458" s="134" t="s">
        <v>2436</v>
      </c>
      <c r="BE458" s="113" t="s">
        <v>2437</v>
      </c>
      <c r="BF458" s="229">
        <v>1958</v>
      </c>
      <c r="BG458" s="230">
        <v>23496</v>
      </c>
      <c r="BH458" s="143">
        <v>45169</v>
      </c>
      <c r="BI458" s="198" t="s">
        <v>583</v>
      </c>
      <c r="BJ458" s="199" t="s">
        <v>2361</v>
      </c>
      <c r="BK458" s="201" t="s">
        <v>1371</v>
      </c>
    </row>
    <row r="459" spans="56:63" ht="16.5" customHeight="1" x14ac:dyDescent="0.3">
      <c r="BD459" s="134" t="s">
        <v>2436</v>
      </c>
      <c r="BE459" s="113" t="s">
        <v>2438</v>
      </c>
      <c r="BF459" s="229">
        <v>1958</v>
      </c>
      <c r="BG459" s="230">
        <v>23496</v>
      </c>
      <c r="BH459" s="143">
        <v>45169</v>
      </c>
      <c r="BI459" s="198" t="s">
        <v>583</v>
      </c>
      <c r="BJ459" s="134" t="s">
        <v>2361</v>
      </c>
      <c r="BK459" s="201" t="s">
        <v>1371</v>
      </c>
    </row>
    <row r="460" spans="56:63" ht="16.5" customHeight="1" x14ac:dyDescent="0.3">
      <c r="BD460" s="239" t="s">
        <v>330</v>
      </c>
      <c r="BE460" s="240" t="s">
        <v>2439</v>
      </c>
      <c r="BF460" s="241">
        <v>1917</v>
      </c>
      <c r="BG460" s="242">
        <v>23004</v>
      </c>
      <c r="BH460" s="243">
        <v>45169</v>
      </c>
      <c r="BI460" s="244" t="s">
        <v>583</v>
      </c>
      <c r="BJ460" s="245" t="s">
        <v>2378</v>
      </c>
      <c r="BK460" s="246" t="s">
        <v>1371</v>
      </c>
    </row>
    <row r="461" spans="56:63" ht="16.5" customHeight="1" x14ac:dyDescent="0.3">
      <c r="BD461" s="239" t="s">
        <v>330</v>
      </c>
      <c r="BE461" s="240" t="s">
        <v>2440</v>
      </c>
      <c r="BF461" s="241">
        <v>1960</v>
      </c>
      <c r="BG461" s="242">
        <v>23520</v>
      </c>
      <c r="BH461" s="243">
        <v>45169</v>
      </c>
      <c r="BI461" s="244" t="s">
        <v>583</v>
      </c>
      <c r="BJ461" s="239" t="s">
        <v>2378</v>
      </c>
      <c r="BK461" s="246" t="s">
        <v>1371</v>
      </c>
    </row>
    <row r="462" spans="56:63" ht="16.5" customHeight="1" x14ac:dyDescent="0.3">
      <c r="BD462" s="239" t="s">
        <v>920</v>
      </c>
      <c r="BE462" s="240" t="s">
        <v>2441</v>
      </c>
      <c r="BF462" s="241">
        <v>1960</v>
      </c>
      <c r="BG462" s="242">
        <v>23520</v>
      </c>
      <c r="BH462" s="243">
        <v>45169</v>
      </c>
      <c r="BI462" s="244" t="s">
        <v>583</v>
      </c>
      <c r="BJ462" s="239" t="s">
        <v>2378</v>
      </c>
      <c r="BK462" s="246" t="s">
        <v>1371</v>
      </c>
    </row>
    <row r="463" spans="56:63" ht="16.5" customHeight="1" x14ac:dyDescent="0.3">
      <c r="BD463" s="134" t="s">
        <v>2387</v>
      </c>
      <c r="BE463" s="113" t="s">
        <v>2442</v>
      </c>
      <c r="BF463" s="229">
        <v>2300</v>
      </c>
      <c r="BG463" s="230">
        <v>23000</v>
      </c>
      <c r="BH463" s="143">
        <v>45174</v>
      </c>
      <c r="BI463" s="198" t="s">
        <v>583</v>
      </c>
      <c r="BJ463" s="199" t="s">
        <v>1125</v>
      </c>
      <c r="BK463" s="201" t="s">
        <v>2309</v>
      </c>
    </row>
    <row r="464" spans="56:63" ht="16.5" customHeight="1" x14ac:dyDescent="0.3">
      <c r="BD464" s="231" t="s">
        <v>968</v>
      </c>
      <c r="BE464" s="232" t="s">
        <v>2443</v>
      </c>
      <c r="BF464" s="233">
        <v>1566</v>
      </c>
      <c r="BG464" s="234">
        <v>23490</v>
      </c>
      <c r="BH464" s="235">
        <v>45174</v>
      </c>
      <c r="BI464" s="236" t="s">
        <v>583</v>
      </c>
      <c r="BJ464" s="238" t="s">
        <v>2444</v>
      </c>
      <c r="BK464" s="237" t="s">
        <v>1371</v>
      </c>
    </row>
    <row r="465" spans="56:63" ht="16.5" customHeight="1" x14ac:dyDescent="0.3">
      <c r="BD465" s="134" t="s">
        <v>330</v>
      </c>
      <c r="BE465" s="113" t="s">
        <v>2445</v>
      </c>
      <c r="BF465" s="229">
        <v>1980</v>
      </c>
      <c r="BG465" s="230">
        <v>23760</v>
      </c>
      <c r="BH465" s="143">
        <v>45175</v>
      </c>
      <c r="BI465" s="198" t="s">
        <v>583</v>
      </c>
      <c r="BJ465" s="199" t="s">
        <v>2370</v>
      </c>
      <c r="BK465" s="201" t="s">
        <v>1371</v>
      </c>
    </row>
    <row r="466" spans="56:63" ht="16.5" customHeight="1" x14ac:dyDescent="0.3">
      <c r="BD466" s="134" t="s">
        <v>330</v>
      </c>
      <c r="BE466" s="113" t="s">
        <v>2446</v>
      </c>
      <c r="BF466" s="229">
        <v>1980</v>
      </c>
      <c r="BG466" s="230">
        <v>23760</v>
      </c>
      <c r="BH466" s="235">
        <v>45175</v>
      </c>
      <c r="BI466" s="198" t="s">
        <v>583</v>
      </c>
      <c r="BJ466" s="199" t="s">
        <v>2370</v>
      </c>
      <c r="BK466" s="201" t="s">
        <v>1371</v>
      </c>
    </row>
    <row r="467" spans="56:63" ht="16.5" customHeight="1" x14ac:dyDescent="0.3">
      <c r="BD467" s="231" t="s">
        <v>1073</v>
      </c>
      <c r="BE467" s="232" t="s">
        <v>2447</v>
      </c>
      <c r="BF467" s="233">
        <v>1980</v>
      </c>
      <c r="BG467" s="234">
        <v>23760</v>
      </c>
      <c r="BH467" s="235">
        <v>45176</v>
      </c>
      <c r="BI467" s="236" t="s">
        <v>583</v>
      </c>
      <c r="BJ467" s="238" t="s">
        <v>2448</v>
      </c>
      <c r="BK467" s="201" t="s">
        <v>1371</v>
      </c>
    </row>
    <row r="468" spans="56:63" ht="16.5" customHeight="1" x14ac:dyDescent="0.3">
      <c r="BD468" s="134" t="s">
        <v>330</v>
      </c>
      <c r="BE468" s="113" t="s">
        <v>2449</v>
      </c>
      <c r="BF468" s="229">
        <v>1960</v>
      </c>
      <c r="BG468" s="230">
        <v>23520</v>
      </c>
      <c r="BH468" s="143">
        <v>45177</v>
      </c>
      <c r="BI468" s="198" t="s">
        <v>583</v>
      </c>
      <c r="BJ468" s="199" t="s">
        <v>2378</v>
      </c>
      <c r="BK468" s="201" t="s">
        <v>1371</v>
      </c>
    </row>
    <row r="469" spans="56:63" ht="16.5" customHeight="1" x14ac:dyDescent="0.3">
      <c r="BD469" s="231" t="s">
        <v>330</v>
      </c>
      <c r="BE469" s="232" t="s">
        <v>2450</v>
      </c>
      <c r="BF469" s="233">
        <v>1917</v>
      </c>
      <c r="BG469" s="234">
        <v>23004</v>
      </c>
      <c r="BH469" s="235">
        <v>45177</v>
      </c>
      <c r="BI469" s="236" t="s">
        <v>583</v>
      </c>
      <c r="BJ469" s="238" t="s">
        <v>2378</v>
      </c>
      <c r="BK469" s="237" t="s">
        <v>1371</v>
      </c>
    </row>
    <row r="470" spans="56:63" ht="16.5" customHeight="1" x14ac:dyDescent="0.3">
      <c r="BD470" s="134" t="s">
        <v>330</v>
      </c>
      <c r="BE470" s="113" t="s">
        <v>2451</v>
      </c>
      <c r="BF470" s="229">
        <v>1917</v>
      </c>
      <c r="BG470" s="230">
        <v>23004</v>
      </c>
      <c r="BH470" s="143">
        <v>45177</v>
      </c>
      <c r="BI470" s="198" t="s">
        <v>583</v>
      </c>
      <c r="BJ470" s="134" t="s">
        <v>2378</v>
      </c>
      <c r="BK470" s="201" t="s">
        <v>1371</v>
      </c>
    </row>
    <row r="471" spans="56:63" ht="16.5" customHeight="1" x14ac:dyDescent="0.3">
      <c r="BD471" s="134" t="s">
        <v>754</v>
      </c>
      <c r="BE471" s="113" t="s">
        <v>2452</v>
      </c>
      <c r="BF471" s="229">
        <v>1951</v>
      </c>
      <c r="BG471" s="230">
        <v>23412</v>
      </c>
      <c r="BH471" s="143">
        <v>45177</v>
      </c>
      <c r="BI471" s="198" t="s">
        <v>583</v>
      </c>
      <c r="BJ471" s="134" t="s">
        <v>2320</v>
      </c>
      <c r="BK471" s="201" t="s">
        <v>1371</v>
      </c>
    </row>
    <row r="472" spans="56:63" ht="16.5" customHeight="1" x14ac:dyDescent="0.3">
      <c r="BD472" s="134" t="s">
        <v>754</v>
      </c>
      <c r="BE472" s="113" t="s">
        <v>2453</v>
      </c>
      <c r="BF472" s="229">
        <v>1939</v>
      </c>
      <c r="BG472" s="230">
        <v>23268</v>
      </c>
      <c r="BH472" s="143">
        <v>45177</v>
      </c>
      <c r="BI472" s="198" t="s">
        <v>583</v>
      </c>
      <c r="BJ472" s="134" t="s">
        <v>2320</v>
      </c>
      <c r="BK472" s="201" t="s">
        <v>1371</v>
      </c>
    </row>
    <row r="473" spans="56:63" ht="16.5" customHeight="1" x14ac:dyDescent="0.3">
      <c r="BD473" s="134" t="s">
        <v>920</v>
      </c>
      <c r="BE473" s="113" t="s">
        <v>2454</v>
      </c>
      <c r="BF473" s="229">
        <v>1500</v>
      </c>
      <c r="BG473" s="230">
        <v>22500</v>
      </c>
      <c r="BH473" s="143">
        <v>45177</v>
      </c>
      <c r="BI473" s="198" t="s">
        <v>583</v>
      </c>
      <c r="BJ473" s="199" t="s">
        <v>1125</v>
      </c>
      <c r="BK473" s="201" t="s">
        <v>1371</v>
      </c>
    </row>
    <row r="474" spans="56:63" ht="16.5" customHeight="1" x14ac:dyDescent="0.3">
      <c r="BD474" s="231" t="s">
        <v>330</v>
      </c>
      <c r="BE474" s="232" t="s">
        <v>2455</v>
      </c>
      <c r="BF474" s="233">
        <v>1957</v>
      </c>
      <c r="BG474" s="234">
        <v>23484</v>
      </c>
      <c r="BH474" s="235">
        <v>45177</v>
      </c>
      <c r="BI474" s="236" t="s">
        <v>583</v>
      </c>
      <c r="BJ474" s="238" t="s">
        <v>2456</v>
      </c>
      <c r="BK474" s="237" t="s">
        <v>1371</v>
      </c>
    </row>
    <row r="475" spans="56:63" ht="16.5" customHeight="1" x14ac:dyDescent="0.3">
      <c r="BD475" s="134" t="s">
        <v>330</v>
      </c>
      <c r="BE475" s="113" t="s">
        <v>2457</v>
      </c>
      <c r="BF475" s="229">
        <v>1939</v>
      </c>
      <c r="BG475" s="234">
        <v>23268</v>
      </c>
      <c r="BH475" s="143">
        <v>45177</v>
      </c>
      <c r="BI475" s="236" t="s">
        <v>583</v>
      </c>
      <c r="BJ475" s="231" t="s">
        <v>2456</v>
      </c>
      <c r="BK475" s="237" t="s">
        <v>1371</v>
      </c>
    </row>
    <row r="476" spans="56:63" ht="16.5" customHeight="1" x14ac:dyDescent="0.3">
      <c r="BD476" s="134" t="s">
        <v>330</v>
      </c>
      <c r="BE476" s="113" t="s">
        <v>2458</v>
      </c>
      <c r="BF476" s="229">
        <v>1960</v>
      </c>
      <c r="BG476" s="230">
        <v>23520</v>
      </c>
      <c r="BH476" s="143">
        <v>45177</v>
      </c>
      <c r="BI476" s="198" t="s">
        <v>583</v>
      </c>
      <c r="BJ476" s="134" t="s">
        <v>2378</v>
      </c>
      <c r="BK476" s="201" t="s">
        <v>1371</v>
      </c>
    </row>
    <row r="477" spans="56:63" ht="16.5" customHeight="1" x14ac:dyDescent="0.3">
      <c r="BD477" s="231" t="s">
        <v>1073</v>
      </c>
      <c r="BE477" s="232" t="s">
        <v>2459</v>
      </c>
      <c r="BF477" s="233">
        <v>1960</v>
      </c>
      <c r="BG477" s="234">
        <v>23520</v>
      </c>
      <c r="BH477" s="235">
        <v>45177</v>
      </c>
      <c r="BI477" s="236" t="s">
        <v>583</v>
      </c>
      <c r="BJ477" s="238" t="s">
        <v>2378</v>
      </c>
      <c r="BK477" s="237" t="s">
        <v>1371</v>
      </c>
    </row>
    <row r="478" spans="56:63" ht="16.5" customHeight="1" x14ac:dyDescent="0.3">
      <c r="BD478" s="231" t="s">
        <v>1073</v>
      </c>
      <c r="BE478" s="232" t="s">
        <v>2460</v>
      </c>
      <c r="BF478" s="233">
        <v>1960</v>
      </c>
      <c r="BG478" s="234">
        <v>23004</v>
      </c>
      <c r="BH478" s="235">
        <v>45177</v>
      </c>
      <c r="BI478" s="236" t="s">
        <v>583</v>
      </c>
      <c r="BJ478" s="238" t="s">
        <v>2378</v>
      </c>
      <c r="BK478" s="237" t="s">
        <v>1371</v>
      </c>
    </row>
    <row r="479" spans="56:63" ht="16.5" customHeight="1" x14ac:dyDescent="0.3">
      <c r="BD479" s="231" t="s">
        <v>330</v>
      </c>
      <c r="BE479" s="232" t="s">
        <v>2461</v>
      </c>
      <c r="BF479" s="233">
        <v>1960</v>
      </c>
      <c r="BG479" s="234">
        <v>23520</v>
      </c>
      <c r="BH479" s="235">
        <v>45180</v>
      </c>
      <c r="BI479" s="236" t="s">
        <v>583</v>
      </c>
      <c r="BJ479" s="238" t="s">
        <v>2378</v>
      </c>
      <c r="BK479" s="237" t="s">
        <v>1371</v>
      </c>
    </row>
    <row r="480" spans="56:63" ht="16.5" customHeight="1" x14ac:dyDescent="0.3">
      <c r="BD480" s="231" t="s">
        <v>468</v>
      </c>
      <c r="BE480" s="232" t="s">
        <v>2462</v>
      </c>
      <c r="BF480" s="233">
        <v>1960</v>
      </c>
      <c r="BG480" s="234">
        <v>23520</v>
      </c>
      <c r="BH480" s="235">
        <v>45180</v>
      </c>
      <c r="BI480" s="236" t="s">
        <v>583</v>
      </c>
      <c r="BJ480" s="231" t="s">
        <v>2378</v>
      </c>
      <c r="BK480" s="237" t="s">
        <v>1371</v>
      </c>
    </row>
    <row r="481" spans="56:63" ht="16.5" customHeight="1" x14ac:dyDescent="0.3">
      <c r="BD481" s="134" t="s">
        <v>468</v>
      </c>
      <c r="BE481" s="113" t="s">
        <v>2463</v>
      </c>
      <c r="BF481" s="229">
        <v>1568</v>
      </c>
      <c r="BG481" s="230">
        <v>23520</v>
      </c>
      <c r="BH481" s="143">
        <v>45180</v>
      </c>
      <c r="BI481" s="198" t="s">
        <v>583</v>
      </c>
      <c r="BJ481" s="134" t="s">
        <v>2328</v>
      </c>
      <c r="BK481" s="201" t="s">
        <v>1371</v>
      </c>
    </row>
    <row r="482" spans="56:63" ht="16.5" customHeight="1" x14ac:dyDescent="0.3">
      <c r="BD482" s="231" t="s">
        <v>1008</v>
      </c>
      <c r="BE482" s="232" t="s">
        <v>2464</v>
      </c>
      <c r="BF482" s="233">
        <v>1916</v>
      </c>
      <c r="BG482" s="234">
        <v>22992</v>
      </c>
      <c r="BH482" s="235">
        <v>45180</v>
      </c>
      <c r="BI482" s="236" t="s">
        <v>583</v>
      </c>
      <c r="BJ482" s="238" t="s">
        <v>2307</v>
      </c>
      <c r="BK482" s="237" t="s">
        <v>1371</v>
      </c>
    </row>
    <row r="483" spans="56:63" ht="16.5" customHeight="1" x14ac:dyDescent="0.3">
      <c r="BD483" s="231" t="s">
        <v>1008</v>
      </c>
      <c r="BE483" s="232" t="s">
        <v>2465</v>
      </c>
      <c r="BF483" s="233">
        <v>1916</v>
      </c>
      <c r="BG483" s="234">
        <v>22992</v>
      </c>
      <c r="BH483" s="235">
        <v>45180</v>
      </c>
      <c r="BI483" s="236" t="s">
        <v>583</v>
      </c>
      <c r="BJ483" s="238" t="s">
        <v>2307</v>
      </c>
      <c r="BK483" s="237" t="s">
        <v>1371</v>
      </c>
    </row>
    <row r="484" spans="56:63" ht="16.5" customHeight="1" x14ac:dyDescent="0.3">
      <c r="BD484" s="134" t="s">
        <v>2436</v>
      </c>
      <c r="BE484" s="113" t="s">
        <v>2466</v>
      </c>
      <c r="BF484" s="229">
        <v>1958</v>
      </c>
      <c r="BG484" s="230">
        <v>23496</v>
      </c>
      <c r="BH484" s="235">
        <v>45180</v>
      </c>
      <c r="BI484" s="198" t="s">
        <v>583</v>
      </c>
      <c r="BJ484" s="134" t="s">
        <v>2361</v>
      </c>
      <c r="BK484" s="201" t="s">
        <v>1371</v>
      </c>
    </row>
    <row r="485" spans="56:63" ht="16.5" customHeight="1" x14ac:dyDescent="0.3">
      <c r="BD485" s="134" t="s">
        <v>2467</v>
      </c>
      <c r="BE485" s="113" t="s">
        <v>2468</v>
      </c>
      <c r="BF485" s="229">
        <v>1938</v>
      </c>
      <c r="BG485" s="230">
        <v>23256</v>
      </c>
      <c r="BH485" s="143">
        <v>45181</v>
      </c>
      <c r="BI485" s="198" t="s">
        <v>583</v>
      </c>
      <c r="BJ485" s="134" t="s">
        <v>2320</v>
      </c>
      <c r="BK485" s="201" t="s">
        <v>1371</v>
      </c>
    </row>
    <row r="486" spans="56:63" ht="16.5" customHeight="1" x14ac:dyDescent="0.3">
      <c r="BD486" s="231" t="s">
        <v>2418</v>
      </c>
      <c r="BE486" s="232" t="s">
        <v>2469</v>
      </c>
      <c r="BF486" s="233">
        <v>1958</v>
      </c>
      <c r="BG486" s="234">
        <v>23496</v>
      </c>
      <c r="BH486" s="235">
        <v>45181</v>
      </c>
      <c r="BI486" s="236" t="s">
        <v>583</v>
      </c>
      <c r="BJ486" s="238" t="s">
        <v>2320</v>
      </c>
      <c r="BK486" s="237" t="s">
        <v>1371</v>
      </c>
    </row>
    <row r="487" spans="56:63" ht="16.5" customHeight="1" x14ac:dyDescent="0.3">
      <c r="BD487" s="231" t="s">
        <v>968</v>
      </c>
      <c r="BE487" s="232" t="s">
        <v>2470</v>
      </c>
      <c r="BF487" s="233">
        <v>1948</v>
      </c>
      <c r="BG487" s="234">
        <v>23376</v>
      </c>
      <c r="BH487" s="235">
        <v>45182</v>
      </c>
      <c r="BI487" s="236" t="s">
        <v>583</v>
      </c>
      <c r="BJ487" s="238" t="s">
        <v>2320</v>
      </c>
      <c r="BK487" s="237" t="s">
        <v>1371</v>
      </c>
    </row>
    <row r="488" spans="56:63" ht="16.5" customHeight="1" x14ac:dyDescent="0.3">
      <c r="BD488" s="134" t="s">
        <v>968</v>
      </c>
      <c r="BE488" s="113" t="s">
        <v>2471</v>
      </c>
      <c r="BF488" s="229">
        <v>1958</v>
      </c>
      <c r="BG488" s="230">
        <v>23496</v>
      </c>
      <c r="BH488" s="143">
        <v>45182</v>
      </c>
      <c r="BI488" s="198" t="s">
        <v>583</v>
      </c>
      <c r="BJ488" s="199" t="s">
        <v>2320</v>
      </c>
      <c r="BK488" s="201" t="s">
        <v>1371</v>
      </c>
    </row>
    <row r="489" spans="56:63" ht="16.5" customHeight="1" x14ac:dyDescent="0.3">
      <c r="BD489" s="134" t="s">
        <v>330</v>
      </c>
      <c r="BE489" s="113" t="s">
        <v>2472</v>
      </c>
      <c r="BF489" s="229">
        <v>1568</v>
      </c>
      <c r="BG489" s="230">
        <v>23520</v>
      </c>
      <c r="BH489" s="143">
        <v>45182</v>
      </c>
      <c r="BI489" s="198" t="s">
        <v>583</v>
      </c>
      <c r="BJ489" s="199" t="s">
        <v>2328</v>
      </c>
      <c r="BK489" s="201" t="s">
        <v>1371</v>
      </c>
    </row>
    <row r="490" spans="56:63" ht="16.5" customHeight="1" x14ac:dyDescent="0.3">
      <c r="BD490" s="134" t="s">
        <v>350</v>
      </c>
      <c r="BE490" s="240" t="s">
        <v>2473</v>
      </c>
      <c r="BF490" s="229">
        <v>1950</v>
      </c>
      <c r="BG490" s="230">
        <v>23400</v>
      </c>
      <c r="BH490" s="235">
        <v>45183</v>
      </c>
      <c r="BI490" s="198" t="s">
        <v>583</v>
      </c>
      <c r="BJ490" s="199" t="s">
        <v>2474</v>
      </c>
      <c r="BK490" s="201" t="s">
        <v>1394</v>
      </c>
    </row>
    <row r="491" spans="56:63" ht="16.5" customHeight="1" x14ac:dyDescent="0.3">
      <c r="BD491" s="134" t="s">
        <v>330</v>
      </c>
      <c r="BE491" s="240" t="s">
        <v>2475</v>
      </c>
      <c r="BF491" s="229">
        <v>1958</v>
      </c>
      <c r="BG491" s="230">
        <v>23496</v>
      </c>
      <c r="BH491" s="143">
        <v>45184</v>
      </c>
      <c r="BI491" s="198" t="s">
        <v>583</v>
      </c>
      <c r="BJ491" s="134" t="s">
        <v>2320</v>
      </c>
      <c r="BK491" s="201" t="s">
        <v>1371</v>
      </c>
    </row>
    <row r="492" spans="56:63" ht="16.5" customHeight="1" x14ac:dyDescent="0.3">
      <c r="BD492" s="231" t="s">
        <v>350</v>
      </c>
      <c r="BE492" s="248" t="s">
        <v>2476</v>
      </c>
      <c r="BF492" s="233">
        <v>1925</v>
      </c>
      <c r="BG492" s="234">
        <v>23100</v>
      </c>
      <c r="BH492" s="143">
        <v>45184</v>
      </c>
      <c r="BI492" s="236" t="s">
        <v>583</v>
      </c>
      <c r="BJ492" s="238" t="s">
        <v>2372</v>
      </c>
      <c r="BK492" s="237" t="s">
        <v>1394</v>
      </c>
    </row>
    <row r="493" spans="56:63" ht="16.5" customHeight="1" x14ac:dyDescent="0.3">
      <c r="BD493" s="134" t="s">
        <v>1073</v>
      </c>
      <c r="BE493" s="240" t="s">
        <v>2477</v>
      </c>
      <c r="BF493" s="229">
        <v>1985</v>
      </c>
      <c r="BG493" s="230">
        <v>23820</v>
      </c>
      <c r="BH493" s="143">
        <v>45184</v>
      </c>
      <c r="BI493" s="198" t="s">
        <v>583</v>
      </c>
      <c r="BJ493" s="199" t="s">
        <v>2359</v>
      </c>
      <c r="BK493" s="201" t="s">
        <v>1371</v>
      </c>
    </row>
    <row r="494" spans="56:63" ht="16.5" customHeight="1" x14ac:dyDescent="0.3">
      <c r="BD494" s="134" t="s">
        <v>1073</v>
      </c>
      <c r="BE494" s="240" t="s">
        <v>2478</v>
      </c>
      <c r="BF494" s="229">
        <v>1893</v>
      </c>
      <c r="BG494" s="230">
        <v>22716</v>
      </c>
      <c r="BH494" s="143">
        <v>45184</v>
      </c>
      <c r="BI494" s="198" t="s">
        <v>583</v>
      </c>
      <c r="BJ494" s="199" t="s">
        <v>2359</v>
      </c>
      <c r="BK494" s="201" t="s">
        <v>1371</v>
      </c>
    </row>
    <row r="495" spans="56:63" ht="16.5" customHeight="1" x14ac:dyDescent="0.3">
      <c r="BD495" s="134" t="s">
        <v>2418</v>
      </c>
      <c r="BE495" s="240" t="s">
        <v>2479</v>
      </c>
      <c r="BF495" s="229">
        <v>1925</v>
      </c>
      <c r="BG495" s="230">
        <v>23100</v>
      </c>
      <c r="BH495" s="143">
        <v>45184</v>
      </c>
      <c r="BI495" s="198" t="s">
        <v>583</v>
      </c>
      <c r="BJ495" s="134" t="s">
        <v>2474</v>
      </c>
      <c r="BK495" s="201" t="s">
        <v>1394</v>
      </c>
    </row>
    <row r="496" spans="56:63" ht="16.5" customHeight="1" x14ac:dyDescent="0.3">
      <c r="BD496" s="134" t="s">
        <v>968</v>
      </c>
      <c r="BE496" s="113" t="s">
        <v>2480</v>
      </c>
      <c r="BF496" s="229">
        <v>1940</v>
      </c>
      <c r="BG496" s="230">
        <v>23280</v>
      </c>
      <c r="BH496" s="143">
        <v>45184</v>
      </c>
      <c r="BI496" s="198" t="s">
        <v>583</v>
      </c>
      <c r="BJ496" s="134" t="s">
        <v>2320</v>
      </c>
      <c r="BK496" s="201" t="s">
        <v>1371</v>
      </c>
    </row>
    <row r="497" spans="16:63" ht="16.5" customHeight="1" x14ac:dyDescent="0.3">
      <c r="BD497" s="231" t="s">
        <v>1008</v>
      </c>
      <c r="BE497" s="232" t="s">
        <v>2481</v>
      </c>
      <c r="BF497" s="233">
        <v>1916</v>
      </c>
      <c r="BG497" s="234">
        <v>22992</v>
      </c>
      <c r="BH497" s="143">
        <v>45184</v>
      </c>
      <c r="BI497" s="236" t="s">
        <v>583</v>
      </c>
      <c r="BJ497" s="238" t="s">
        <v>2307</v>
      </c>
      <c r="BK497" s="237" t="s">
        <v>1371</v>
      </c>
    </row>
    <row r="498" spans="16:63" ht="16.5" customHeight="1" x14ac:dyDescent="0.3">
      <c r="BD498" s="255" t="s">
        <v>1073</v>
      </c>
      <c r="BE498" s="232" t="s">
        <v>2482</v>
      </c>
      <c r="BF498" s="233">
        <v>1950</v>
      </c>
      <c r="BG498" s="234">
        <v>23400</v>
      </c>
      <c r="BH498" s="235">
        <v>45187</v>
      </c>
      <c r="BI498" s="236" t="s">
        <v>583</v>
      </c>
      <c r="BJ498" s="238" t="s">
        <v>2483</v>
      </c>
      <c r="BK498" s="237" t="s">
        <v>1371</v>
      </c>
    </row>
    <row r="499" spans="16:63" ht="16.5" customHeight="1" x14ac:dyDescent="0.3">
      <c r="BD499" s="255" t="s">
        <v>1073</v>
      </c>
      <c r="BE499" s="232" t="s">
        <v>2484</v>
      </c>
      <c r="BF499" s="256">
        <v>1980</v>
      </c>
      <c r="BG499" s="234">
        <v>23760</v>
      </c>
      <c r="BH499" s="235">
        <v>45187</v>
      </c>
      <c r="BI499" s="236" t="s">
        <v>583</v>
      </c>
      <c r="BJ499" s="238" t="s">
        <v>2370</v>
      </c>
      <c r="BK499" s="237" t="s">
        <v>1371</v>
      </c>
    </row>
    <row r="500" spans="16:63" ht="16.5" customHeight="1" x14ac:dyDescent="0.3">
      <c r="BD500" s="255" t="s">
        <v>330</v>
      </c>
      <c r="BE500" s="113" t="s">
        <v>2485</v>
      </c>
      <c r="BF500" s="229">
        <v>1960</v>
      </c>
      <c r="BG500" s="230">
        <v>23520</v>
      </c>
      <c r="BH500" s="143">
        <v>45187</v>
      </c>
      <c r="BI500" s="198" t="s">
        <v>583</v>
      </c>
      <c r="BJ500" s="199" t="s">
        <v>2378</v>
      </c>
      <c r="BK500" s="201" t="s">
        <v>1371</v>
      </c>
    </row>
    <row r="501" spans="16:63" ht="16.5" customHeight="1" x14ac:dyDescent="0.3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BD501" s="255" t="s">
        <v>2418</v>
      </c>
      <c r="BE501" s="232" t="s">
        <v>2486</v>
      </c>
      <c r="BF501" s="233">
        <v>1925</v>
      </c>
      <c r="BG501" s="234">
        <v>23100</v>
      </c>
      <c r="BH501" s="235">
        <v>45187</v>
      </c>
      <c r="BI501" s="236" t="s">
        <v>583</v>
      </c>
      <c r="BJ501" s="231" t="s">
        <v>2474</v>
      </c>
      <c r="BK501" s="237" t="s">
        <v>1394</v>
      </c>
    </row>
    <row r="502" spans="16:63" ht="16.5" customHeight="1" x14ac:dyDescent="0.3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BD502" s="257" t="s">
        <v>2436</v>
      </c>
      <c r="BE502" s="232" t="s">
        <v>2487</v>
      </c>
      <c r="BF502" s="233">
        <v>1958</v>
      </c>
      <c r="BG502" s="234">
        <v>23496</v>
      </c>
      <c r="BH502" s="235">
        <v>45187</v>
      </c>
      <c r="BI502" s="236" t="s">
        <v>583</v>
      </c>
      <c r="BJ502" s="238" t="s">
        <v>2361</v>
      </c>
      <c r="BK502" s="237" t="s">
        <v>1371</v>
      </c>
    </row>
    <row r="503" spans="16:63" ht="16.5" customHeight="1" x14ac:dyDescent="0.3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BD503" s="255" t="s">
        <v>1073</v>
      </c>
      <c r="BE503" s="232" t="s">
        <v>2488</v>
      </c>
      <c r="BF503" s="233">
        <v>1950</v>
      </c>
      <c r="BG503" s="234">
        <v>23400</v>
      </c>
      <c r="BH503" s="235">
        <v>45187</v>
      </c>
      <c r="BI503" s="236" t="s">
        <v>583</v>
      </c>
      <c r="BJ503" s="238" t="s">
        <v>2483</v>
      </c>
      <c r="BK503" s="237" t="s">
        <v>1371</v>
      </c>
    </row>
    <row r="504" spans="16:63" ht="16.5" customHeight="1" x14ac:dyDescent="0.3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BD504" s="255" t="s">
        <v>330</v>
      </c>
      <c r="BE504" s="113" t="s">
        <v>2489</v>
      </c>
      <c r="BF504" s="229">
        <v>1960</v>
      </c>
      <c r="BG504" s="230">
        <v>23520</v>
      </c>
      <c r="BH504" s="143">
        <v>45187</v>
      </c>
      <c r="BI504" s="198" t="s">
        <v>583</v>
      </c>
      <c r="BJ504" s="199" t="s">
        <v>2378</v>
      </c>
      <c r="BK504" s="201" t="s">
        <v>1371</v>
      </c>
    </row>
    <row r="505" spans="16:63" ht="16.5" customHeight="1" x14ac:dyDescent="0.3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BD505" s="255" t="s">
        <v>330</v>
      </c>
      <c r="BE505" s="113" t="s">
        <v>2490</v>
      </c>
      <c r="BF505" s="229">
        <v>1917</v>
      </c>
      <c r="BG505" s="230">
        <v>23004</v>
      </c>
      <c r="BH505" s="143">
        <v>45187</v>
      </c>
      <c r="BI505" s="198" t="s">
        <v>583</v>
      </c>
      <c r="BJ505" s="199" t="s">
        <v>2378</v>
      </c>
      <c r="BK505" s="201" t="s">
        <v>1371</v>
      </c>
    </row>
    <row r="506" spans="16:63" ht="16.5" customHeight="1" x14ac:dyDescent="0.3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BD506" s="255" t="s">
        <v>350</v>
      </c>
      <c r="BE506" s="113" t="s">
        <v>2491</v>
      </c>
      <c r="BF506" s="229">
        <v>1925</v>
      </c>
      <c r="BG506" s="230">
        <v>23100</v>
      </c>
      <c r="BH506" s="143">
        <v>45187</v>
      </c>
      <c r="BI506" s="198" t="s">
        <v>583</v>
      </c>
      <c r="BJ506" s="134" t="s">
        <v>2372</v>
      </c>
      <c r="BK506" s="201" t="s">
        <v>1394</v>
      </c>
    </row>
    <row r="507" spans="16:63" ht="16.5" customHeight="1" x14ac:dyDescent="0.3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BD507" s="134" t="s">
        <v>2414</v>
      </c>
      <c r="BE507" s="113" t="s">
        <v>2492</v>
      </c>
      <c r="BF507" s="229">
        <v>1960</v>
      </c>
      <c r="BG507" s="230">
        <v>23520</v>
      </c>
      <c r="BH507" s="235">
        <v>45188</v>
      </c>
      <c r="BI507" s="198" t="s">
        <v>583</v>
      </c>
      <c r="BJ507" s="134" t="s">
        <v>2378</v>
      </c>
      <c r="BK507" s="201" t="s">
        <v>1371</v>
      </c>
    </row>
    <row r="508" spans="16:63" ht="16.5" customHeight="1" x14ac:dyDescent="0.3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BD508" s="134" t="s">
        <v>2414</v>
      </c>
      <c r="BE508" s="113" t="s">
        <v>2493</v>
      </c>
      <c r="BF508" s="229">
        <v>1960</v>
      </c>
      <c r="BG508" s="230">
        <v>23520</v>
      </c>
      <c r="BH508" s="235">
        <v>45188</v>
      </c>
      <c r="BI508" s="198" t="s">
        <v>583</v>
      </c>
      <c r="BJ508" s="134" t="s">
        <v>2378</v>
      </c>
      <c r="BK508" s="201" t="s">
        <v>1371</v>
      </c>
    </row>
    <row r="509" spans="16:63" ht="16.5" customHeight="1" x14ac:dyDescent="0.3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BD509" s="231" t="s">
        <v>989</v>
      </c>
      <c r="BE509" s="232" t="s">
        <v>2494</v>
      </c>
      <c r="BF509" s="233">
        <v>1949</v>
      </c>
      <c r="BG509" s="234">
        <v>23388</v>
      </c>
      <c r="BH509" s="235">
        <v>45188</v>
      </c>
      <c r="BI509" s="236" t="s">
        <v>583</v>
      </c>
      <c r="BJ509" s="231" t="s">
        <v>2456</v>
      </c>
      <c r="BK509" s="201" t="s">
        <v>1371</v>
      </c>
    </row>
    <row r="510" spans="16:63" ht="16.5" customHeight="1" x14ac:dyDescent="0.3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BD510" s="231" t="s">
        <v>989</v>
      </c>
      <c r="BE510" s="232" t="s">
        <v>2495</v>
      </c>
      <c r="BF510" s="233">
        <v>1858</v>
      </c>
      <c r="BG510" s="234">
        <v>22296</v>
      </c>
      <c r="BH510" s="235">
        <v>45188</v>
      </c>
      <c r="BI510" s="236" t="s">
        <v>583</v>
      </c>
      <c r="BJ510" s="231" t="s">
        <v>2456</v>
      </c>
      <c r="BK510" s="201" t="s">
        <v>1371</v>
      </c>
    </row>
    <row r="511" spans="16:63" ht="16.5" customHeight="1" x14ac:dyDescent="0.3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BD511" s="231" t="s">
        <v>350</v>
      </c>
      <c r="BE511" s="232" t="s">
        <v>2496</v>
      </c>
      <c r="BF511" s="233">
        <v>1925</v>
      </c>
      <c r="BG511" s="234">
        <v>23100</v>
      </c>
      <c r="BH511" s="235">
        <v>45188</v>
      </c>
      <c r="BI511" s="236" t="s">
        <v>583</v>
      </c>
      <c r="BJ511" s="238" t="s">
        <v>2372</v>
      </c>
      <c r="BK511" s="237" t="s">
        <v>1394</v>
      </c>
    </row>
    <row r="512" spans="16:63" ht="16.5" customHeight="1" x14ac:dyDescent="0.3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BD512" s="134" t="s">
        <v>754</v>
      </c>
      <c r="BE512" s="113" t="s">
        <v>2497</v>
      </c>
      <c r="BF512" s="229">
        <v>1815</v>
      </c>
      <c r="BG512" s="230">
        <v>21780</v>
      </c>
      <c r="BH512" s="235">
        <v>45188</v>
      </c>
      <c r="BI512" s="198" t="s">
        <v>583</v>
      </c>
      <c r="BJ512" s="199" t="s">
        <v>1075</v>
      </c>
      <c r="BK512" s="201" t="s">
        <v>1371</v>
      </c>
    </row>
    <row r="513" spans="16:63" ht="16.5" customHeight="1" x14ac:dyDescent="0.3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BD513" s="134" t="s">
        <v>989</v>
      </c>
      <c r="BE513" s="113" t="s">
        <v>2498</v>
      </c>
      <c r="BF513" s="229">
        <v>1856</v>
      </c>
      <c r="BG513" s="230">
        <v>22272</v>
      </c>
      <c r="BH513" s="235">
        <v>45189</v>
      </c>
      <c r="BI513" s="198" t="s">
        <v>583</v>
      </c>
      <c r="BJ513" s="134" t="s">
        <v>2320</v>
      </c>
      <c r="BK513" s="201" t="s">
        <v>1371</v>
      </c>
    </row>
    <row r="514" spans="16:63" ht="16.5" customHeight="1" x14ac:dyDescent="0.3">
      <c r="BD514" s="231" t="s">
        <v>989</v>
      </c>
      <c r="BE514" s="232" t="s">
        <v>2499</v>
      </c>
      <c r="BF514" s="233">
        <v>1958</v>
      </c>
      <c r="BG514" s="234">
        <v>23496</v>
      </c>
      <c r="BH514" s="235">
        <v>45189</v>
      </c>
      <c r="BI514" s="198" t="s">
        <v>583</v>
      </c>
      <c r="BJ514" s="134" t="s">
        <v>2320</v>
      </c>
      <c r="BK514" s="201" t="s">
        <v>1371</v>
      </c>
    </row>
    <row r="515" spans="16:63" ht="16.5" customHeight="1" x14ac:dyDescent="0.3">
      <c r="BD515" s="231" t="s">
        <v>330</v>
      </c>
      <c r="BE515" s="232" t="s">
        <v>2500</v>
      </c>
      <c r="BF515" s="233">
        <v>1960</v>
      </c>
      <c r="BG515" s="234">
        <v>23520</v>
      </c>
      <c r="BH515" s="235">
        <v>45189</v>
      </c>
      <c r="BI515" s="236" t="s">
        <v>583</v>
      </c>
      <c r="BJ515" s="238" t="s">
        <v>2378</v>
      </c>
      <c r="BK515" s="237" t="s">
        <v>1371</v>
      </c>
    </row>
    <row r="516" spans="16:63" ht="16.5" customHeight="1" x14ac:dyDescent="0.3">
      <c r="BD516" s="231" t="s">
        <v>330</v>
      </c>
      <c r="BE516" s="232" t="s">
        <v>2501</v>
      </c>
      <c r="BF516" s="233">
        <v>1950</v>
      </c>
      <c r="BG516" s="234">
        <v>23400</v>
      </c>
      <c r="BH516" s="235">
        <v>45190</v>
      </c>
      <c r="BI516" s="236" t="s">
        <v>583</v>
      </c>
      <c r="BJ516" s="231" t="s">
        <v>2483</v>
      </c>
      <c r="BK516" s="237" t="s">
        <v>1371</v>
      </c>
    </row>
    <row r="517" spans="16:63" ht="16.5" customHeight="1" x14ac:dyDescent="0.3">
      <c r="BD517" s="134" t="s">
        <v>350</v>
      </c>
      <c r="BE517" s="113" t="s">
        <v>2502</v>
      </c>
      <c r="BF517" s="229">
        <v>1925</v>
      </c>
      <c r="BG517" s="230">
        <v>23100</v>
      </c>
      <c r="BH517" s="143">
        <v>45190</v>
      </c>
      <c r="BI517" s="198" t="s">
        <v>583</v>
      </c>
      <c r="BJ517" s="199" t="s">
        <v>2372</v>
      </c>
      <c r="BK517" s="201" t="s">
        <v>1394</v>
      </c>
    </row>
    <row r="518" spans="16:63" ht="16.5" customHeight="1" x14ac:dyDescent="0.3">
      <c r="BD518" s="134" t="s">
        <v>350</v>
      </c>
      <c r="BE518" s="113" t="s">
        <v>2503</v>
      </c>
      <c r="BF518" s="229">
        <v>1925</v>
      </c>
      <c r="BG518" s="230">
        <v>23100</v>
      </c>
      <c r="BH518" s="143">
        <v>45190</v>
      </c>
      <c r="BI518" s="198" t="s">
        <v>583</v>
      </c>
      <c r="BJ518" s="199" t="s">
        <v>2372</v>
      </c>
      <c r="BK518" s="201" t="s">
        <v>1394</v>
      </c>
    </row>
    <row r="519" spans="16:63" ht="16.5" customHeight="1" x14ac:dyDescent="0.3">
      <c r="BD519" s="231" t="s">
        <v>330</v>
      </c>
      <c r="BE519" s="232" t="s">
        <v>2504</v>
      </c>
      <c r="BF519" s="256">
        <v>1960</v>
      </c>
      <c r="BG519" s="234">
        <v>23520</v>
      </c>
      <c r="BH519" s="235">
        <v>45190</v>
      </c>
      <c r="BI519" s="236" t="s">
        <v>583</v>
      </c>
      <c r="BJ519" s="231" t="s">
        <v>2378</v>
      </c>
      <c r="BK519" s="237" t="s">
        <v>1371</v>
      </c>
    </row>
    <row r="520" spans="16:63" ht="16.5" customHeight="1" x14ac:dyDescent="0.3">
      <c r="BD520" s="231" t="s">
        <v>1073</v>
      </c>
      <c r="BE520" s="232" t="s">
        <v>2505</v>
      </c>
      <c r="BF520" s="233">
        <v>1980</v>
      </c>
      <c r="BG520" s="234">
        <v>23760</v>
      </c>
      <c r="BH520" s="235">
        <v>45190</v>
      </c>
      <c r="BI520" s="236" t="s">
        <v>583</v>
      </c>
      <c r="BJ520" s="231" t="s">
        <v>2506</v>
      </c>
      <c r="BK520" s="237" t="s">
        <v>1371</v>
      </c>
    </row>
    <row r="521" spans="16:63" ht="16.5" customHeight="1" x14ac:dyDescent="0.3">
      <c r="BD521" s="134" t="s">
        <v>920</v>
      </c>
      <c r="BE521" s="240" t="s">
        <v>2507</v>
      </c>
      <c r="BF521" s="229">
        <v>1960</v>
      </c>
      <c r="BG521" s="230">
        <v>23520</v>
      </c>
      <c r="BH521" s="235">
        <v>45191</v>
      </c>
      <c r="BI521" s="198" t="s">
        <v>583</v>
      </c>
      <c r="BJ521" s="134" t="s">
        <v>2378</v>
      </c>
      <c r="BK521" s="201" t="s">
        <v>1371</v>
      </c>
    </row>
    <row r="522" spans="16:63" ht="16.5" customHeight="1" x14ac:dyDescent="0.3">
      <c r="BD522" s="231" t="s">
        <v>920</v>
      </c>
      <c r="BE522" s="248" t="s">
        <v>2508</v>
      </c>
      <c r="BF522" s="233">
        <v>1960</v>
      </c>
      <c r="BG522" s="234">
        <v>23520</v>
      </c>
      <c r="BH522" s="235">
        <v>45191</v>
      </c>
      <c r="BI522" s="236" t="s">
        <v>583</v>
      </c>
      <c r="BJ522" s="238" t="s">
        <v>2378</v>
      </c>
      <c r="BK522" s="237" t="s">
        <v>1371</v>
      </c>
    </row>
    <row r="523" spans="16:63" ht="16.5" customHeight="1" x14ac:dyDescent="0.3">
      <c r="BD523" s="231" t="s">
        <v>330</v>
      </c>
      <c r="BE523" s="232" t="s">
        <v>2509</v>
      </c>
      <c r="BF523" s="233">
        <v>1917</v>
      </c>
      <c r="BG523" s="234">
        <v>23004</v>
      </c>
      <c r="BH523" s="235">
        <v>45191</v>
      </c>
      <c r="BI523" s="236" t="s">
        <v>583</v>
      </c>
      <c r="BJ523" s="238" t="s">
        <v>2378</v>
      </c>
      <c r="BK523" s="237" t="s">
        <v>1371</v>
      </c>
    </row>
    <row r="524" spans="16:63" ht="16.5" customHeight="1" x14ac:dyDescent="0.3">
      <c r="BD524" s="231" t="s">
        <v>920</v>
      </c>
      <c r="BE524" s="232" t="s">
        <v>2510</v>
      </c>
      <c r="BF524" s="233">
        <v>1568</v>
      </c>
      <c r="BG524" s="234">
        <v>23520</v>
      </c>
      <c r="BH524" s="235">
        <v>45191</v>
      </c>
      <c r="BI524" s="236" t="s">
        <v>583</v>
      </c>
      <c r="BJ524" s="238" t="s">
        <v>2511</v>
      </c>
      <c r="BK524" s="237" t="s">
        <v>1371</v>
      </c>
    </row>
    <row r="525" spans="16:63" ht="16.5" customHeight="1" x14ac:dyDescent="0.3">
      <c r="BD525" s="134" t="s">
        <v>920</v>
      </c>
      <c r="BE525" s="113" t="s">
        <v>2512</v>
      </c>
      <c r="BF525" s="229">
        <v>1960</v>
      </c>
      <c r="BG525" s="230">
        <v>23520</v>
      </c>
      <c r="BH525" s="235">
        <v>45191</v>
      </c>
      <c r="BI525" s="198" t="s">
        <v>583</v>
      </c>
      <c r="BJ525" s="199" t="s">
        <v>2378</v>
      </c>
      <c r="BK525" s="201" t="s">
        <v>1371</v>
      </c>
    </row>
    <row r="526" spans="16:63" ht="16.5" customHeight="1" x14ac:dyDescent="0.3">
      <c r="BD526" s="255" t="s">
        <v>704</v>
      </c>
      <c r="BE526" s="113" t="s">
        <v>2513</v>
      </c>
      <c r="BF526" s="229">
        <v>1568</v>
      </c>
      <c r="BG526" s="230">
        <v>23520</v>
      </c>
      <c r="BH526" s="143">
        <v>45191</v>
      </c>
      <c r="BI526" s="198" t="s">
        <v>583</v>
      </c>
      <c r="BJ526" s="134" t="s">
        <v>2328</v>
      </c>
      <c r="BK526" s="201" t="s">
        <v>1371</v>
      </c>
    </row>
    <row r="527" spans="16:63" ht="16.5" customHeight="1" x14ac:dyDescent="0.3">
      <c r="AM527">
        <v>1</v>
      </c>
      <c r="AN527">
        <v>1</v>
      </c>
      <c r="AO527">
        <v>1</v>
      </c>
      <c r="AP527">
        <v>1</v>
      </c>
      <c r="AQ527">
        <v>1</v>
      </c>
      <c r="AR527">
        <v>1</v>
      </c>
      <c r="AS527">
        <v>1</v>
      </c>
      <c r="AT527">
        <v>1</v>
      </c>
      <c r="AU527">
        <v>1</v>
      </c>
      <c r="AV527">
        <v>1</v>
      </c>
      <c r="AW527">
        <v>1</v>
      </c>
      <c r="AX527">
        <v>1</v>
      </c>
      <c r="AY527">
        <v>1</v>
      </c>
      <c r="AZ527">
        <v>1</v>
      </c>
      <c r="BA527">
        <v>1</v>
      </c>
      <c r="BD527" s="231" t="s">
        <v>330</v>
      </c>
      <c r="BE527" s="232" t="s">
        <v>2514</v>
      </c>
      <c r="BF527" s="233">
        <v>1917</v>
      </c>
      <c r="BG527" s="234">
        <v>23004</v>
      </c>
      <c r="BH527" s="235">
        <v>45191</v>
      </c>
      <c r="BI527" s="236" t="s">
        <v>583</v>
      </c>
      <c r="BJ527" s="238" t="s">
        <v>2378</v>
      </c>
      <c r="BK527" s="237" t="s">
        <v>1371</v>
      </c>
    </row>
    <row r="528" spans="16:63" ht="16.5" customHeight="1" x14ac:dyDescent="0.3">
      <c r="AM528">
        <v>1</v>
      </c>
      <c r="AN528">
        <v>1</v>
      </c>
      <c r="AO528">
        <v>1</v>
      </c>
      <c r="AP528">
        <v>1</v>
      </c>
      <c r="AQ528">
        <v>1</v>
      </c>
      <c r="AR528">
        <v>1</v>
      </c>
      <c r="AS528">
        <v>1</v>
      </c>
      <c r="AT528">
        <v>1</v>
      </c>
      <c r="AU528">
        <v>1</v>
      </c>
      <c r="AV528">
        <v>1</v>
      </c>
      <c r="AW528">
        <v>1</v>
      </c>
      <c r="AX528">
        <v>1</v>
      </c>
      <c r="AY528">
        <v>1</v>
      </c>
      <c r="AZ528">
        <v>1</v>
      </c>
      <c r="BA528">
        <v>1</v>
      </c>
      <c r="BD528" s="231" t="s">
        <v>1008</v>
      </c>
      <c r="BE528" s="248" t="s">
        <v>2515</v>
      </c>
      <c r="BF528" s="233">
        <v>1916</v>
      </c>
      <c r="BG528" s="234">
        <v>22992</v>
      </c>
      <c r="BH528" s="258">
        <v>45194</v>
      </c>
      <c r="BI528" s="236" t="s">
        <v>583</v>
      </c>
      <c r="BJ528" s="238" t="s">
        <v>2307</v>
      </c>
      <c r="BK528" s="237" t="s">
        <v>1371</v>
      </c>
    </row>
    <row r="529" spans="39:63" ht="16.5" customHeight="1" x14ac:dyDescent="0.3">
      <c r="AM529">
        <v>1</v>
      </c>
      <c r="AN529">
        <v>1</v>
      </c>
      <c r="AO529">
        <v>1</v>
      </c>
      <c r="AP529">
        <v>1</v>
      </c>
      <c r="AQ529">
        <v>1</v>
      </c>
      <c r="AR529">
        <v>1</v>
      </c>
      <c r="AS529">
        <v>1</v>
      </c>
      <c r="AT529">
        <v>1</v>
      </c>
      <c r="AU529">
        <v>1</v>
      </c>
      <c r="AV529">
        <v>1</v>
      </c>
      <c r="AW529">
        <v>1</v>
      </c>
      <c r="AX529">
        <v>1</v>
      </c>
      <c r="AY529">
        <v>1</v>
      </c>
      <c r="AZ529">
        <v>1</v>
      </c>
      <c r="BA529">
        <v>1</v>
      </c>
      <c r="BD529" s="231" t="s">
        <v>1008</v>
      </c>
      <c r="BE529" s="248" t="s">
        <v>2516</v>
      </c>
      <c r="BF529" s="233">
        <v>1916</v>
      </c>
      <c r="BG529" s="234">
        <v>22992</v>
      </c>
      <c r="BH529" s="258">
        <v>45194</v>
      </c>
      <c r="BI529" s="236" t="s">
        <v>583</v>
      </c>
      <c r="BJ529" s="231" t="s">
        <v>2307</v>
      </c>
      <c r="BK529" s="237" t="s">
        <v>1371</v>
      </c>
    </row>
    <row r="530" spans="39:63" ht="16.5" customHeight="1" x14ac:dyDescent="0.3">
      <c r="AM530">
        <v>1</v>
      </c>
      <c r="AN530">
        <v>1</v>
      </c>
      <c r="AO530">
        <v>1</v>
      </c>
      <c r="AP530">
        <v>1</v>
      </c>
      <c r="AQ530">
        <v>1</v>
      </c>
      <c r="AR530">
        <v>1</v>
      </c>
      <c r="AS530">
        <v>1</v>
      </c>
      <c r="AT530">
        <v>1</v>
      </c>
      <c r="AU530">
        <v>1</v>
      </c>
      <c r="AV530">
        <v>1</v>
      </c>
      <c r="AW530">
        <v>1</v>
      </c>
      <c r="AX530">
        <v>1</v>
      </c>
      <c r="AY530">
        <v>1</v>
      </c>
      <c r="AZ530">
        <v>1</v>
      </c>
      <c r="BA530">
        <v>1</v>
      </c>
      <c r="BD530" s="231" t="s">
        <v>1008</v>
      </c>
      <c r="BE530" s="248" t="s">
        <v>2517</v>
      </c>
      <c r="BF530" s="233">
        <v>1916</v>
      </c>
      <c r="BG530" s="234">
        <v>22992</v>
      </c>
      <c r="BH530" s="258">
        <v>45194</v>
      </c>
      <c r="BI530" s="236" t="s">
        <v>583</v>
      </c>
      <c r="BJ530" s="238" t="s">
        <v>2307</v>
      </c>
      <c r="BK530" s="237" t="s">
        <v>1371</v>
      </c>
    </row>
    <row r="531" spans="39:63" ht="16.5" customHeight="1" x14ac:dyDescent="0.3">
      <c r="AM531">
        <v>1</v>
      </c>
      <c r="AN531">
        <v>1</v>
      </c>
      <c r="AO531">
        <v>1</v>
      </c>
      <c r="AP531">
        <v>1</v>
      </c>
      <c r="AQ531">
        <v>1</v>
      </c>
      <c r="AR531">
        <v>1</v>
      </c>
      <c r="AS531">
        <v>1</v>
      </c>
      <c r="AT531">
        <v>1</v>
      </c>
      <c r="AU531">
        <v>1</v>
      </c>
      <c r="AV531">
        <v>1</v>
      </c>
      <c r="AW531">
        <v>1</v>
      </c>
      <c r="AX531">
        <v>1</v>
      </c>
      <c r="AY531">
        <v>1</v>
      </c>
      <c r="AZ531">
        <v>1</v>
      </c>
      <c r="BA531">
        <v>1</v>
      </c>
      <c r="BD531" s="231" t="s">
        <v>1008</v>
      </c>
      <c r="BE531" s="248" t="s">
        <v>2518</v>
      </c>
      <c r="BF531" s="233">
        <v>1916</v>
      </c>
      <c r="BG531" s="234">
        <v>22992</v>
      </c>
      <c r="BH531" s="258">
        <v>45194</v>
      </c>
      <c r="BI531" s="236" t="s">
        <v>583</v>
      </c>
      <c r="BJ531" s="238" t="s">
        <v>2307</v>
      </c>
      <c r="BK531" s="237" t="s">
        <v>1371</v>
      </c>
    </row>
    <row r="532" spans="39:63" ht="16.5" customHeight="1" x14ac:dyDescent="0.3">
      <c r="AM532">
        <v>1</v>
      </c>
      <c r="AN532">
        <v>1</v>
      </c>
      <c r="AO532">
        <v>1</v>
      </c>
      <c r="AP532">
        <v>1</v>
      </c>
      <c r="AQ532">
        <v>1</v>
      </c>
      <c r="AR532">
        <v>1</v>
      </c>
      <c r="AS532">
        <v>1</v>
      </c>
      <c r="AT532">
        <v>1</v>
      </c>
      <c r="AU532">
        <v>1</v>
      </c>
      <c r="AV532">
        <v>1</v>
      </c>
      <c r="AW532">
        <v>1</v>
      </c>
      <c r="AX532">
        <v>1</v>
      </c>
      <c r="AY532">
        <v>1</v>
      </c>
      <c r="AZ532">
        <v>1</v>
      </c>
      <c r="BA532">
        <v>1</v>
      </c>
      <c r="BD532" s="231" t="s">
        <v>1008</v>
      </c>
      <c r="BE532" s="248" t="s">
        <v>2519</v>
      </c>
      <c r="BF532" s="233">
        <v>1916</v>
      </c>
      <c r="BG532" s="234">
        <v>22992</v>
      </c>
      <c r="BH532" s="258">
        <v>45194</v>
      </c>
      <c r="BI532" s="236" t="s">
        <v>583</v>
      </c>
      <c r="BJ532" s="238" t="s">
        <v>2307</v>
      </c>
      <c r="BK532" s="237" t="s">
        <v>1371</v>
      </c>
    </row>
    <row r="533" spans="39:63" ht="16.5" customHeight="1" x14ac:dyDescent="0.3">
      <c r="AM533">
        <v>1</v>
      </c>
      <c r="AN533">
        <v>1</v>
      </c>
      <c r="AO533">
        <v>1</v>
      </c>
      <c r="AP533">
        <v>1</v>
      </c>
      <c r="AQ533">
        <v>1</v>
      </c>
      <c r="AR533">
        <v>1</v>
      </c>
      <c r="AS533">
        <v>1</v>
      </c>
      <c r="AT533">
        <v>1</v>
      </c>
      <c r="AU533">
        <v>1</v>
      </c>
      <c r="AV533">
        <v>1</v>
      </c>
      <c r="AW533">
        <v>1</v>
      </c>
      <c r="AX533">
        <v>1</v>
      </c>
      <c r="AY533">
        <v>1</v>
      </c>
      <c r="AZ533">
        <v>1</v>
      </c>
      <c r="BA533">
        <v>1</v>
      </c>
      <c r="BD533" s="231" t="s">
        <v>1008</v>
      </c>
      <c r="BE533" s="248" t="s">
        <v>2520</v>
      </c>
      <c r="BF533" s="233">
        <v>1916</v>
      </c>
      <c r="BG533" s="234">
        <v>22992</v>
      </c>
      <c r="BH533" s="259">
        <v>45194</v>
      </c>
      <c r="BI533" s="236" t="s">
        <v>583</v>
      </c>
      <c r="BJ533" s="238" t="s">
        <v>2307</v>
      </c>
      <c r="BK533" s="237" t="s">
        <v>1371</v>
      </c>
    </row>
    <row r="534" spans="39:63" ht="16.5" customHeight="1" x14ac:dyDescent="0.3">
      <c r="AM534">
        <v>1</v>
      </c>
      <c r="AN534">
        <v>1</v>
      </c>
      <c r="AO534">
        <v>1</v>
      </c>
      <c r="AP534">
        <v>1</v>
      </c>
      <c r="AQ534">
        <v>1</v>
      </c>
      <c r="AR534">
        <v>1</v>
      </c>
      <c r="AS534">
        <v>1</v>
      </c>
      <c r="AT534">
        <v>1</v>
      </c>
      <c r="AU534">
        <v>1</v>
      </c>
      <c r="AV534">
        <v>1</v>
      </c>
      <c r="AW534">
        <v>1</v>
      </c>
      <c r="AX534">
        <v>1</v>
      </c>
      <c r="AY534">
        <v>1</v>
      </c>
      <c r="AZ534">
        <v>1</v>
      </c>
      <c r="BA534">
        <v>1</v>
      </c>
      <c r="BD534" s="231" t="s">
        <v>1008</v>
      </c>
      <c r="BE534" s="248" t="s">
        <v>2521</v>
      </c>
      <c r="BF534" s="233">
        <v>1916</v>
      </c>
      <c r="BG534" s="234">
        <v>22992</v>
      </c>
      <c r="BH534" s="258">
        <v>45194</v>
      </c>
      <c r="BI534" s="236" t="s">
        <v>583</v>
      </c>
      <c r="BJ534" s="238" t="s">
        <v>2307</v>
      </c>
      <c r="BK534" s="237" t="s">
        <v>1371</v>
      </c>
    </row>
    <row r="535" spans="39:63" ht="16.5" customHeight="1" x14ac:dyDescent="0.3">
      <c r="AM535">
        <v>1</v>
      </c>
      <c r="AN535">
        <v>1</v>
      </c>
      <c r="AO535">
        <v>1</v>
      </c>
      <c r="AP535">
        <v>1</v>
      </c>
      <c r="AQ535">
        <v>1</v>
      </c>
      <c r="AR535">
        <v>1</v>
      </c>
      <c r="AS535">
        <v>1</v>
      </c>
      <c r="AT535">
        <v>1</v>
      </c>
      <c r="AU535">
        <v>1</v>
      </c>
      <c r="AV535">
        <v>1</v>
      </c>
      <c r="AW535">
        <v>1</v>
      </c>
      <c r="AX535">
        <v>1</v>
      </c>
      <c r="AY535">
        <v>1</v>
      </c>
      <c r="AZ535">
        <v>1</v>
      </c>
      <c r="BA535">
        <v>1</v>
      </c>
      <c r="BD535" s="231" t="s">
        <v>1008</v>
      </c>
      <c r="BE535" s="248" t="s">
        <v>2522</v>
      </c>
      <c r="BF535" s="233">
        <v>1916</v>
      </c>
      <c r="BG535" s="234">
        <v>22992</v>
      </c>
      <c r="BH535" s="235">
        <v>45195</v>
      </c>
      <c r="BI535" s="236" t="s">
        <v>583</v>
      </c>
      <c r="BJ535" s="238" t="s">
        <v>2307</v>
      </c>
      <c r="BK535" s="237" t="s">
        <v>1371</v>
      </c>
    </row>
    <row r="536" spans="39:63" ht="16.5" customHeight="1" x14ac:dyDescent="0.3">
      <c r="AM536">
        <v>1</v>
      </c>
      <c r="AN536">
        <v>1</v>
      </c>
      <c r="AO536">
        <v>1</v>
      </c>
      <c r="AP536">
        <v>1</v>
      </c>
      <c r="AQ536">
        <v>1</v>
      </c>
      <c r="AR536">
        <v>1</v>
      </c>
      <c r="AS536">
        <v>1</v>
      </c>
      <c r="AT536">
        <v>1</v>
      </c>
      <c r="AU536">
        <v>1</v>
      </c>
      <c r="AV536">
        <v>1</v>
      </c>
      <c r="AW536">
        <v>1</v>
      </c>
      <c r="AX536">
        <v>1</v>
      </c>
      <c r="AY536">
        <v>1</v>
      </c>
      <c r="AZ536">
        <v>1</v>
      </c>
      <c r="BA536">
        <v>1</v>
      </c>
      <c r="BD536" s="231" t="s">
        <v>1008</v>
      </c>
      <c r="BE536" s="248" t="s">
        <v>2523</v>
      </c>
      <c r="BF536" s="233">
        <v>1916</v>
      </c>
      <c r="BG536" s="234">
        <v>22992</v>
      </c>
      <c r="BH536" s="235">
        <v>45195</v>
      </c>
      <c r="BI536" s="236" t="s">
        <v>583</v>
      </c>
      <c r="BJ536" s="231" t="s">
        <v>2307</v>
      </c>
      <c r="BK536" s="237" t="s">
        <v>1371</v>
      </c>
    </row>
    <row r="537" spans="39:63" ht="16.5" customHeight="1" x14ac:dyDescent="0.3">
      <c r="AM537">
        <v>1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v>1</v>
      </c>
      <c r="AT537">
        <v>1</v>
      </c>
      <c r="AU537">
        <v>1</v>
      </c>
      <c r="AV537">
        <v>1</v>
      </c>
      <c r="AW537">
        <v>1</v>
      </c>
      <c r="AX537">
        <v>1</v>
      </c>
      <c r="AY537">
        <v>1</v>
      </c>
      <c r="AZ537">
        <v>1</v>
      </c>
      <c r="BA537">
        <v>1</v>
      </c>
      <c r="BD537" s="255" t="s">
        <v>2387</v>
      </c>
      <c r="BE537" s="113" t="s">
        <v>2524</v>
      </c>
      <c r="BF537" s="229">
        <v>2300</v>
      </c>
      <c r="BG537" s="230">
        <v>23000</v>
      </c>
      <c r="BH537" s="143">
        <v>45195</v>
      </c>
      <c r="BI537" s="198" t="s">
        <v>583</v>
      </c>
      <c r="BJ537" s="199" t="s">
        <v>1125</v>
      </c>
      <c r="BK537" s="201" t="s">
        <v>2309</v>
      </c>
    </row>
    <row r="538" spans="39:63" ht="16.5" customHeight="1" x14ac:dyDescent="0.3">
      <c r="AM538">
        <v>1</v>
      </c>
      <c r="AN538">
        <v>1</v>
      </c>
      <c r="AO538">
        <v>1</v>
      </c>
      <c r="AP538">
        <v>1</v>
      </c>
      <c r="AQ538">
        <v>1</v>
      </c>
      <c r="AR538">
        <v>1</v>
      </c>
      <c r="AS538">
        <v>1</v>
      </c>
      <c r="AT538">
        <v>1</v>
      </c>
      <c r="AU538">
        <v>1</v>
      </c>
      <c r="AV538">
        <v>1</v>
      </c>
      <c r="AW538">
        <v>1</v>
      </c>
      <c r="AX538">
        <v>1</v>
      </c>
      <c r="AY538">
        <v>1</v>
      </c>
      <c r="AZ538">
        <v>1</v>
      </c>
      <c r="BA538">
        <v>1</v>
      </c>
      <c r="BD538" s="231" t="s">
        <v>330</v>
      </c>
      <c r="BE538" s="232" t="s">
        <v>2525</v>
      </c>
      <c r="BF538" s="233">
        <v>1950</v>
      </c>
      <c r="BG538" s="234">
        <v>23400</v>
      </c>
      <c r="BH538" s="235">
        <v>45195</v>
      </c>
      <c r="BI538" s="236" t="s">
        <v>583</v>
      </c>
      <c r="BJ538" s="238" t="s">
        <v>2483</v>
      </c>
      <c r="BK538" s="237" t="s">
        <v>1371</v>
      </c>
    </row>
    <row r="539" spans="39:63" ht="16.5" customHeight="1" x14ac:dyDescent="0.3">
      <c r="AM539">
        <v>1</v>
      </c>
      <c r="AN539">
        <v>1</v>
      </c>
      <c r="AO539">
        <v>1</v>
      </c>
      <c r="AP539">
        <v>1</v>
      </c>
      <c r="AQ539">
        <v>1</v>
      </c>
      <c r="AR539">
        <v>1</v>
      </c>
      <c r="AS539">
        <v>1</v>
      </c>
      <c r="AT539">
        <v>1</v>
      </c>
      <c r="AU539">
        <v>1</v>
      </c>
      <c r="AV539">
        <v>1</v>
      </c>
      <c r="AW539">
        <v>1</v>
      </c>
      <c r="AX539">
        <v>1</v>
      </c>
      <c r="AY539">
        <v>1</v>
      </c>
      <c r="AZ539">
        <v>1</v>
      </c>
      <c r="BA539">
        <v>1</v>
      </c>
      <c r="BD539" s="134" t="s">
        <v>989</v>
      </c>
      <c r="BE539" s="113" t="s">
        <v>2526</v>
      </c>
      <c r="BF539" s="229">
        <v>1839</v>
      </c>
      <c r="BG539" s="230">
        <v>22068</v>
      </c>
      <c r="BH539" s="235">
        <v>45195</v>
      </c>
      <c r="BI539" s="198" t="s">
        <v>583</v>
      </c>
      <c r="BJ539" s="199" t="s">
        <v>2320</v>
      </c>
      <c r="BK539" s="201" t="s">
        <v>1371</v>
      </c>
    </row>
    <row r="540" spans="39:63" ht="16.5" customHeight="1" x14ac:dyDescent="0.3">
      <c r="BD540" s="257" t="s">
        <v>2527</v>
      </c>
      <c r="BE540" s="232" t="s">
        <v>2528</v>
      </c>
      <c r="BF540" s="233">
        <v>1925</v>
      </c>
      <c r="BG540" s="234">
        <v>23100</v>
      </c>
      <c r="BH540" s="235">
        <v>45196</v>
      </c>
      <c r="BI540" s="236" t="s">
        <v>583</v>
      </c>
      <c r="BJ540" s="238" t="s">
        <v>2372</v>
      </c>
      <c r="BK540" s="237" t="s">
        <v>1394</v>
      </c>
    </row>
    <row r="541" spans="39:63" ht="16.5" customHeight="1" x14ac:dyDescent="0.3">
      <c r="BD541" s="255" t="s">
        <v>989</v>
      </c>
      <c r="BE541" s="232" t="s">
        <v>2529</v>
      </c>
      <c r="BF541" s="233">
        <v>1940</v>
      </c>
      <c r="BG541" s="234">
        <v>23280</v>
      </c>
      <c r="BH541" s="235">
        <v>45196</v>
      </c>
      <c r="BI541" s="236" t="s">
        <v>583</v>
      </c>
      <c r="BJ541" s="238" t="s">
        <v>2320</v>
      </c>
      <c r="BK541" s="237" t="s">
        <v>1371</v>
      </c>
    </row>
    <row r="542" spans="39:63" ht="16.5" customHeight="1" x14ac:dyDescent="0.3">
      <c r="BD542" s="134" t="s">
        <v>989</v>
      </c>
      <c r="BE542" s="113" t="s">
        <v>2530</v>
      </c>
      <c r="BF542" s="229">
        <v>1958</v>
      </c>
      <c r="BG542" s="230">
        <v>23496</v>
      </c>
      <c r="BH542" s="235">
        <v>45196</v>
      </c>
      <c r="BI542" s="198" t="s">
        <v>583</v>
      </c>
      <c r="BJ542" s="134" t="s">
        <v>2361</v>
      </c>
      <c r="BK542" s="201" t="s">
        <v>1371</v>
      </c>
    </row>
    <row r="543" spans="39:63" ht="16.5" customHeight="1" x14ac:dyDescent="0.3">
      <c r="BD543" s="134" t="s">
        <v>989</v>
      </c>
      <c r="BE543" s="113" t="s">
        <v>2531</v>
      </c>
      <c r="BF543" s="229">
        <v>1940</v>
      </c>
      <c r="BG543" s="230">
        <v>23280</v>
      </c>
      <c r="BH543" s="235">
        <v>45196</v>
      </c>
      <c r="BI543" s="198" t="s">
        <v>583</v>
      </c>
      <c r="BJ543" s="134" t="s">
        <v>2320</v>
      </c>
      <c r="BK543" s="201" t="s">
        <v>1371</v>
      </c>
    </row>
    <row r="544" spans="39:63" ht="16.5" customHeight="1" x14ac:dyDescent="0.3">
      <c r="BD544" s="231" t="s">
        <v>989</v>
      </c>
      <c r="BE544" s="232" t="s">
        <v>2532</v>
      </c>
      <c r="BF544" s="233">
        <v>1940</v>
      </c>
      <c r="BG544" s="234">
        <v>23280</v>
      </c>
      <c r="BH544" s="235">
        <v>45196</v>
      </c>
      <c r="BI544" s="236" t="s">
        <v>583</v>
      </c>
      <c r="BJ544" s="238" t="s">
        <v>2320</v>
      </c>
      <c r="BK544" s="237" t="s">
        <v>1371</v>
      </c>
    </row>
    <row r="545" spans="56:63" ht="16.5" customHeight="1" x14ac:dyDescent="0.3">
      <c r="BD545" s="231" t="s">
        <v>989</v>
      </c>
      <c r="BE545" s="232" t="s">
        <v>2533</v>
      </c>
      <c r="BF545" s="233">
        <v>1954</v>
      </c>
      <c r="BG545" s="234">
        <v>23448</v>
      </c>
      <c r="BH545" s="235">
        <v>45196</v>
      </c>
      <c r="BI545" s="236" t="s">
        <v>583</v>
      </c>
      <c r="BJ545" s="231" t="s">
        <v>2320</v>
      </c>
      <c r="BK545" s="201" t="s">
        <v>1371</v>
      </c>
    </row>
    <row r="546" spans="56:63" ht="16.5" customHeight="1" x14ac:dyDescent="0.3">
      <c r="BD546" s="134" t="s">
        <v>989</v>
      </c>
      <c r="BE546" s="113" t="s">
        <v>2534</v>
      </c>
      <c r="BF546" s="229">
        <v>1880</v>
      </c>
      <c r="BG546" s="230">
        <v>22560</v>
      </c>
      <c r="BH546" s="235">
        <v>45196</v>
      </c>
      <c r="BI546" s="198" t="s">
        <v>583</v>
      </c>
      <c r="BJ546" s="134" t="s">
        <v>2320</v>
      </c>
      <c r="BK546" s="201" t="s">
        <v>1371</v>
      </c>
    </row>
    <row r="547" spans="56:63" ht="16.5" customHeight="1" x14ac:dyDescent="0.3">
      <c r="BD547" s="231" t="s">
        <v>989</v>
      </c>
      <c r="BE547" s="232" t="s">
        <v>2535</v>
      </c>
      <c r="BF547" s="233">
        <v>1940</v>
      </c>
      <c r="BG547" s="234">
        <v>23280</v>
      </c>
      <c r="BH547" s="235">
        <v>45196</v>
      </c>
      <c r="BI547" s="236" t="s">
        <v>583</v>
      </c>
      <c r="BJ547" s="231" t="s">
        <v>2320</v>
      </c>
      <c r="BK547" s="201" t="s">
        <v>1371</v>
      </c>
    </row>
    <row r="548" spans="56:63" ht="16.5" customHeight="1" x14ac:dyDescent="0.3">
      <c r="BD548" s="134" t="s">
        <v>2418</v>
      </c>
      <c r="BE548" s="113" t="s">
        <v>2536</v>
      </c>
      <c r="BF548" s="229">
        <v>1925</v>
      </c>
      <c r="BG548" s="230">
        <v>23100</v>
      </c>
      <c r="BH548" s="143">
        <v>45204</v>
      </c>
      <c r="BI548" s="198" t="s">
        <v>583</v>
      </c>
      <c r="BJ548" s="199" t="s">
        <v>2474</v>
      </c>
      <c r="BK548" s="201" t="s">
        <v>1394</v>
      </c>
    </row>
    <row r="549" spans="56:63" ht="16.5" customHeight="1" x14ac:dyDescent="0.3">
      <c r="BD549" s="257" t="s">
        <v>330</v>
      </c>
      <c r="BE549" s="232" t="s">
        <v>2537</v>
      </c>
      <c r="BF549" s="233">
        <v>1950</v>
      </c>
      <c r="BG549" s="234">
        <v>23400</v>
      </c>
      <c r="BH549" s="235">
        <v>45204</v>
      </c>
      <c r="BI549" s="236" t="s">
        <v>583</v>
      </c>
      <c r="BJ549" s="238" t="s">
        <v>2483</v>
      </c>
      <c r="BK549" s="237" t="s">
        <v>1371</v>
      </c>
    </row>
    <row r="550" spans="56:63" ht="16.5" customHeight="1" x14ac:dyDescent="0.3">
      <c r="BD550" s="255" t="s">
        <v>968</v>
      </c>
      <c r="BE550" s="232" t="s">
        <v>2538</v>
      </c>
      <c r="BF550" s="233">
        <v>1566</v>
      </c>
      <c r="BG550" s="234">
        <v>23490</v>
      </c>
      <c r="BH550" s="235">
        <v>45205</v>
      </c>
      <c r="BI550" s="236" t="s">
        <v>583</v>
      </c>
      <c r="BJ550" s="238" t="s">
        <v>2444</v>
      </c>
      <c r="BK550" s="237" t="s">
        <v>1371</v>
      </c>
    </row>
    <row r="551" spans="56:63" ht="16.5" customHeight="1" x14ac:dyDescent="0.3">
      <c r="BD551" s="231" t="s">
        <v>330</v>
      </c>
      <c r="BE551" s="232" t="s">
        <v>2539</v>
      </c>
      <c r="BF551" s="233">
        <v>1425</v>
      </c>
      <c r="BG551" s="234">
        <v>17100</v>
      </c>
      <c r="BH551" s="235">
        <v>45205</v>
      </c>
      <c r="BI551" s="236" t="s">
        <v>583</v>
      </c>
      <c r="BJ551" s="238" t="s">
        <v>2540</v>
      </c>
      <c r="BK551" s="237" t="s">
        <v>1371</v>
      </c>
    </row>
    <row r="552" spans="56:63" ht="16.5" customHeight="1" x14ac:dyDescent="0.3">
      <c r="BD552" s="231" t="s">
        <v>330</v>
      </c>
      <c r="BE552" s="232" t="s">
        <v>2539</v>
      </c>
      <c r="BF552" s="233">
        <v>560</v>
      </c>
      <c r="BG552" s="234">
        <v>6720</v>
      </c>
      <c r="BH552" s="235">
        <v>45205</v>
      </c>
      <c r="BI552" s="236" t="s">
        <v>583</v>
      </c>
      <c r="BJ552" s="238" t="s">
        <v>2540</v>
      </c>
      <c r="BK552" s="237" t="s">
        <v>1371</v>
      </c>
    </row>
    <row r="553" spans="56:63" ht="16.5" customHeight="1" x14ac:dyDescent="0.3">
      <c r="BD553" s="134" t="s">
        <v>330</v>
      </c>
      <c r="BE553" s="113" t="s">
        <v>2541</v>
      </c>
      <c r="BF553" s="229">
        <v>1985</v>
      </c>
      <c r="BG553" s="230">
        <v>23820</v>
      </c>
      <c r="BH553" s="143">
        <v>45205</v>
      </c>
      <c r="BI553" s="198" t="s">
        <v>583</v>
      </c>
      <c r="BJ553" s="134" t="s">
        <v>2359</v>
      </c>
      <c r="BK553" s="201" t="s">
        <v>1371</v>
      </c>
    </row>
    <row r="554" spans="56:63" ht="16.5" customHeight="1" x14ac:dyDescent="0.3">
      <c r="BD554" s="134" t="s">
        <v>330</v>
      </c>
      <c r="BE554" s="113" t="s">
        <v>2542</v>
      </c>
      <c r="BF554" s="229">
        <v>1980</v>
      </c>
      <c r="BG554" s="230">
        <v>23760</v>
      </c>
      <c r="BH554" s="143">
        <v>45205</v>
      </c>
      <c r="BI554" s="198" t="s">
        <v>583</v>
      </c>
      <c r="BJ554" s="199" t="s">
        <v>2359</v>
      </c>
      <c r="BK554" s="201" t="s">
        <v>1371</v>
      </c>
    </row>
    <row r="555" spans="56:63" ht="16.5" customHeight="1" x14ac:dyDescent="0.3">
      <c r="BD555" s="231" t="s">
        <v>1073</v>
      </c>
      <c r="BE555" s="232" t="s">
        <v>2543</v>
      </c>
      <c r="BF555" s="233">
        <v>1182</v>
      </c>
      <c r="BG555" s="234">
        <v>14184</v>
      </c>
      <c r="BH555" s="143">
        <v>45205</v>
      </c>
      <c r="BI555" s="236" t="s">
        <v>583</v>
      </c>
      <c r="BJ555" s="134" t="s">
        <v>2506</v>
      </c>
      <c r="BK555" s="237" t="s">
        <v>1371</v>
      </c>
    </row>
    <row r="556" spans="56:63" ht="16.5" customHeight="1" x14ac:dyDescent="0.3">
      <c r="BD556" s="231" t="s">
        <v>1073</v>
      </c>
      <c r="BE556" s="232" t="s">
        <v>2543</v>
      </c>
      <c r="BF556" s="233">
        <v>798</v>
      </c>
      <c r="BG556" s="234">
        <v>9576</v>
      </c>
      <c r="BH556" s="143">
        <v>45205</v>
      </c>
      <c r="BI556" s="236" t="s">
        <v>583</v>
      </c>
      <c r="BJ556" s="134" t="s">
        <v>2506</v>
      </c>
      <c r="BK556" s="237" t="s">
        <v>1371</v>
      </c>
    </row>
    <row r="557" spans="56:63" ht="16.5" customHeight="1" x14ac:dyDescent="0.3">
      <c r="BD557" s="231" t="s">
        <v>1073</v>
      </c>
      <c r="BE557" s="232" t="s">
        <v>2544</v>
      </c>
      <c r="BF557" s="233">
        <v>1980</v>
      </c>
      <c r="BG557" s="234">
        <v>23760</v>
      </c>
      <c r="BH557" s="235">
        <v>45205</v>
      </c>
      <c r="BI557" s="236" t="s">
        <v>583</v>
      </c>
      <c r="BJ557" s="238" t="s">
        <v>2359</v>
      </c>
      <c r="BK557" s="237" t="s">
        <v>1371</v>
      </c>
    </row>
    <row r="558" spans="56:63" ht="16.5" customHeight="1" x14ac:dyDescent="0.3">
      <c r="BD558" s="255" t="s">
        <v>2433</v>
      </c>
      <c r="BE558" s="113" t="s">
        <v>2545</v>
      </c>
      <c r="BF558" s="229">
        <v>1939</v>
      </c>
      <c r="BG558" s="230">
        <v>23268</v>
      </c>
      <c r="BH558" s="143">
        <v>45205</v>
      </c>
      <c r="BI558" s="198" t="s">
        <v>583</v>
      </c>
      <c r="BJ558" s="199" t="s">
        <v>2320</v>
      </c>
      <c r="BK558" s="201" t="s">
        <v>1371</v>
      </c>
    </row>
    <row r="559" spans="56:63" ht="16.5" customHeight="1" x14ac:dyDescent="0.3">
      <c r="BD559" s="255" t="s">
        <v>350</v>
      </c>
      <c r="BE559" s="232" t="s">
        <v>2546</v>
      </c>
      <c r="BF559" s="233">
        <v>1925</v>
      </c>
      <c r="BG559" s="234">
        <v>23100</v>
      </c>
      <c r="BH559" s="235">
        <v>45209</v>
      </c>
      <c r="BI559" s="236" t="s">
        <v>583</v>
      </c>
      <c r="BJ559" s="238" t="s">
        <v>2372</v>
      </c>
      <c r="BK559" s="237" t="s">
        <v>2423</v>
      </c>
    </row>
    <row r="560" spans="56:63" ht="16.5" customHeight="1" x14ac:dyDescent="0.3">
      <c r="BD560" s="231" t="s">
        <v>330</v>
      </c>
      <c r="BE560" s="232" t="s">
        <v>2547</v>
      </c>
      <c r="BF560" s="233">
        <v>1950</v>
      </c>
      <c r="BG560" s="234">
        <v>23400</v>
      </c>
      <c r="BH560" s="235">
        <v>45209</v>
      </c>
      <c r="BI560" s="236" t="s">
        <v>583</v>
      </c>
      <c r="BJ560" s="231" t="s">
        <v>2483</v>
      </c>
      <c r="BK560" s="201" t="s">
        <v>1371</v>
      </c>
    </row>
    <row r="561" spans="56:63" ht="16.5" customHeight="1" x14ac:dyDescent="0.3">
      <c r="BD561" s="134" t="s">
        <v>944</v>
      </c>
      <c r="BE561" s="113" t="s">
        <v>2548</v>
      </c>
      <c r="BF561" s="229">
        <v>1955</v>
      </c>
      <c r="BG561" s="230">
        <v>23460</v>
      </c>
      <c r="BH561" s="235">
        <v>45210</v>
      </c>
      <c r="BI561" s="198" t="s">
        <v>583</v>
      </c>
      <c r="BJ561" s="199" t="s">
        <v>2320</v>
      </c>
      <c r="BK561" s="201" t="s">
        <v>1371</v>
      </c>
    </row>
    <row r="562" spans="56:63" ht="16.5" customHeight="1" x14ac:dyDescent="0.3">
      <c r="BD562" s="134" t="s">
        <v>944</v>
      </c>
      <c r="BE562" s="113" t="s">
        <v>2549</v>
      </c>
      <c r="BF562" s="229">
        <v>1958</v>
      </c>
      <c r="BG562" s="230">
        <v>23496</v>
      </c>
      <c r="BH562" s="235">
        <v>45210</v>
      </c>
      <c r="BI562" s="198" t="s">
        <v>583</v>
      </c>
      <c r="BJ562" s="134" t="s">
        <v>2320</v>
      </c>
      <c r="BK562" s="201" t="s">
        <v>1371</v>
      </c>
    </row>
    <row r="563" spans="56:63" ht="16.5" customHeight="1" x14ac:dyDescent="0.3">
      <c r="BD563" s="231" t="s">
        <v>468</v>
      </c>
      <c r="BE563" s="232" t="s">
        <v>2550</v>
      </c>
      <c r="BF563" s="233">
        <v>1568</v>
      </c>
      <c r="BG563" s="234">
        <v>23520</v>
      </c>
      <c r="BH563" s="235">
        <v>45210</v>
      </c>
      <c r="BI563" s="236" t="s">
        <v>583</v>
      </c>
      <c r="BJ563" s="231" t="s">
        <v>2328</v>
      </c>
      <c r="BK563" s="237" t="s">
        <v>1371</v>
      </c>
    </row>
    <row r="564" spans="56:63" ht="16.5" customHeight="1" x14ac:dyDescent="0.3">
      <c r="BD564" s="255" t="s">
        <v>1073</v>
      </c>
      <c r="BE564" s="232" t="s">
        <v>2551</v>
      </c>
      <c r="BF564" s="233">
        <v>1568</v>
      </c>
      <c r="BG564" s="234">
        <v>23520</v>
      </c>
      <c r="BH564" s="235">
        <v>45210</v>
      </c>
      <c r="BI564" s="236" t="s">
        <v>583</v>
      </c>
      <c r="BJ564" s="238" t="s">
        <v>2328</v>
      </c>
      <c r="BK564" s="237" t="s">
        <v>1371</v>
      </c>
    </row>
    <row r="565" spans="56:63" ht="16.5" customHeight="1" x14ac:dyDescent="0.3">
      <c r="BD565" s="231" t="s">
        <v>754</v>
      </c>
      <c r="BE565" s="232" t="s">
        <v>2552</v>
      </c>
      <c r="BF565" s="233">
        <v>1980</v>
      </c>
      <c r="BG565" s="234">
        <v>23760</v>
      </c>
      <c r="BH565" s="235">
        <v>45210</v>
      </c>
      <c r="BI565" s="236" t="s">
        <v>583</v>
      </c>
      <c r="BJ565" s="238" t="s">
        <v>2359</v>
      </c>
      <c r="BK565" s="237" t="s">
        <v>1371</v>
      </c>
    </row>
    <row r="566" spans="56:63" ht="16.5" customHeight="1" x14ac:dyDescent="0.3">
      <c r="BD566" s="134" t="s">
        <v>989</v>
      </c>
      <c r="BE566" s="113" t="s">
        <v>2553</v>
      </c>
      <c r="BF566" s="229">
        <v>1958</v>
      </c>
      <c r="BG566" s="230">
        <v>23496</v>
      </c>
      <c r="BH566" s="143">
        <v>45212</v>
      </c>
      <c r="BI566" s="198" t="s">
        <v>583</v>
      </c>
      <c r="BJ566" s="134" t="s">
        <v>2320</v>
      </c>
      <c r="BK566" s="201" t="s">
        <v>1371</v>
      </c>
    </row>
    <row r="567" spans="56:63" ht="16.5" customHeight="1" x14ac:dyDescent="0.3">
      <c r="BD567" s="134" t="s">
        <v>989</v>
      </c>
      <c r="BE567" s="113" t="s">
        <v>2554</v>
      </c>
      <c r="BF567" s="229">
        <v>1958</v>
      </c>
      <c r="BG567" s="230">
        <v>23496</v>
      </c>
      <c r="BH567" s="235">
        <v>45212</v>
      </c>
      <c r="BI567" s="198" t="s">
        <v>583</v>
      </c>
      <c r="BJ567" s="199" t="s">
        <v>2320</v>
      </c>
      <c r="BK567" s="201" t="s">
        <v>1371</v>
      </c>
    </row>
    <row r="568" spans="56:63" ht="16.5" customHeight="1" x14ac:dyDescent="0.3">
      <c r="BD568" s="134" t="s">
        <v>989</v>
      </c>
      <c r="BE568" s="113" t="s">
        <v>2555</v>
      </c>
      <c r="BF568" s="229">
        <v>1957</v>
      </c>
      <c r="BG568" s="230">
        <v>23484</v>
      </c>
      <c r="BH568" s="143">
        <v>45212</v>
      </c>
      <c r="BI568" s="198" t="s">
        <v>583</v>
      </c>
      <c r="BJ568" s="134" t="s">
        <v>2320</v>
      </c>
      <c r="BK568" s="201" t="s">
        <v>1371</v>
      </c>
    </row>
    <row r="569" spans="56:63" ht="16.5" customHeight="1" x14ac:dyDescent="0.3">
      <c r="BD569" s="231" t="s">
        <v>968</v>
      </c>
      <c r="BE569" s="232" t="s">
        <v>2556</v>
      </c>
      <c r="BF569" s="233">
        <v>1958</v>
      </c>
      <c r="BG569" s="234">
        <v>23496</v>
      </c>
      <c r="BH569" s="235">
        <v>45212</v>
      </c>
      <c r="BI569" s="236" t="s">
        <v>583</v>
      </c>
      <c r="BJ569" s="238" t="s">
        <v>2320</v>
      </c>
      <c r="BK569" s="237" t="s">
        <v>1371</v>
      </c>
    </row>
    <row r="570" spans="56:63" ht="16.5" customHeight="1" x14ac:dyDescent="0.3">
      <c r="BD570" s="134" t="s">
        <v>2557</v>
      </c>
      <c r="BE570" s="113" t="s">
        <v>2558</v>
      </c>
      <c r="BF570" s="229">
        <v>1960</v>
      </c>
      <c r="BG570" s="230">
        <v>23520</v>
      </c>
      <c r="BH570" s="143">
        <v>45212</v>
      </c>
      <c r="BI570" s="198" t="s">
        <v>583</v>
      </c>
      <c r="BJ570" s="134" t="s">
        <v>2378</v>
      </c>
      <c r="BK570" s="201" t="s">
        <v>1371</v>
      </c>
    </row>
    <row r="571" spans="56:63" ht="16.5" customHeight="1" x14ac:dyDescent="0.3">
      <c r="BD571" s="231" t="s">
        <v>350</v>
      </c>
      <c r="BE571" s="232" t="s">
        <v>2559</v>
      </c>
      <c r="BF571" s="233">
        <v>1925</v>
      </c>
      <c r="BG571" s="234">
        <v>23100</v>
      </c>
      <c r="BH571" s="235">
        <v>45215</v>
      </c>
      <c r="BI571" s="236" t="s">
        <v>583</v>
      </c>
      <c r="BJ571" s="231" t="s">
        <v>2372</v>
      </c>
      <c r="BK571" s="237" t="s">
        <v>1394</v>
      </c>
    </row>
    <row r="572" spans="56:63" ht="16.5" customHeight="1" x14ac:dyDescent="0.3">
      <c r="BD572" s="134" t="s">
        <v>2418</v>
      </c>
      <c r="BE572" s="113" t="s">
        <v>2560</v>
      </c>
      <c r="BF572" s="229">
        <v>1950</v>
      </c>
      <c r="BG572" s="230">
        <v>23400</v>
      </c>
      <c r="BH572" s="235">
        <v>45215</v>
      </c>
      <c r="BI572" s="198" t="s">
        <v>583</v>
      </c>
      <c r="BJ572" s="199" t="s">
        <v>2474</v>
      </c>
      <c r="BK572" s="201" t="s">
        <v>1394</v>
      </c>
    </row>
    <row r="573" spans="56:63" ht="16.5" customHeight="1" x14ac:dyDescent="0.3">
      <c r="BD573" s="231" t="s">
        <v>330</v>
      </c>
      <c r="BE573" s="248" t="s">
        <v>2561</v>
      </c>
      <c r="BF573" s="233">
        <v>1960</v>
      </c>
      <c r="BG573" s="234">
        <v>23520</v>
      </c>
      <c r="BH573" s="235">
        <v>45216</v>
      </c>
      <c r="BI573" s="236" t="s">
        <v>583</v>
      </c>
      <c r="BJ573" s="238" t="s">
        <v>2378</v>
      </c>
      <c r="BK573" s="237" t="s">
        <v>1371</v>
      </c>
    </row>
    <row r="574" spans="56:63" ht="16.5" customHeight="1" x14ac:dyDescent="0.3">
      <c r="BD574" s="134" t="s">
        <v>330</v>
      </c>
      <c r="BE574" s="248" t="s">
        <v>2562</v>
      </c>
      <c r="BF574" s="229">
        <v>1960</v>
      </c>
      <c r="BG574" s="230">
        <v>23520</v>
      </c>
      <c r="BH574" s="235">
        <v>45216</v>
      </c>
      <c r="BI574" s="198" t="s">
        <v>583</v>
      </c>
      <c r="BJ574" s="134" t="s">
        <v>2378</v>
      </c>
      <c r="BK574" s="201" t="s">
        <v>1371</v>
      </c>
    </row>
    <row r="575" spans="56:63" ht="16.5" customHeight="1" x14ac:dyDescent="0.3">
      <c r="BD575" s="134" t="s">
        <v>330</v>
      </c>
      <c r="BE575" s="248" t="s">
        <v>2563</v>
      </c>
      <c r="BF575" s="229">
        <v>1960</v>
      </c>
      <c r="BG575" s="230">
        <v>23520</v>
      </c>
      <c r="BH575" s="235">
        <v>45216</v>
      </c>
      <c r="BI575" s="198" t="s">
        <v>583</v>
      </c>
      <c r="BJ575" s="134" t="s">
        <v>2378</v>
      </c>
      <c r="BK575" s="201" t="s">
        <v>1371</v>
      </c>
    </row>
    <row r="576" spans="56:63" ht="16.5" customHeight="1" x14ac:dyDescent="0.3">
      <c r="BD576" s="231" t="s">
        <v>330</v>
      </c>
      <c r="BE576" s="248" t="s">
        <v>2564</v>
      </c>
      <c r="BF576" s="233">
        <v>1960</v>
      </c>
      <c r="BG576" s="234">
        <v>23520</v>
      </c>
      <c r="BH576" s="235">
        <v>45216</v>
      </c>
      <c r="BI576" s="236" t="s">
        <v>583</v>
      </c>
      <c r="BJ576" s="231" t="s">
        <v>2378</v>
      </c>
      <c r="BK576" s="237" t="s">
        <v>1371</v>
      </c>
    </row>
    <row r="577" spans="56:63" ht="16.5" customHeight="1" x14ac:dyDescent="0.3">
      <c r="BD577" s="231" t="s">
        <v>330</v>
      </c>
      <c r="BE577" s="248" t="s">
        <v>2565</v>
      </c>
      <c r="BF577" s="233">
        <v>1950</v>
      </c>
      <c r="BG577" s="234">
        <v>23400</v>
      </c>
      <c r="BH577" s="235">
        <v>45216</v>
      </c>
      <c r="BI577" s="236" t="s">
        <v>583</v>
      </c>
      <c r="BJ577" s="238" t="s">
        <v>2483</v>
      </c>
      <c r="BK577" s="237" t="s">
        <v>1371</v>
      </c>
    </row>
    <row r="578" spans="56:63" ht="16.5" customHeight="1" x14ac:dyDescent="0.3">
      <c r="BD578" s="231" t="s">
        <v>704</v>
      </c>
      <c r="BE578" s="248" t="s">
        <v>2566</v>
      </c>
      <c r="BF578" s="233">
        <v>1960</v>
      </c>
      <c r="BG578" s="234">
        <v>23520</v>
      </c>
      <c r="BH578" s="235">
        <v>45216</v>
      </c>
      <c r="BI578" s="236" t="s">
        <v>583</v>
      </c>
      <c r="BJ578" s="238" t="s">
        <v>2378</v>
      </c>
      <c r="BK578" s="237" t="s">
        <v>1371</v>
      </c>
    </row>
    <row r="579" spans="56:63" ht="16.5" customHeight="1" x14ac:dyDescent="0.3">
      <c r="BD579" s="231" t="s">
        <v>468</v>
      </c>
      <c r="BE579" s="248" t="s">
        <v>2567</v>
      </c>
      <c r="BF579" s="233">
        <v>1960</v>
      </c>
      <c r="BG579" s="234">
        <v>23520</v>
      </c>
      <c r="BH579" s="235">
        <v>45216</v>
      </c>
      <c r="BI579" s="236" t="s">
        <v>583</v>
      </c>
      <c r="BJ579" s="238" t="s">
        <v>2378</v>
      </c>
      <c r="BK579" s="237" t="s">
        <v>1371</v>
      </c>
    </row>
    <row r="580" spans="56:63" ht="16.5" customHeight="1" x14ac:dyDescent="0.3">
      <c r="BD580" s="239" t="s">
        <v>989</v>
      </c>
      <c r="BE580" s="260" t="s">
        <v>2568</v>
      </c>
      <c r="BF580" s="229">
        <v>1946</v>
      </c>
      <c r="BG580" s="230">
        <v>23352</v>
      </c>
      <c r="BH580" s="235">
        <v>45217</v>
      </c>
      <c r="BI580" s="198" t="s">
        <v>583</v>
      </c>
      <c r="BJ580" s="134" t="s">
        <v>2320</v>
      </c>
      <c r="BK580" s="201" t="s">
        <v>1371</v>
      </c>
    </row>
    <row r="581" spans="56:63" ht="16.5" customHeight="1" x14ac:dyDescent="0.3">
      <c r="BD581" s="247" t="s">
        <v>989</v>
      </c>
      <c r="BE581" s="261" t="s">
        <v>2569</v>
      </c>
      <c r="BF581" s="233">
        <v>1958</v>
      </c>
      <c r="BG581" s="234">
        <v>23496</v>
      </c>
      <c r="BH581" s="235">
        <v>45217</v>
      </c>
      <c r="BI581" s="236" t="s">
        <v>583</v>
      </c>
      <c r="BJ581" s="238" t="s">
        <v>2320</v>
      </c>
      <c r="BK581" s="237" t="s">
        <v>1371</v>
      </c>
    </row>
    <row r="582" spans="56:63" ht="16.5" customHeight="1" x14ac:dyDescent="0.3">
      <c r="BD582" s="247" t="s">
        <v>989</v>
      </c>
      <c r="BE582" s="261" t="s">
        <v>2570</v>
      </c>
      <c r="BF582" s="233">
        <v>1958</v>
      </c>
      <c r="BG582" s="234">
        <v>23496</v>
      </c>
      <c r="BH582" s="235">
        <v>45217</v>
      </c>
      <c r="BI582" s="236" t="s">
        <v>583</v>
      </c>
      <c r="BJ582" s="238" t="s">
        <v>2320</v>
      </c>
      <c r="BK582" s="237" t="s">
        <v>1371</v>
      </c>
    </row>
    <row r="583" spans="56:63" ht="16.5" customHeight="1" x14ac:dyDescent="0.3">
      <c r="BD583" s="239" t="s">
        <v>989</v>
      </c>
      <c r="BE583" s="260" t="s">
        <v>2571</v>
      </c>
      <c r="BF583" s="229">
        <v>1928</v>
      </c>
      <c r="BG583" s="234">
        <v>23136</v>
      </c>
      <c r="BH583" s="235">
        <v>45217</v>
      </c>
      <c r="BI583" s="236" t="s">
        <v>583</v>
      </c>
      <c r="BJ583" s="231" t="s">
        <v>2320</v>
      </c>
      <c r="BK583" s="237" t="s">
        <v>1371</v>
      </c>
    </row>
    <row r="584" spans="56:63" ht="16.5" customHeight="1" x14ac:dyDescent="0.3">
      <c r="BD584" s="247" t="s">
        <v>989</v>
      </c>
      <c r="BE584" s="261" t="s">
        <v>2572</v>
      </c>
      <c r="BF584" s="233">
        <v>1853</v>
      </c>
      <c r="BG584" s="234">
        <v>22236</v>
      </c>
      <c r="BH584" s="235">
        <v>45217</v>
      </c>
      <c r="BI584" s="236" t="s">
        <v>583</v>
      </c>
      <c r="BJ584" s="238" t="s">
        <v>2320</v>
      </c>
      <c r="BK584" s="237" t="s">
        <v>1371</v>
      </c>
    </row>
    <row r="585" spans="56:63" ht="16.5" customHeight="1" x14ac:dyDescent="0.3">
      <c r="BD585" s="247" t="s">
        <v>989</v>
      </c>
      <c r="BE585" s="261" t="s">
        <v>2573</v>
      </c>
      <c r="BF585" s="233">
        <v>1862</v>
      </c>
      <c r="BG585" s="234">
        <v>22344</v>
      </c>
      <c r="BH585" s="235">
        <v>45217</v>
      </c>
      <c r="BI585" s="236" t="s">
        <v>583</v>
      </c>
      <c r="BJ585" s="231" t="s">
        <v>2320</v>
      </c>
      <c r="BK585" s="237" t="s">
        <v>1371</v>
      </c>
    </row>
    <row r="586" spans="56:63" ht="16.5" customHeight="1" x14ac:dyDescent="0.3">
      <c r="BD586" s="239" t="s">
        <v>330</v>
      </c>
      <c r="BE586" s="260" t="s">
        <v>2574</v>
      </c>
      <c r="BF586" s="229">
        <v>1568</v>
      </c>
      <c r="BG586" s="230">
        <v>23520</v>
      </c>
      <c r="BH586" s="235">
        <v>45217</v>
      </c>
      <c r="BI586" s="198" t="s">
        <v>583</v>
      </c>
      <c r="BJ586" s="199" t="s">
        <v>2328</v>
      </c>
      <c r="BK586" s="201" t="s">
        <v>1371</v>
      </c>
    </row>
    <row r="587" spans="56:63" ht="16.5" customHeight="1" x14ac:dyDescent="0.3">
      <c r="BD587" s="247" t="s">
        <v>330</v>
      </c>
      <c r="BE587" s="261" t="s">
        <v>2575</v>
      </c>
      <c r="BF587" s="233">
        <v>1960</v>
      </c>
      <c r="BG587" s="234">
        <v>23520</v>
      </c>
      <c r="BH587" s="235">
        <v>45217</v>
      </c>
      <c r="BI587" s="236" t="s">
        <v>583</v>
      </c>
      <c r="BJ587" s="231" t="s">
        <v>2378</v>
      </c>
      <c r="BK587" s="201" t="s">
        <v>1371</v>
      </c>
    </row>
    <row r="588" spans="56:63" ht="16.5" customHeight="1" x14ac:dyDescent="0.3">
      <c r="BD588" s="247" t="s">
        <v>920</v>
      </c>
      <c r="BE588" s="261" t="s">
        <v>2576</v>
      </c>
      <c r="BF588" s="233">
        <v>1568</v>
      </c>
      <c r="BG588" s="234">
        <v>23520</v>
      </c>
      <c r="BH588" s="235">
        <v>45217</v>
      </c>
      <c r="BI588" s="236" t="s">
        <v>583</v>
      </c>
      <c r="BJ588" s="238" t="s">
        <v>2318</v>
      </c>
      <c r="BK588" s="237" t="s">
        <v>1371</v>
      </c>
    </row>
    <row r="589" spans="56:63" ht="16.5" customHeight="1" x14ac:dyDescent="0.3">
      <c r="BD589" s="239" t="s">
        <v>920</v>
      </c>
      <c r="BE589" s="260" t="s">
        <v>2577</v>
      </c>
      <c r="BF589" s="229">
        <v>1960</v>
      </c>
      <c r="BG589" s="230">
        <v>23520</v>
      </c>
      <c r="BH589" s="235">
        <v>45217</v>
      </c>
      <c r="BI589" s="198" t="s">
        <v>583</v>
      </c>
      <c r="BJ589" s="134" t="s">
        <v>2378</v>
      </c>
      <c r="BK589" s="201" t="s">
        <v>1371</v>
      </c>
    </row>
    <row r="590" spans="56:63" ht="16.5" customHeight="1" x14ac:dyDescent="0.3">
      <c r="BD590" s="247" t="s">
        <v>2414</v>
      </c>
      <c r="BE590" s="232" t="s">
        <v>2578</v>
      </c>
      <c r="BF590" s="233">
        <v>1960</v>
      </c>
      <c r="BG590" s="234">
        <v>23520</v>
      </c>
      <c r="BH590" s="235">
        <v>45217</v>
      </c>
      <c r="BI590" s="236" t="s">
        <v>583</v>
      </c>
      <c r="BJ590" s="231" t="s">
        <v>2378</v>
      </c>
      <c r="BK590" s="237" t="s">
        <v>1371</v>
      </c>
    </row>
    <row r="591" spans="56:63" ht="16.5" customHeight="1" x14ac:dyDescent="0.3">
      <c r="BD591" s="247" t="s">
        <v>2414</v>
      </c>
      <c r="BE591" s="232" t="s">
        <v>2579</v>
      </c>
      <c r="BF591" s="233">
        <v>1960</v>
      </c>
      <c r="BG591" s="234">
        <v>23520</v>
      </c>
      <c r="BH591" s="235">
        <v>45217</v>
      </c>
      <c r="BI591" s="236" t="s">
        <v>583</v>
      </c>
      <c r="BJ591" s="238" t="s">
        <v>2378</v>
      </c>
      <c r="BK591" s="237" t="s">
        <v>1371</v>
      </c>
    </row>
    <row r="592" spans="56:63" ht="16.5" customHeight="1" x14ac:dyDescent="0.3">
      <c r="BD592" s="231" t="s">
        <v>989</v>
      </c>
      <c r="BE592" s="262" t="s">
        <v>2580</v>
      </c>
      <c r="BF592" s="233">
        <v>1958</v>
      </c>
      <c r="BG592" s="234">
        <v>23496</v>
      </c>
      <c r="BH592" s="143">
        <v>45218</v>
      </c>
      <c r="BI592" s="236" t="s">
        <v>583</v>
      </c>
      <c r="BJ592" s="238" t="s">
        <v>2361</v>
      </c>
      <c r="BK592" s="237" t="s">
        <v>1371</v>
      </c>
    </row>
    <row r="593" spans="56:63" ht="16.5" customHeight="1" x14ac:dyDescent="0.3">
      <c r="BD593" s="231" t="s">
        <v>989</v>
      </c>
      <c r="BE593" s="262" t="s">
        <v>2581</v>
      </c>
      <c r="BF593" s="233">
        <v>1958</v>
      </c>
      <c r="BG593" s="234">
        <v>23496</v>
      </c>
      <c r="BH593" s="143">
        <v>45218</v>
      </c>
      <c r="BI593" s="236" t="s">
        <v>583</v>
      </c>
      <c r="BJ593" s="238" t="s">
        <v>2320</v>
      </c>
      <c r="BK593" s="237" t="s">
        <v>1371</v>
      </c>
    </row>
    <row r="594" spans="56:63" ht="16.5" customHeight="1" x14ac:dyDescent="0.3">
      <c r="BD594" s="231" t="s">
        <v>989</v>
      </c>
      <c r="BE594" s="262" t="s">
        <v>2582</v>
      </c>
      <c r="BF594" s="233">
        <v>1958</v>
      </c>
      <c r="BG594" s="234">
        <v>23496</v>
      </c>
      <c r="BH594" s="143">
        <v>45218</v>
      </c>
      <c r="BI594" s="236" t="s">
        <v>583</v>
      </c>
      <c r="BJ594" s="238" t="s">
        <v>2320</v>
      </c>
      <c r="BK594" s="237" t="s">
        <v>1371</v>
      </c>
    </row>
    <row r="595" spans="56:63" ht="16.5" customHeight="1" x14ac:dyDescent="0.3">
      <c r="BD595" s="231" t="s">
        <v>330</v>
      </c>
      <c r="BE595" s="262" t="s">
        <v>2583</v>
      </c>
      <c r="BF595" s="233">
        <v>1960</v>
      </c>
      <c r="BG595" s="234">
        <v>23520</v>
      </c>
      <c r="BH595" s="143">
        <v>45218</v>
      </c>
      <c r="BI595" s="236" t="s">
        <v>583</v>
      </c>
      <c r="BJ595" s="238" t="s">
        <v>2378</v>
      </c>
      <c r="BK595" s="237" t="s">
        <v>1371</v>
      </c>
    </row>
    <row r="596" spans="56:63" ht="16.5" customHeight="1" x14ac:dyDescent="0.3">
      <c r="BD596" s="255" t="s">
        <v>468</v>
      </c>
      <c r="BE596" s="262" t="s">
        <v>2584</v>
      </c>
      <c r="BF596" s="233">
        <v>1958</v>
      </c>
      <c r="BG596" s="234">
        <v>23496</v>
      </c>
      <c r="BH596" s="143">
        <v>45218</v>
      </c>
      <c r="BI596" s="236" t="s">
        <v>583</v>
      </c>
      <c r="BJ596" s="231" t="s">
        <v>2320</v>
      </c>
      <c r="BK596" s="237" t="s">
        <v>1371</v>
      </c>
    </row>
    <row r="597" spans="56:63" ht="16.5" customHeight="1" x14ac:dyDescent="0.3">
      <c r="BD597" s="231" t="s">
        <v>704</v>
      </c>
      <c r="BE597" s="262" t="s">
        <v>2585</v>
      </c>
      <c r="BF597" s="233">
        <v>1960</v>
      </c>
      <c r="BG597" s="234">
        <v>23520</v>
      </c>
      <c r="BH597" s="143">
        <v>45218</v>
      </c>
      <c r="BI597" s="236" t="s">
        <v>583</v>
      </c>
      <c r="BJ597" s="238" t="s">
        <v>2378</v>
      </c>
      <c r="BK597" s="237" t="s">
        <v>1371</v>
      </c>
    </row>
    <row r="598" spans="56:63" ht="16.5" customHeight="1" x14ac:dyDescent="0.3">
      <c r="BD598" s="255" t="s">
        <v>704</v>
      </c>
      <c r="BE598" s="263" t="s">
        <v>2586</v>
      </c>
      <c r="BF598" s="229">
        <v>1960</v>
      </c>
      <c r="BG598" s="230">
        <v>23520</v>
      </c>
      <c r="BH598" s="143">
        <v>45218</v>
      </c>
      <c r="BI598" s="198" t="s">
        <v>583</v>
      </c>
      <c r="BJ598" s="199" t="s">
        <v>2378</v>
      </c>
      <c r="BK598" s="201" t="s">
        <v>1371</v>
      </c>
    </row>
    <row r="599" spans="56:63" ht="16.5" customHeight="1" x14ac:dyDescent="0.3">
      <c r="BD599" s="134" t="s">
        <v>920</v>
      </c>
      <c r="BE599" s="263" t="s">
        <v>2587</v>
      </c>
      <c r="BF599" s="229">
        <v>1960</v>
      </c>
      <c r="BG599" s="230">
        <v>23520</v>
      </c>
      <c r="BH599" s="143">
        <v>45218</v>
      </c>
      <c r="BI599" s="198" t="s">
        <v>583</v>
      </c>
      <c r="BJ599" s="199" t="s">
        <v>2378</v>
      </c>
      <c r="BK599" s="201" t="s">
        <v>1371</v>
      </c>
    </row>
    <row r="600" spans="56:63" ht="16.5" customHeight="1" x14ac:dyDescent="0.3">
      <c r="BD600" s="134" t="s">
        <v>920</v>
      </c>
      <c r="BE600" s="262" t="s">
        <v>2588</v>
      </c>
      <c r="BF600" s="233">
        <v>1960</v>
      </c>
      <c r="BG600" s="234">
        <v>23520</v>
      </c>
      <c r="BH600" s="143">
        <v>45218</v>
      </c>
      <c r="BI600" s="236" t="s">
        <v>583</v>
      </c>
      <c r="BJ600" s="238" t="s">
        <v>2378</v>
      </c>
      <c r="BK600" s="237" t="s">
        <v>1371</v>
      </c>
    </row>
    <row r="601" spans="56:63" ht="16.5" customHeight="1" x14ac:dyDescent="0.3">
      <c r="BD601" s="231" t="s">
        <v>989</v>
      </c>
      <c r="BE601" s="232" t="s">
        <v>2589</v>
      </c>
      <c r="BF601" s="233">
        <v>1863</v>
      </c>
      <c r="BG601" s="234">
        <v>22356</v>
      </c>
      <c r="BH601" s="235">
        <v>45219</v>
      </c>
      <c r="BI601" s="236" t="s">
        <v>583</v>
      </c>
      <c r="BJ601" s="238" t="s">
        <v>2320</v>
      </c>
      <c r="BK601" s="237" t="s">
        <v>1371</v>
      </c>
    </row>
    <row r="602" spans="56:63" ht="16.5" customHeight="1" x14ac:dyDescent="0.3">
      <c r="BD602" s="231" t="s">
        <v>989</v>
      </c>
      <c r="BE602" s="232" t="s">
        <v>2590</v>
      </c>
      <c r="BF602" s="233">
        <v>1958</v>
      </c>
      <c r="BG602" s="234">
        <v>23496</v>
      </c>
      <c r="BH602" s="235">
        <v>45219</v>
      </c>
      <c r="BI602" s="236" t="s">
        <v>583</v>
      </c>
      <c r="BJ602" s="231" t="s">
        <v>2361</v>
      </c>
      <c r="BK602" s="237" t="s">
        <v>1371</v>
      </c>
    </row>
    <row r="603" spans="56:63" ht="16.5" customHeight="1" x14ac:dyDescent="0.3">
      <c r="BD603" s="231" t="s">
        <v>2433</v>
      </c>
      <c r="BE603" s="232" t="s">
        <v>2591</v>
      </c>
      <c r="BF603" s="233">
        <v>1939</v>
      </c>
      <c r="BG603" s="234">
        <v>23268</v>
      </c>
      <c r="BH603" s="235">
        <v>45219</v>
      </c>
      <c r="BI603" s="236" t="s">
        <v>583</v>
      </c>
      <c r="BJ603" s="238" t="s">
        <v>2320</v>
      </c>
      <c r="BK603" s="237" t="s">
        <v>1371</v>
      </c>
    </row>
    <row r="604" spans="56:63" ht="16.5" customHeight="1" x14ac:dyDescent="0.3">
      <c r="BD604" s="231" t="s">
        <v>989</v>
      </c>
      <c r="BE604" s="262" t="s">
        <v>2592</v>
      </c>
      <c r="BF604" s="233">
        <v>1958</v>
      </c>
      <c r="BG604" s="234">
        <v>23496</v>
      </c>
      <c r="BH604" s="143">
        <v>45218</v>
      </c>
      <c r="BI604" s="236" t="s">
        <v>583</v>
      </c>
      <c r="BJ604" s="238" t="s">
        <v>2320</v>
      </c>
      <c r="BK604" s="237" t="s">
        <v>1371</v>
      </c>
    </row>
    <row r="605" spans="56:63" ht="16.5" customHeight="1" x14ac:dyDescent="0.3">
      <c r="BD605" s="231" t="s">
        <v>989</v>
      </c>
      <c r="BE605" s="262" t="s">
        <v>2593</v>
      </c>
      <c r="BF605" s="233">
        <v>1958</v>
      </c>
      <c r="BG605" s="234">
        <v>23496</v>
      </c>
      <c r="BH605" s="143">
        <v>45218</v>
      </c>
      <c r="BI605" s="236" t="s">
        <v>583</v>
      </c>
      <c r="BJ605" s="238" t="s">
        <v>2320</v>
      </c>
      <c r="BK605" s="237" t="s">
        <v>1371</v>
      </c>
    </row>
    <row r="606" spans="56:63" ht="16.5" customHeight="1" x14ac:dyDescent="0.3">
      <c r="BD606" s="134" t="s">
        <v>989</v>
      </c>
      <c r="BE606" s="263" t="s">
        <v>2594</v>
      </c>
      <c r="BF606" s="229">
        <v>1947</v>
      </c>
      <c r="BG606" s="230">
        <v>23364</v>
      </c>
      <c r="BH606" s="143">
        <v>45218</v>
      </c>
      <c r="BI606" s="198" t="s">
        <v>583</v>
      </c>
      <c r="BJ606" s="134" t="s">
        <v>2320</v>
      </c>
      <c r="BK606" s="201" t="s">
        <v>1371</v>
      </c>
    </row>
    <row r="607" spans="56:63" ht="16.5" customHeight="1" x14ac:dyDescent="0.3">
      <c r="BD607" s="134" t="s">
        <v>754</v>
      </c>
      <c r="BE607" s="113" t="s">
        <v>2595</v>
      </c>
      <c r="BF607" s="229">
        <v>1980</v>
      </c>
      <c r="BG607" s="230">
        <v>23760</v>
      </c>
      <c r="BH607" s="235">
        <v>45300</v>
      </c>
      <c r="BI607" s="236" t="s">
        <v>583</v>
      </c>
      <c r="BJ607" s="238" t="s">
        <v>2359</v>
      </c>
      <c r="BK607" s="237" t="s">
        <v>1371</v>
      </c>
    </row>
    <row r="608" spans="56:63" ht="16.5" customHeight="1" x14ac:dyDescent="0.3">
      <c r="BD608" s="134" t="s">
        <v>873</v>
      </c>
      <c r="BE608" s="113" t="s">
        <v>2596</v>
      </c>
      <c r="BF608" s="229">
        <v>1917</v>
      </c>
      <c r="BG608" s="230">
        <v>23004</v>
      </c>
      <c r="BH608" s="143">
        <v>45316</v>
      </c>
      <c r="BI608" s="198" t="s">
        <v>583</v>
      </c>
      <c r="BJ608" s="264" t="s">
        <v>2597</v>
      </c>
      <c r="BK608" s="201" t="s">
        <v>1394</v>
      </c>
    </row>
    <row r="609" spans="56:63" ht="16.5" customHeight="1" x14ac:dyDescent="0.3">
      <c r="BD609" s="134" t="s">
        <v>2598</v>
      </c>
      <c r="BE609" s="113" t="s">
        <v>2599</v>
      </c>
      <c r="BF609" s="229">
        <v>1925</v>
      </c>
      <c r="BG609" s="230">
        <v>23100</v>
      </c>
      <c r="BH609" s="143">
        <v>45337</v>
      </c>
      <c r="BI609" s="236" t="s">
        <v>583</v>
      </c>
      <c r="BJ609" s="199" t="s">
        <v>2600</v>
      </c>
      <c r="BK609" s="201" t="s">
        <v>1691</v>
      </c>
    </row>
    <row r="610" spans="56:63" ht="16.5" customHeight="1" x14ac:dyDescent="0.3">
      <c r="BD610" s="134" t="s">
        <v>350</v>
      </c>
      <c r="BE610" s="113" t="s">
        <v>2601</v>
      </c>
      <c r="BF610" s="229">
        <v>1925</v>
      </c>
      <c r="BG610" s="230">
        <v>23100</v>
      </c>
      <c r="BH610" s="235">
        <v>45355</v>
      </c>
      <c r="BI610" s="198" t="s">
        <v>583</v>
      </c>
      <c r="BJ610" s="199" t="s">
        <v>2372</v>
      </c>
      <c r="BK610" s="201" t="s">
        <v>1394</v>
      </c>
    </row>
    <row r="611" spans="56:63" ht="16.5" customHeight="1" x14ac:dyDescent="0.3">
      <c r="BD611" s="134" t="s">
        <v>2418</v>
      </c>
      <c r="BE611" s="113" t="s">
        <v>2602</v>
      </c>
      <c r="BF611" s="229">
        <v>1925</v>
      </c>
      <c r="BG611" s="230">
        <v>23100</v>
      </c>
      <c r="BH611" s="235">
        <v>45364</v>
      </c>
      <c r="BI611" s="198" t="s">
        <v>583</v>
      </c>
      <c r="BJ611" s="199" t="s">
        <v>2372</v>
      </c>
      <c r="BK611" s="201" t="s">
        <v>1394</v>
      </c>
    </row>
    <row r="612" spans="56:63" ht="16.5" customHeight="1" x14ac:dyDescent="0.3">
      <c r="BD612" s="231" t="s">
        <v>2418</v>
      </c>
      <c r="BE612" s="232" t="s">
        <v>2603</v>
      </c>
      <c r="BF612" s="233">
        <v>1925</v>
      </c>
      <c r="BG612" s="234">
        <v>23100</v>
      </c>
      <c r="BH612" s="235">
        <v>45364</v>
      </c>
      <c r="BI612" s="236" t="s">
        <v>583</v>
      </c>
      <c r="BJ612" s="238" t="s">
        <v>2372</v>
      </c>
      <c r="BK612" s="237" t="s">
        <v>1394</v>
      </c>
    </row>
    <row r="613" spans="56:63" ht="16.5" customHeight="1" x14ac:dyDescent="0.3">
      <c r="BD613" s="134" t="s">
        <v>558</v>
      </c>
      <c r="BE613" s="232" t="s">
        <v>2604</v>
      </c>
      <c r="BF613" s="233">
        <v>1958</v>
      </c>
      <c r="BG613" s="234">
        <v>23496</v>
      </c>
      <c r="BH613" s="235">
        <v>45426</v>
      </c>
      <c r="BI613" s="236" t="s">
        <v>583</v>
      </c>
      <c r="BJ613" s="231" t="s">
        <v>2320</v>
      </c>
      <c r="BK613" s="237" t="s">
        <v>1371</v>
      </c>
    </row>
    <row r="614" spans="56:63" ht="16.5" customHeight="1" x14ac:dyDescent="0.3">
      <c r="BD614" s="231" t="s">
        <v>2605</v>
      </c>
      <c r="BE614" s="232" t="s">
        <v>2606</v>
      </c>
      <c r="BF614" s="233">
        <v>1534</v>
      </c>
      <c r="BG614" s="234">
        <v>23010</v>
      </c>
      <c r="BH614" s="235">
        <v>45520</v>
      </c>
      <c r="BI614" s="236" t="s">
        <v>583</v>
      </c>
      <c r="BJ614" s="238" t="s">
        <v>1125</v>
      </c>
      <c r="BK614" s="237" t="s">
        <v>1371</v>
      </c>
    </row>
    <row r="615" spans="56:63" ht="16.5" customHeight="1" x14ac:dyDescent="0.3">
      <c r="BD615" s="134" t="s">
        <v>2605</v>
      </c>
      <c r="BE615" s="134" t="s">
        <v>2607</v>
      </c>
      <c r="BF615" s="229">
        <v>1534</v>
      </c>
      <c r="BG615" s="230">
        <v>23010</v>
      </c>
      <c r="BH615" s="235">
        <v>45520</v>
      </c>
      <c r="BI615" s="236" t="s">
        <v>583</v>
      </c>
      <c r="BJ615" s="238" t="s">
        <v>1125</v>
      </c>
      <c r="BK615" s="237" t="s">
        <v>1371</v>
      </c>
    </row>
    <row r="616" spans="56:63" ht="16.5" customHeight="1" x14ac:dyDescent="0.3">
      <c r="BD616" s="231" t="s">
        <v>920</v>
      </c>
      <c r="BE616" s="248" t="s">
        <v>2608</v>
      </c>
      <c r="BF616" s="233">
        <v>1500</v>
      </c>
      <c r="BG616" s="234">
        <v>22500</v>
      </c>
      <c r="BH616" s="235">
        <v>45530</v>
      </c>
      <c r="BI616" s="236" t="s">
        <v>583</v>
      </c>
      <c r="BJ616" s="238" t="s">
        <v>1125</v>
      </c>
      <c r="BK616" s="237" t="s">
        <v>1371</v>
      </c>
    </row>
    <row r="617" spans="56:63" ht="16.5" customHeight="1" x14ac:dyDescent="0.3">
      <c r="BD617" s="231" t="s">
        <v>873</v>
      </c>
      <c r="BE617" s="232" t="s">
        <v>2609</v>
      </c>
      <c r="BF617" s="233">
        <v>2300</v>
      </c>
      <c r="BG617" s="234">
        <v>23000</v>
      </c>
      <c r="BH617" s="235">
        <v>45546</v>
      </c>
      <c r="BI617" s="236" t="s">
        <v>583</v>
      </c>
      <c r="BJ617" s="238" t="s">
        <v>475</v>
      </c>
      <c r="BK617" s="237" t="s">
        <v>2309</v>
      </c>
    </row>
    <row r="618" spans="56:63" ht="16.5" customHeight="1" x14ac:dyDescent="0.3">
      <c r="BD618" s="134" t="s">
        <v>2610</v>
      </c>
      <c r="BE618" s="232" t="s">
        <v>2611</v>
      </c>
      <c r="BF618" s="233">
        <v>1949</v>
      </c>
      <c r="BG618" s="230">
        <v>23388</v>
      </c>
      <c r="BH618" s="143">
        <v>45583</v>
      </c>
      <c r="BI618" s="236" t="s">
        <v>583</v>
      </c>
      <c r="BJ618" s="238" t="s">
        <v>1592</v>
      </c>
      <c r="BK618" s="237" t="s">
        <v>1371</v>
      </c>
    </row>
    <row r="619" spans="56:63" ht="16.5" customHeight="1" x14ac:dyDescent="0.3">
      <c r="BD619" s="134" t="s">
        <v>2598</v>
      </c>
      <c r="BE619" s="134" t="s">
        <v>2612</v>
      </c>
      <c r="BF619" s="229">
        <v>1930</v>
      </c>
      <c r="BG619" s="230">
        <v>23160</v>
      </c>
      <c r="BH619" s="235">
        <v>45588</v>
      </c>
      <c r="BI619" s="236" t="s">
        <v>583</v>
      </c>
      <c r="BJ619" s="238" t="s">
        <v>1592</v>
      </c>
      <c r="BK619" s="237" t="s">
        <v>1371</v>
      </c>
    </row>
    <row r="620" spans="56:63" ht="16.5" customHeight="1" x14ac:dyDescent="0.3">
      <c r="BD620" s="231" t="s">
        <v>2418</v>
      </c>
      <c r="BE620" s="232" t="s">
        <v>2613</v>
      </c>
      <c r="BF620" s="233">
        <v>1950</v>
      </c>
      <c r="BG620" s="234">
        <v>23400</v>
      </c>
      <c r="BH620" s="235">
        <v>45589</v>
      </c>
      <c r="BI620" s="236" t="s">
        <v>583</v>
      </c>
      <c r="BJ620" s="238" t="s">
        <v>2614</v>
      </c>
      <c r="BK620" s="237" t="s">
        <v>1394</v>
      </c>
    </row>
    <row r="621" spans="56:63" ht="16.5" customHeight="1" x14ac:dyDescent="0.3">
      <c r="BD621" s="134" t="s">
        <v>944</v>
      </c>
      <c r="BE621" s="134" t="s">
        <v>2615</v>
      </c>
      <c r="BF621" s="229">
        <v>1958</v>
      </c>
      <c r="BG621" s="230">
        <v>23496</v>
      </c>
      <c r="BH621" s="235">
        <v>45594</v>
      </c>
      <c r="BI621" s="236" t="s">
        <v>583</v>
      </c>
      <c r="BJ621" s="238" t="s">
        <v>2320</v>
      </c>
      <c r="BK621" s="237" t="s">
        <v>1371</v>
      </c>
    </row>
    <row r="622" spans="56:63" ht="16.5" customHeight="1" x14ac:dyDescent="0.3">
      <c r="BD622" s="231" t="s">
        <v>873</v>
      </c>
      <c r="BE622" s="232" t="s">
        <v>2616</v>
      </c>
      <c r="BF622" s="233">
        <v>1958</v>
      </c>
      <c r="BG622" s="234">
        <v>23496</v>
      </c>
      <c r="BH622" s="235">
        <v>45607</v>
      </c>
      <c r="BI622" s="236" t="s">
        <v>583</v>
      </c>
      <c r="BJ622" s="238" t="s">
        <v>2320</v>
      </c>
      <c r="BK622" s="237" t="s">
        <v>1371</v>
      </c>
    </row>
    <row r="623" spans="56:63" ht="16.5" customHeight="1" x14ac:dyDescent="0.3">
      <c r="BD623" s="231" t="s">
        <v>873</v>
      </c>
      <c r="BE623" s="232" t="s">
        <v>2617</v>
      </c>
      <c r="BF623" s="233">
        <v>1895</v>
      </c>
      <c r="BG623" s="234">
        <v>22740</v>
      </c>
      <c r="BH623" s="235">
        <v>45623</v>
      </c>
      <c r="BI623" s="236" t="s">
        <v>583</v>
      </c>
      <c r="BJ623" s="238" t="s">
        <v>2320</v>
      </c>
      <c r="BK623" s="237" t="s">
        <v>1371</v>
      </c>
    </row>
    <row r="624" spans="56:63" ht="16.5" customHeight="1" x14ac:dyDescent="0.3">
      <c r="BD624" s="231" t="s">
        <v>2418</v>
      </c>
      <c r="BE624" s="232" t="s">
        <v>2618</v>
      </c>
      <c r="BF624" s="233">
        <v>1950</v>
      </c>
      <c r="BG624" s="234">
        <v>23400</v>
      </c>
      <c r="BH624" s="235">
        <v>45644</v>
      </c>
      <c r="BI624" s="236" t="s">
        <v>583</v>
      </c>
      <c r="BJ624" s="231" t="s">
        <v>2614</v>
      </c>
      <c r="BK624" s="237" t="s">
        <v>1394</v>
      </c>
    </row>
    <row r="625" spans="56:63" ht="16.5" customHeight="1" x14ac:dyDescent="0.3">
      <c r="BD625" s="231" t="s">
        <v>1073</v>
      </c>
      <c r="BE625" s="232" t="s">
        <v>2619</v>
      </c>
      <c r="BF625" s="233">
        <v>1985</v>
      </c>
      <c r="BG625" s="234">
        <v>23820</v>
      </c>
      <c r="BH625" s="235">
        <v>45663</v>
      </c>
      <c r="BI625" s="236" t="s">
        <v>583</v>
      </c>
      <c r="BJ625" s="265" t="s">
        <v>2359</v>
      </c>
      <c r="BK625" s="237" t="s">
        <v>1371</v>
      </c>
    </row>
    <row r="626" spans="56:63" ht="16.5" customHeight="1" x14ac:dyDescent="0.3">
      <c r="BD626" s="231" t="s">
        <v>2620</v>
      </c>
      <c r="BE626" s="232" t="s">
        <v>2621</v>
      </c>
      <c r="BF626" s="233">
        <v>1804</v>
      </c>
      <c r="BG626" s="234">
        <v>18040</v>
      </c>
      <c r="BH626" s="235">
        <v>45666</v>
      </c>
      <c r="BI626" s="236" t="s">
        <v>583</v>
      </c>
      <c r="BJ626" s="238" t="s">
        <v>2622</v>
      </c>
      <c r="BK626" s="237" t="s">
        <v>1394</v>
      </c>
    </row>
    <row r="627" spans="56:63" ht="16.5" customHeight="1" x14ac:dyDescent="0.3">
      <c r="BD627" s="231" t="s">
        <v>2418</v>
      </c>
      <c r="BE627" s="232" t="s">
        <v>2623</v>
      </c>
      <c r="BF627" s="233">
        <v>1952</v>
      </c>
      <c r="BG627" s="234">
        <v>23424</v>
      </c>
      <c r="BH627" s="235">
        <v>45667</v>
      </c>
      <c r="BI627" s="236" t="s">
        <v>583</v>
      </c>
      <c r="BJ627" s="238" t="s">
        <v>2624</v>
      </c>
      <c r="BK627" s="237" t="s">
        <v>1394</v>
      </c>
    </row>
    <row r="628" spans="56:63" ht="16.5" customHeight="1" x14ac:dyDescent="0.3">
      <c r="BD628" s="231" t="s">
        <v>2625</v>
      </c>
      <c r="BE628" s="134" t="s">
        <v>2626</v>
      </c>
      <c r="BF628" s="233">
        <v>1985</v>
      </c>
      <c r="BG628" s="234">
        <v>23820</v>
      </c>
      <c r="BH628" s="235">
        <v>45671</v>
      </c>
      <c r="BI628" s="236" t="s">
        <v>583</v>
      </c>
      <c r="BJ628" s="238" t="s">
        <v>2359</v>
      </c>
      <c r="BK628" s="237" t="s">
        <v>1371</v>
      </c>
    </row>
    <row r="629" spans="56:63" ht="16.5" customHeight="1" x14ac:dyDescent="0.3">
      <c r="BD629" s="231" t="s">
        <v>2625</v>
      </c>
      <c r="BE629" s="232" t="s">
        <v>2627</v>
      </c>
      <c r="BF629" s="233">
        <v>1980</v>
      </c>
      <c r="BG629" s="234">
        <v>23760</v>
      </c>
      <c r="BH629" s="235">
        <v>45671</v>
      </c>
      <c r="BI629" s="236" t="s">
        <v>583</v>
      </c>
      <c r="BJ629" s="238" t="s">
        <v>2370</v>
      </c>
      <c r="BK629" s="237" t="s">
        <v>1371</v>
      </c>
    </row>
    <row r="630" spans="56:63" ht="16.5" customHeight="1" x14ac:dyDescent="0.3">
      <c r="BD630" s="231" t="s">
        <v>2620</v>
      </c>
      <c r="BE630" s="232" t="s">
        <v>2628</v>
      </c>
      <c r="BF630" s="233">
        <v>1804</v>
      </c>
      <c r="BG630" s="234">
        <v>18040</v>
      </c>
      <c r="BH630" s="235">
        <v>45674</v>
      </c>
      <c r="BI630" s="236" t="s">
        <v>583</v>
      </c>
      <c r="BJ630" s="238" t="s">
        <v>2622</v>
      </c>
      <c r="BK630" s="237" t="s">
        <v>1394</v>
      </c>
    </row>
    <row r="631" spans="56:63" ht="16.5" customHeight="1" x14ac:dyDescent="0.3">
      <c r="BD631" s="231" t="s">
        <v>968</v>
      </c>
      <c r="BE631" s="113" t="s">
        <v>2629</v>
      </c>
      <c r="BF631" s="229">
        <v>1958</v>
      </c>
      <c r="BG631" s="230">
        <v>23496</v>
      </c>
      <c r="BH631" s="143">
        <v>45674</v>
      </c>
      <c r="BI631" s="236" t="s">
        <v>583</v>
      </c>
      <c r="BJ631" s="231" t="s">
        <v>2320</v>
      </c>
      <c r="BK631" s="237" t="s">
        <v>1371</v>
      </c>
    </row>
    <row r="632" spans="56:63" ht="16.5" customHeight="1" x14ac:dyDescent="0.3">
      <c r="BD632" s="231" t="s">
        <v>1073</v>
      </c>
      <c r="BE632" s="232" t="s">
        <v>2630</v>
      </c>
      <c r="BF632" s="233">
        <v>1980</v>
      </c>
      <c r="BG632" s="234">
        <v>23760</v>
      </c>
      <c r="BH632" s="235">
        <v>45679</v>
      </c>
      <c r="BI632" s="236" t="s">
        <v>583</v>
      </c>
      <c r="BJ632" s="238" t="s">
        <v>2370</v>
      </c>
      <c r="BK632" s="237" t="s">
        <v>1371</v>
      </c>
    </row>
    <row r="633" spans="56:63" ht="16.5" customHeight="1" x14ac:dyDescent="0.3">
      <c r="BD633" s="231" t="s">
        <v>873</v>
      </c>
      <c r="BE633" s="232" t="s">
        <v>2631</v>
      </c>
      <c r="BF633" s="233">
        <v>1958</v>
      </c>
      <c r="BG633" s="234">
        <v>23496</v>
      </c>
      <c r="BH633" s="235">
        <v>45695</v>
      </c>
      <c r="BI633" s="236" t="s">
        <v>583</v>
      </c>
      <c r="BJ633" s="238" t="s">
        <v>2320</v>
      </c>
      <c r="BK633" s="237" t="s">
        <v>1371</v>
      </c>
    </row>
    <row r="634" spans="56:63" ht="16.5" customHeight="1" x14ac:dyDescent="0.3">
      <c r="BD634" s="231" t="s">
        <v>873</v>
      </c>
      <c r="BE634" s="232" t="s">
        <v>2632</v>
      </c>
      <c r="BF634" s="233">
        <v>1958</v>
      </c>
      <c r="BG634" s="234">
        <v>23496</v>
      </c>
      <c r="BH634" s="235">
        <v>45698</v>
      </c>
      <c r="BI634" s="236" t="s">
        <v>583</v>
      </c>
      <c r="BJ634" s="238" t="s">
        <v>2320</v>
      </c>
      <c r="BK634" s="237" t="s">
        <v>1371</v>
      </c>
    </row>
    <row r="635" spans="56:63" ht="16.5" customHeight="1" x14ac:dyDescent="0.3">
      <c r="BD635" s="231" t="s">
        <v>873</v>
      </c>
      <c r="BE635" s="232" t="s">
        <v>2633</v>
      </c>
      <c r="BF635" s="233">
        <v>1951</v>
      </c>
      <c r="BG635" s="234">
        <v>23412</v>
      </c>
      <c r="BH635" s="235">
        <v>45698</v>
      </c>
      <c r="BI635" s="236" t="s">
        <v>583</v>
      </c>
      <c r="BJ635" s="238" t="s">
        <v>2320</v>
      </c>
      <c r="BK635" s="237" t="s">
        <v>1371</v>
      </c>
    </row>
    <row r="636" spans="56:63" ht="16.5" customHeight="1" x14ac:dyDescent="0.3">
      <c r="BD636" s="231" t="s">
        <v>920</v>
      </c>
      <c r="BE636" s="232" t="s">
        <v>2634</v>
      </c>
      <c r="BF636" s="233">
        <v>1500</v>
      </c>
      <c r="BG636" s="234">
        <v>22500</v>
      </c>
      <c r="BH636" s="235">
        <v>45698</v>
      </c>
      <c r="BI636" s="236" t="s">
        <v>583</v>
      </c>
      <c r="BJ636" s="238" t="s">
        <v>1125</v>
      </c>
      <c r="BK636" s="237" t="s">
        <v>1371</v>
      </c>
    </row>
    <row r="637" spans="56:63" ht="16.5" customHeight="1" x14ac:dyDescent="0.3">
      <c r="BD637" s="134" t="s">
        <v>2635</v>
      </c>
      <c r="BE637" s="113" t="s">
        <v>2636</v>
      </c>
      <c r="BF637" s="229">
        <v>1980</v>
      </c>
      <c r="BG637" s="230">
        <v>23760</v>
      </c>
      <c r="BH637" s="235">
        <v>45698</v>
      </c>
      <c r="BI637" s="198" t="s">
        <v>583</v>
      </c>
      <c r="BJ637" s="199" t="s">
        <v>2370</v>
      </c>
      <c r="BK637" s="201" t="s">
        <v>1371</v>
      </c>
    </row>
    <row r="638" spans="56:63" ht="16.5" customHeight="1" x14ac:dyDescent="0.3">
      <c r="BD638" s="231" t="s">
        <v>2418</v>
      </c>
      <c r="BE638" s="232" t="s">
        <v>2637</v>
      </c>
      <c r="BF638" s="233">
        <v>1925</v>
      </c>
      <c r="BG638" s="234">
        <v>23100</v>
      </c>
      <c r="BH638" s="235">
        <v>45698</v>
      </c>
      <c r="BI638" s="236" t="s">
        <v>583</v>
      </c>
      <c r="BJ638" s="238" t="s">
        <v>2614</v>
      </c>
      <c r="BK638" s="237" t="s">
        <v>1394</v>
      </c>
    </row>
    <row r="639" spans="56:63" ht="16.5" customHeight="1" x14ac:dyDescent="0.3">
      <c r="BD639" s="231" t="s">
        <v>350</v>
      </c>
      <c r="BE639" s="232" t="s">
        <v>2638</v>
      </c>
      <c r="BF639" s="233">
        <v>1950</v>
      </c>
      <c r="BG639" s="234">
        <v>23400</v>
      </c>
      <c r="BH639" s="235">
        <v>45699</v>
      </c>
      <c r="BI639" s="236" t="s">
        <v>583</v>
      </c>
      <c r="BJ639" s="238" t="s">
        <v>2639</v>
      </c>
      <c r="BK639" s="237" t="s">
        <v>1394</v>
      </c>
    </row>
    <row r="640" spans="56:63" ht="16.5" customHeight="1" x14ac:dyDescent="0.3">
      <c r="BD640" s="231" t="s">
        <v>2625</v>
      </c>
      <c r="BE640" s="232" t="s">
        <v>2640</v>
      </c>
      <c r="BF640" s="233">
        <v>1958</v>
      </c>
      <c r="BG640" s="234">
        <v>23496</v>
      </c>
      <c r="BH640" s="235">
        <v>45700</v>
      </c>
      <c r="BI640" s="236" t="s">
        <v>583</v>
      </c>
      <c r="BJ640" s="238" t="s">
        <v>2320</v>
      </c>
      <c r="BK640" s="237" t="s">
        <v>1371</v>
      </c>
    </row>
    <row r="641" spans="56:63" ht="16.5" customHeight="1" x14ac:dyDescent="0.3">
      <c r="BD641" s="231" t="s">
        <v>558</v>
      </c>
      <c r="BE641" s="232" t="s">
        <v>2641</v>
      </c>
      <c r="BF641" s="233">
        <v>1958</v>
      </c>
      <c r="BG641" s="234">
        <v>23496</v>
      </c>
      <c r="BH641" s="235">
        <v>45700</v>
      </c>
      <c r="BI641" s="236" t="s">
        <v>583</v>
      </c>
      <c r="BJ641" s="238" t="s">
        <v>2320</v>
      </c>
      <c r="BK641" s="237" t="s">
        <v>1371</v>
      </c>
    </row>
    <row r="642" spans="56:63" ht="16.5" customHeight="1" x14ac:dyDescent="0.3">
      <c r="BD642" s="231" t="s">
        <v>968</v>
      </c>
      <c r="BE642" s="232" t="s">
        <v>2642</v>
      </c>
      <c r="BF642" s="233">
        <v>1958</v>
      </c>
      <c r="BG642" s="234">
        <v>23496</v>
      </c>
      <c r="BH642" s="235">
        <v>45700</v>
      </c>
      <c r="BI642" s="236" t="s">
        <v>583</v>
      </c>
      <c r="BJ642" s="238" t="s">
        <v>2320</v>
      </c>
      <c r="BK642" s="237" t="s">
        <v>1371</v>
      </c>
    </row>
    <row r="643" spans="56:63" ht="16.5" customHeight="1" x14ac:dyDescent="0.3">
      <c r="BD643" s="231" t="s">
        <v>468</v>
      </c>
      <c r="BE643" s="232" t="s">
        <v>2643</v>
      </c>
      <c r="BF643" s="233">
        <v>1958</v>
      </c>
      <c r="BG643" s="234">
        <v>23496</v>
      </c>
      <c r="BH643" s="235">
        <v>45701</v>
      </c>
      <c r="BI643" s="236" t="s">
        <v>583</v>
      </c>
      <c r="BJ643" s="238" t="s">
        <v>2361</v>
      </c>
      <c r="BK643" s="237" t="s">
        <v>1371</v>
      </c>
    </row>
    <row r="644" spans="56:63" ht="16.5" customHeight="1" x14ac:dyDescent="0.3">
      <c r="BD644" s="231" t="s">
        <v>920</v>
      </c>
      <c r="BE644" s="232" t="s">
        <v>2644</v>
      </c>
      <c r="BF644" s="233">
        <v>1568</v>
      </c>
      <c r="BG644" s="234">
        <v>23520</v>
      </c>
      <c r="BH644" s="235">
        <v>45702</v>
      </c>
      <c r="BI644" s="236" t="s">
        <v>583</v>
      </c>
      <c r="BJ644" s="238" t="s">
        <v>2318</v>
      </c>
      <c r="BK644" s="237" t="s">
        <v>1371</v>
      </c>
    </row>
    <row r="645" spans="56:63" ht="16.5" customHeight="1" x14ac:dyDescent="0.3">
      <c r="BD645" s="231" t="s">
        <v>920</v>
      </c>
      <c r="BE645" s="232" t="s">
        <v>2645</v>
      </c>
      <c r="BF645" s="233">
        <v>1500</v>
      </c>
      <c r="BG645" s="234">
        <v>22500</v>
      </c>
      <c r="BH645" s="235">
        <v>45702</v>
      </c>
      <c r="BI645" s="236" t="s">
        <v>583</v>
      </c>
      <c r="BJ645" s="238" t="s">
        <v>2646</v>
      </c>
      <c r="BK645" s="237" t="s">
        <v>1371</v>
      </c>
    </row>
    <row r="646" spans="56:63" ht="16.5" customHeight="1" x14ac:dyDescent="0.3">
      <c r="BD646" s="231" t="s">
        <v>374</v>
      </c>
      <c r="BE646" s="232" t="s">
        <v>2647</v>
      </c>
      <c r="BF646" s="233">
        <v>1985</v>
      </c>
      <c r="BG646" s="234">
        <v>23820</v>
      </c>
      <c r="BH646" s="235">
        <v>45708</v>
      </c>
      <c r="BI646" s="236" t="s">
        <v>583</v>
      </c>
      <c r="BJ646" s="238" t="s">
        <v>2359</v>
      </c>
      <c r="BK646" s="237" t="s">
        <v>1371</v>
      </c>
    </row>
    <row r="647" spans="56:63" ht="16.5" customHeight="1" x14ac:dyDescent="0.3">
      <c r="BD647" s="231" t="s">
        <v>1073</v>
      </c>
      <c r="BE647" s="232" t="s">
        <v>2648</v>
      </c>
      <c r="BF647" s="233">
        <v>1980</v>
      </c>
      <c r="BG647" s="234">
        <v>23760</v>
      </c>
      <c r="BH647" s="235">
        <v>45708</v>
      </c>
      <c r="BI647" s="236" t="s">
        <v>583</v>
      </c>
      <c r="BJ647" s="238" t="s">
        <v>2359</v>
      </c>
      <c r="BK647" s="237" t="s">
        <v>1371</v>
      </c>
    </row>
    <row r="648" spans="56:63" ht="16.5" customHeight="1" x14ac:dyDescent="0.3">
      <c r="BD648" s="231" t="s">
        <v>2351</v>
      </c>
      <c r="BE648" s="232" t="s">
        <v>2649</v>
      </c>
      <c r="BF648" s="233">
        <v>1556</v>
      </c>
      <c r="BG648" s="234">
        <v>23340</v>
      </c>
      <c r="BH648" s="235">
        <v>45708</v>
      </c>
      <c r="BI648" s="236" t="s">
        <v>583</v>
      </c>
      <c r="BJ648" s="238" t="s">
        <v>475</v>
      </c>
      <c r="BK648" s="237" t="s">
        <v>1371</v>
      </c>
    </row>
    <row r="649" spans="56:63" ht="16.5" customHeight="1" x14ac:dyDescent="0.3">
      <c r="BD649" s="231" t="s">
        <v>873</v>
      </c>
      <c r="BE649" s="232" t="s">
        <v>2650</v>
      </c>
      <c r="BF649" s="233">
        <v>2300</v>
      </c>
      <c r="BG649" s="234">
        <v>23000</v>
      </c>
      <c r="BH649" s="235">
        <v>45712</v>
      </c>
      <c r="BI649" s="236" t="s">
        <v>583</v>
      </c>
      <c r="BJ649" s="238" t="s">
        <v>1125</v>
      </c>
      <c r="BK649" s="237" t="s">
        <v>2309</v>
      </c>
    </row>
    <row r="650" spans="56:63" ht="16.5" customHeight="1" x14ac:dyDescent="0.3">
      <c r="BD650" s="231" t="s">
        <v>920</v>
      </c>
      <c r="BE650" s="232" t="s">
        <v>2651</v>
      </c>
      <c r="BF650" s="233">
        <v>1500</v>
      </c>
      <c r="BG650" s="234">
        <v>22500</v>
      </c>
      <c r="BH650" s="235">
        <v>45714</v>
      </c>
      <c r="BI650" s="236" t="s">
        <v>583</v>
      </c>
      <c r="BJ650" s="238" t="s">
        <v>2652</v>
      </c>
      <c r="BK650" s="237" t="s">
        <v>1371</v>
      </c>
    </row>
    <row r="651" spans="56:63" ht="16.5" customHeight="1" x14ac:dyDescent="0.3">
      <c r="BD651" s="231" t="s">
        <v>968</v>
      </c>
      <c r="BE651" s="113" t="s">
        <v>2653</v>
      </c>
      <c r="BF651" s="229">
        <v>1958</v>
      </c>
      <c r="BG651" s="230">
        <v>23496</v>
      </c>
      <c r="BH651" s="235">
        <v>45714</v>
      </c>
      <c r="BI651" s="236" t="s">
        <v>583</v>
      </c>
      <c r="BJ651" s="231" t="s">
        <v>1592</v>
      </c>
      <c r="BK651" s="237" t="s">
        <v>1371</v>
      </c>
    </row>
    <row r="652" spans="56:63" ht="16.5" customHeight="1" x14ac:dyDescent="0.3">
      <c r="BD652" s="231" t="s">
        <v>873</v>
      </c>
      <c r="BE652" s="232" t="s">
        <v>2654</v>
      </c>
      <c r="BF652" s="233">
        <v>1960</v>
      </c>
      <c r="BG652" s="234">
        <v>23520</v>
      </c>
      <c r="BH652" s="235">
        <v>45715</v>
      </c>
      <c r="BI652" s="236" t="s">
        <v>583</v>
      </c>
      <c r="BJ652" s="238" t="s">
        <v>2378</v>
      </c>
      <c r="BK652" s="237" t="s">
        <v>1371</v>
      </c>
    </row>
    <row r="653" spans="56:63" ht="16.5" customHeight="1" x14ac:dyDescent="0.3">
      <c r="BD653" s="231" t="s">
        <v>374</v>
      </c>
      <c r="BE653" s="232" t="s">
        <v>2655</v>
      </c>
      <c r="BF653" s="233">
        <v>1980</v>
      </c>
      <c r="BG653" s="234">
        <v>23760</v>
      </c>
      <c r="BH653" s="235">
        <v>45716</v>
      </c>
      <c r="BI653" s="236" t="s">
        <v>583</v>
      </c>
      <c r="BJ653" s="238" t="s">
        <v>2656</v>
      </c>
      <c r="BK653" s="237" t="s">
        <v>1371</v>
      </c>
    </row>
    <row r="654" spans="56:63" ht="16.5" customHeight="1" x14ac:dyDescent="0.3">
      <c r="BD654" s="231" t="s">
        <v>873</v>
      </c>
      <c r="BE654" s="232" t="s">
        <v>2657</v>
      </c>
      <c r="BF654" s="233">
        <v>1917</v>
      </c>
      <c r="BG654" s="234">
        <v>23004</v>
      </c>
      <c r="BH654" s="235">
        <v>45721</v>
      </c>
      <c r="BI654" s="236" t="s">
        <v>583</v>
      </c>
      <c r="BJ654" s="238" t="s">
        <v>2378</v>
      </c>
      <c r="BK654" s="237" t="s">
        <v>1371</v>
      </c>
    </row>
    <row r="655" spans="56:63" ht="16.5" customHeight="1" x14ac:dyDescent="0.3">
      <c r="BD655" s="231" t="s">
        <v>374</v>
      </c>
      <c r="BE655" s="232" t="s">
        <v>2658</v>
      </c>
      <c r="BF655" s="233">
        <v>1980</v>
      </c>
      <c r="BG655" s="234">
        <v>23760</v>
      </c>
      <c r="BH655" s="235">
        <v>45726</v>
      </c>
      <c r="BI655" s="236" t="s">
        <v>583</v>
      </c>
      <c r="BJ655" s="238" t="s">
        <v>2359</v>
      </c>
      <c r="BK655" s="237" t="s">
        <v>1371</v>
      </c>
    </row>
    <row r="656" spans="56:63" ht="16.5" customHeight="1" x14ac:dyDescent="0.3">
      <c r="BD656" s="231" t="s">
        <v>2659</v>
      </c>
      <c r="BE656" s="232" t="s">
        <v>2660</v>
      </c>
      <c r="BF656" s="233">
        <v>1960</v>
      </c>
      <c r="BG656" s="234">
        <v>17418</v>
      </c>
      <c r="BH656" s="235">
        <v>45726</v>
      </c>
      <c r="BI656" s="236" t="s">
        <v>2661</v>
      </c>
      <c r="BJ656" s="238" t="s">
        <v>2662</v>
      </c>
      <c r="BK656" s="237" t="s">
        <v>1380</v>
      </c>
    </row>
    <row r="657" spans="56:63" ht="16.5" customHeight="1" x14ac:dyDescent="0.3">
      <c r="BD657" s="134" t="s">
        <v>468</v>
      </c>
      <c r="BE657" s="113" t="s">
        <v>2663</v>
      </c>
      <c r="BF657" s="229">
        <v>1925</v>
      </c>
      <c r="BG657" s="230">
        <v>23100</v>
      </c>
      <c r="BH657" s="235">
        <v>45727</v>
      </c>
      <c r="BI657" s="198" t="s">
        <v>583</v>
      </c>
      <c r="BJ657" s="199" t="s">
        <v>2664</v>
      </c>
      <c r="BK657" s="201" t="s">
        <v>1394</v>
      </c>
    </row>
    <row r="658" spans="56:63" ht="16.5" customHeight="1" x14ac:dyDescent="0.3">
      <c r="BD658" s="231" t="s">
        <v>2418</v>
      </c>
      <c r="BE658" s="232" t="s">
        <v>2665</v>
      </c>
      <c r="BF658" s="233">
        <v>1950</v>
      </c>
      <c r="BG658" s="234">
        <v>23400</v>
      </c>
      <c r="BH658" s="235">
        <v>45727</v>
      </c>
      <c r="BI658" s="236" t="s">
        <v>583</v>
      </c>
      <c r="BJ658" s="238" t="s">
        <v>2639</v>
      </c>
      <c r="BK658" s="237" t="s">
        <v>1394</v>
      </c>
    </row>
    <row r="659" spans="56:63" ht="16.5" customHeight="1" x14ac:dyDescent="0.3">
      <c r="BD659" s="231" t="s">
        <v>704</v>
      </c>
      <c r="BE659" s="232" t="s">
        <v>2666</v>
      </c>
      <c r="BF659" s="233">
        <v>1925</v>
      </c>
      <c r="BG659" s="234">
        <v>23100</v>
      </c>
      <c r="BH659" s="235">
        <v>45728</v>
      </c>
      <c r="BI659" s="236" t="s">
        <v>583</v>
      </c>
      <c r="BJ659" s="199" t="s">
        <v>2667</v>
      </c>
      <c r="BK659" s="237" t="s">
        <v>1394</v>
      </c>
    </row>
    <row r="660" spans="56:63" ht="16.5" customHeight="1" x14ac:dyDescent="0.3">
      <c r="BD660" s="231" t="s">
        <v>350</v>
      </c>
      <c r="BE660" s="232" t="s">
        <v>2668</v>
      </c>
      <c r="BF660" s="233">
        <v>1925</v>
      </c>
      <c r="BG660" s="234">
        <v>23100</v>
      </c>
      <c r="BH660" s="235">
        <v>45729</v>
      </c>
      <c r="BI660" s="236" t="s">
        <v>583</v>
      </c>
      <c r="BJ660" s="238" t="s">
        <v>2614</v>
      </c>
      <c r="BK660" s="237" t="s">
        <v>1394</v>
      </c>
    </row>
    <row r="661" spans="56:63" ht="16.5" customHeight="1" x14ac:dyDescent="0.3">
      <c r="BD661" s="231" t="s">
        <v>704</v>
      </c>
      <c r="BE661" s="232" t="s">
        <v>2669</v>
      </c>
      <c r="BF661" s="233">
        <v>1925</v>
      </c>
      <c r="BG661" s="234">
        <v>23100</v>
      </c>
      <c r="BH661" s="235">
        <v>45729</v>
      </c>
      <c r="BI661" s="236" t="s">
        <v>583</v>
      </c>
      <c r="BJ661" s="199" t="s">
        <v>2670</v>
      </c>
      <c r="BK661" s="237" t="s">
        <v>1394</v>
      </c>
    </row>
    <row r="662" spans="56:63" ht="16.5" customHeight="1" x14ac:dyDescent="0.3">
      <c r="BD662" s="231" t="s">
        <v>704</v>
      </c>
      <c r="BE662" s="232" t="s">
        <v>2671</v>
      </c>
      <c r="BF662" s="233">
        <v>1958</v>
      </c>
      <c r="BG662" s="234">
        <v>23496</v>
      </c>
      <c r="BH662" s="235">
        <v>45733</v>
      </c>
      <c r="BI662" s="236" t="s">
        <v>583</v>
      </c>
      <c r="BJ662" s="199" t="s">
        <v>2320</v>
      </c>
      <c r="BK662" s="237" t="s">
        <v>1371</v>
      </c>
    </row>
    <row r="663" spans="56:63" ht="16.5" customHeight="1" x14ac:dyDescent="0.3">
      <c r="BD663" s="231" t="s">
        <v>1073</v>
      </c>
      <c r="BE663" s="232" t="s">
        <v>2672</v>
      </c>
      <c r="BF663" s="233">
        <v>1980</v>
      </c>
      <c r="BG663" s="234">
        <v>23760</v>
      </c>
      <c r="BH663" s="235">
        <v>45733</v>
      </c>
      <c r="BI663" s="236" t="s">
        <v>583</v>
      </c>
      <c r="BJ663" s="238" t="s">
        <v>2359</v>
      </c>
      <c r="BK663" s="237" t="s">
        <v>1371</v>
      </c>
    </row>
    <row r="664" spans="56:63" ht="16.5" customHeight="1" x14ac:dyDescent="0.3">
      <c r="BD664" s="231" t="s">
        <v>558</v>
      </c>
      <c r="BE664" s="232" t="s">
        <v>2673</v>
      </c>
      <c r="BF664" s="233">
        <v>1958</v>
      </c>
      <c r="BG664" s="234">
        <v>23496</v>
      </c>
      <c r="BH664" s="235">
        <v>45733</v>
      </c>
      <c r="BI664" s="236" t="s">
        <v>583</v>
      </c>
      <c r="BJ664" s="238" t="s">
        <v>2320</v>
      </c>
      <c r="BK664" s="237" t="s">
        <v>1371</v>
      </c>
    </row>
    <row r="665" spans="56:63" ht="16.5" customHeight="1" x14ac:dyDescent="0.3">
      <c r="BD665" s="231" t="s">
        <v>374</v>
      </c>
      <c r="BE665" s="232" t="s">
        <v>2674</v>
      </c>
      <c r="BF665" s="233">
        <v>1985</v>
      </c>
      <c r="BG665" s="234">
        <v>23820</v>
      </c>
      <c r="BH665" s="235">
        <v>45734</v>
      </c>
      <c r="BI665" s="236" t="s">
        <v>583</v>
      </c>
      <c r="BJ665" s="238" t="s">
        <v>1728</v>
      </c>
      <c r="BK665" s="237" t="s">
        <v>1371</v>
      </c>
    </row>
    <row r="666" spans="56:63" ht="16.5" customHeight="1" x14ac:dyDescent="0.3">
      <c r="BD666" s="231" t="s">
        <v>873</v>
      </c>
      <c r="BE666" s="232" t="s">
        <v>2675</v>
      </c>
      <c r="BF666" s="233">
        <v>1917</v>
      </c>
      <c r="BG666" s="234">
        <v>23004</v>
      </c>
      <c r="BH666" s="235">
        <v>45734</v>
      </c>
      <c r="BI666" s="236" t="s">
        <v>583</v>
      </c>
      <c r="BJ666" s="238" t="s">
        <v>2378</v>
      </c>
      <c r="BK666" s="237" t="s">
        <v>1371</v>
      </c>
    </row>
    <row r="667" spans="56:63" ht="16.5" customHeight="1" x14ac:dyDescent="0.3">
      <c r="BD667" s="231" t="s">
        <v>2397</v>
      </c>
      <c r="BE667" s="232" t="s">
        <v>2676</v>
      </c>
      <c r="BF667" s="233">
        <v>1916</v>
      </c>
      <c r="BG667" s="234">
        <v>22992</v>
      </c>
      <c r="BH667" s="235">
        <v>45735</v>
      </c>
      <c r="BI667" s="236" t="s">
        <v>583</v>
      </c>
      <c r="BJ667" s="238" t="s">
        <v>2311</v>
      </c>
      <c r="BK667" s="237" t="s">
        <v>1371</v>
      </c>
    </row>
    <row r="668" spans="56:63" ht="16.5" customHeight="1" x14ac:dyDescent="0.3">
      <c r="BD668" s="231" t="s">
        <v>873</v>
      </c>
      <c r="BE668" s="232" t="s">
        <v>2677</v>
      </c>
      <c r="BF668" s="233">
        <v>1917</v>
      </c>
      <c r="BG668" s="234">
        <v>23004</v>
      </c>
      <c r="BH668" s="235">
        <v>45735</v>
      </c>
      <c r="BI668" s="236" t="s">
        <v>583</v>
      </c>
      <c r="BJ668" s="199" t="s">
        <v>2378</v>
      </c>
      <c r="BK668" s="237" t="s">
        <v>1371</v>
      </c>
    </row>
    <row r="669" spans="56:63" ht="16.5" customHeight="1" x14ac:dyDescent="0.3">
      <c r="BD669" s="231" t="s">
        <v>920</v>
      </c>
      <c r="BE669" s="232" t="s">
        <v>2678</v>
      </c>
      <c r="BF669" s="233">
        <v>1875</v>
      </c>
      <c r="BG669" s="234">
        <v>22500</v>
      </c>
      <c r="BH669" s="235">
        <v>45735</v>
      </c>
      <c r="BI669" s="236" t="s">
        <v>583</v>
      </c>
      <c r="BJ669" s="238" t="s">
        <v>2679</v>
      </c>
      <c r="BK669" s="237" t="s">
        <v>1371</v>
      </c>
    </row>
    <row r="670" spans="56:63" ht="16.5" customHeight="1" x14ac:dyDescent="0.3">
      <c r="BD670" s="231" t="s">
        <v>2418</v>
      </c>
      <c r="BE670" s="232" t="s">
        <v>2680</v>
      </c>
      <c r="BF670" s="233">
        <v>1925</v>
      </c>
      <c r="BG670" s="234">
        <v>23100</v>
      </c>
      <c r="BH670" s="235">
        <v>45740</v>
      </c>
      <c r="BI670" s="236" t="s">
        <v>583</v>
      </c>
      <c r="BJ670" s="238" t="s">
        <v>2614</v>
      </c>
      <c r="BK670" s="237" t="s">
        <v>1394</v>
      </c>
    </row>
    <row r="671" spans="56:63" ht="16.5" customHeight="1" x14ac:dyDescent="0.3">
      <c r="BD671" s="231" t="s">
        <v>2681</v>
      </c>
      <c r="BE671" s="113" t="s">
        <v>2682</v>
      </c>
      <c r="BF671" s="229">
        <v>1804</v>
      </c>
      <c r="BG671" s="230">
        <v>18040</v>
      </c>
      <c r="BH671" s="235">
        <v>45742</v>
      </c>
      <c r="BI671" s="236" t="s">
        <v>583</v>
      </c>
      <c r="BJ671" s="238" t="s">
        <v>2683</v>
      </c>
      <c r="BK671" s="237" t="s">
        <v>1394</v>
      </c>
    </row>
    <row r="672" spans="56:63" ht="16.5" customHeight="1" x14ac:dyDescent="0.3">
      <c r="BD672" s="231" t="s">
        <v>1073</v>
      </c>
      <c r="BE672" s="232" t="s">
        <v>2684</v>
      </c>
      <c r="BF672" s="233">
        <v>1980</v>
      </c>
      <c r="BG672" s="234">
        <v>23760</v>
      </c>
      <c r="BH672" s="235">
        <v>45743</v>
      </c>
      <c r="BI672" s="236" t="s">
        <v>583</v>
      </c>
      <c r="BJ672" s="238" t="s">
        <v>2359</v>
      </c>
      <c r="BK672" s="237" t="s">
        <v>1371</v>
      </c>
    </row>
    <row r="673" spans="56:63" ht="16.5" customHeight="1" x14ac:dyDescent="0.3">
      <c r="BD673" s="231" t="s">
        <v>2418</v>
      </c>
      <c r="BE673" s="232" t="s">
        <v>2685</v>
      </c>
      <c r="BF673" s="233">
        <v>1950</v>
      </c>
      <c r="BG673" s="234">
        <v>23400</v>
      </c>
      <c r="BH673" s="235">
        <v>45747</v>
      </c>
      <c r="BI673" s="236" t="s">
        <v>583</v>
      </c>
      <c r="BJ673" s="238" t="s">
        <v>2686</v>
      </c>
      <c r="BK673" s="237" t="s">
        <v>1394</v>
      </c>
    </row>
    <row r="674" spans="56:63" ht="16.5" customHeight="1" x14ac:dyDescent="0.3">
      <c r="BD674" s="231" t="s">
        <v>2418</v>
      </c>
      <c r="BE674" s="232" t="s">
        <v>2687</v>
      </c>
      <c r="BF674" s="233">
        <v>1950</v>
      </c>
      <c r="BG674" s="234">
        <v>23400</v>
      </c>
      <c r="BH674" s="235">
        <v>45747</v>
      </c>
      <c r="BI674" s="236" t="s">
        <v>583</v>
      </c>
      <c r="BJ674" s="238" t="s">
        <v>2614</v>
      </c>
      <c r="BK674" s="237" t="s">
        <v>1394</v>
      </c>
    </row>
    <row r="675" spans="56:63" ht="16.5" customHeight="1" x14ac:dyDescent="0.3">
      <c r="BD675" s="231" t="s">
        <v>704</v>
      </c>
      <c r="BE675" s="113" t="s">
        <v>2688</v>
      </c>
      <c r="BF675" s="233">
        <v>1925</v>
      </c>
      <c r="BG675" s="234">
        <v>23100</v>
      </c>
      <c r="BH675" s="235">
        <v>45748</v>
      </c>
      <c r="BI675" s="236" t="s">
        <v>583</v>
      </c>
      <c r="BJ675" s="238" t="s">
        <v>2689</v>
      </c>
      <c r="BK675" s="237" t="s">
        <v>1394</v>
      </c>
    </row>
    <row r="676" spans="56:63" ht="16.5" customHeight="1" x14ac:dyDescent="0.3">
      <c r="BD676" s="231" t="s">
        <v>2418</v>
      </c>
      <c r="BE676" s="232" t="s">
        <v>2690</v>
      </c>
      <c r="BF676" s="233">
        <v>1940</v>
      </c>
      <c r="BG676" s="234">
        <v>23280</v>
      </c>
      <c r="BH676" s="235">
        <v>45749</v>
      </c>
      <c r="BI676" s="236" t="s">
        <v>583</v>
      </c>
      <c r="BJ676" s="238" t="s">
        <v>2639</v>
      </c>
      <c r="BK676" s="237" t="s">
        <v>1394</v>
      </c>
    </row>
    <row r="677" spans="56:63" ht="16.5" customHeight="1" x14ac:dyDescent="0.3">
      <c r="BD677" s="231" t="s">
        <v>873</v>
      </c>
      <c r="BE677" s="113" t="s">
        <v>2691</v>
      </c>
      <c r="BF677" s="229">
        <v>1917</v>
      </c>
      <c r="BG677" s="230">
        <v>23004</v>
      </c>
      <c r="BH677" s="235">
        <v>45749</v>
      </c>
      <c r="BI677" s="236" t="s">
        <v>583</v>
      </c>
      <c r="BJ677" s="238" t="s">
        <v>2378</v>
      </c>
      <c r="BK677" s="237" t="s">
        <v>1371</v>
      </c>
    </row>
    <row r="678" spans="56:63" ht="16.5" customHeight="1" x14ac:dyDescent="0.3">
      <c r="BD678" s="231" t="s">
        <v>873</v>
      </c>
      <c r="BE678" s="232" t="s">
        <v>2692</v>
      </c>
      <c r="BF678" s="233">
        <v>1917</v>
      </c>
      <c r="BG678" s="234">
        <v>23004</v>
      </c>
      <c r="BH678" s="235">
        <v>45751</v>
      </c>
      <c r="BI678" s="236" t="s">
        <v>583</v>
      </c>
      <c r="BJ678" s="199" t="s">
        <v>2378</v>
      </c>
      <c r="BK678" s="237" t="s">
        <v>1371</v>
      </c>
    </row>
    <row r="679" spans="56:63" ht="16.5" customHeight="1" x14ac:dyDescent="0.3">
      <c r="BD679" s="231" t="s">
        <v>350</v>
      </c>
      <c r="BE679" s="232" t="s">
        <v>2693</v>
      </c>
      <c r="BF679" s="233">
        <v>1950</v>
      </c>
      <c r="BG679" s="234">
        <v>23400</v>
      </c>
      <c r="BH679" s="235">
        <v>45751</v>
      </c>
      <c r="BI679" s="236" t="s">
        <v>583</v>
      </c>
      <c r="BJ679" s="238" t="s">
        <v>2694</v>
      </c>
      <c r="BK679" s="237" t="s">
        <v>1394</v>
      </c>
    </row>
    <row r="680" spans="56:63" ht="16.5" customHeight="1" x14ac:dyDescent="0.3">
      <c r="BD680" s="231" t="s">
        <v>873</v>
      </c>
      <c r="BE680" s="232" t="s">
        <v>2695</v>
      </c>
      <c r="BF680" s="233">
        <v>1917</v>
      </c>
      <c r="BG680" s="234">
        <v>23004</v>
      </c>
      <c r="BH680" s="235">
        <v>45754</v>
      </c>
      <c r="BI680" s="236" t="s">
        <v>583</v>
      </c>
      <c r="BJ680" s="238" t="s">
        <v>2378</v>
      </c>
      <c r="BK680" s="237" t="s">
        <v>1371</v>
      </c>
    </row>
    <row r="681" spans="56:63" ht="16.5" customHeight="1" x14ac:dyDescent="0.3">
      <c r="BD681" s="232" t="s">
        <v>873</v>
      </c>
      <c r="BE681" s="134" t="s">
        <v>2696</v>
      </c>
      <c r="BF681" s="233">
        <v>1960</v>
      </c>
      <c r="BG681" s="234">
        <v>23520</v>
      </c>
      <c r="BH681" s="235">
        <v>45754</v>
      </c>
      <c r="BI681" s="236" t="s">
        <v>583</v>
      </c>
      <c r="BJ681" s="238" t="s">
        <v>2378</v>
      </c>
      <c r="BK681" s="237" t="s">
        <v>1371</v>
      </c>
    </row>
    <row r="682" spans="56:63" ht="16.5" customHeight="1" x14ac:dyDescent="0.3">
      <c r="BD682" s="231" t="s">
        <v>873</v>
      </c>
      <c r="BE682" s="232" t="s">
        <v>2697</v>
      </c>
      <c r="BF682" s="233">
        <v>1917</v>
      </c>
      <c r="BG682" s="234">
        <v>23004</v>
      </c>
      <c r="BH682" s="235">
        <v>45754</v>
      </c>
      <c r="BI682" s="236" t="s">
        <v>583</v>
      </c>
      <c r="BJ682" s="238" t="s">
        <v>2378</v>
      </c>
      <c r="BK682" s="237" t="s">
        <v>1371</v>
      </c>
    </row>
    <row r="683" spans="56:63" ht="16.5" customHeight="1" x14ac:dyDescent="0.3">
      <c r="BD683" s="231" t="s">
        <v>2698</v>
      </c>
      <c r="BE683" s="232" t="s">
        <v>2699</v>
      </c>
      <c r="BF683" s="233">
        <v>1950</v>
      </c>
      <c r="BG683" s="234">
        <v>23400</v>
      </c>
      <c r="BH683" s="235">
        <v>45754</v>
      </c>
      <c r="BI683" s="236" t="s">
        <v>583</v>
      </c>
      <c r="BJ683" s="238" t="s">
        <v>2483</v>
      </c>
      <c r="BK683" s="237" t="s">
        <v>1371</v>
      </c>
    </row>
    <row r="684" spans="56:63" ht="16.5" customHeight="1" x14ac:dyDescent="0.3">
      <c r="BD684" s="231" t="s">
        <v>704</v>
      </c>
      <c r="BE684" s="232" t="s">
        <v>2700</v>
      </c>
      <c r="BF684" s="233">
        <v>1958</v>
      </c>
      <c r="BG684" s="234">
        <v>23496</v>
      </c>
      <c r="BH684" s="235">
        <v>45754</v>
      </c>
      <c r="BI684" s="236" t="s">
        <v>583</v>
      </c>
      <c r="BJ684" s="238" t="s">
        <v>2320</v>
      </c>
      <c r="BK684" s="237" t="s">
        <v>1593</v>
      </c>
    </row>
    <row r="685" spans="56:63" ht="16.5" customHeight="1" x14ac:dyDescent="0.3">
      <c r="BD685" s="231" t="s">
        <v>2659</v>
      </c>
      <c r="BE685" s="232" t="s">
        <v>2701</v>
      </c>
      <c r="BF685" s="233">
        <v>5000</v>
      </c>
      <c r="BG685" s="234">
        <v>13608</v>
      </c>
      <c r="BH685" s="235">
        <v>45756</v>
      </c>
      <c r="BI685" s="236" t="s">
        <v>2661</v>
      </c>
      <c r="BJ685" s="238" t="s">
        <v>2702</v>
      </c>
      <c r="BK685" s="237" t="s">
        <v>2703</v>
      </c>
    </row>
    <row r="686" spans="56:63" ht="16.5" customHeight="1" x14ac:dyDescent="0.3">
      <c r="BD686" s="231" t="s">
        <v>989</v>
      </c>
      <c r="BE686" s="232" t="s">
        <v>2704</v>
      </c>
      <c r="BF686" s="233">
        <v>1939</v>
      </c>
      <c r="BG686" s="234">
        <v>23268</v>
      </c>
      <c r="BH686" s="235">
        <v>45756</v>
      </c>
      <c r="BI686" s="236" t="s">
        <v>583</v>
      </c>
      <c r="BJ686" s="238" t="s">
        <v>2361</v>
      </c>
      <c r="BK686" s="237" t="s">
        <v>1371</v>
      </c>
    </row>
    <row r="687" spans="56:63" ht="16.5" customHeight="1" x14ac:dyDescent="0.3">
      <c r="BD687" s="231" t="s">
        <v>968</v>
      </c>
      <c r="BE687" s="113" t="s">
        <v>2705</v>
      </c>
      <c r="BF687" s="233">
        <v>1939</v>
      </c>
      <c r="BG687" s="234">
        <v>23268</v>
      </c>
      <c r="BH687" s="235">
        <v>45756</v>
      </c>
      <c r="BI687" s="236" t="s">
        <v>583</v>
      </c>
      <c r="BJ687" s="238" t="s">
        <v>2320</v>
      </c>
      <c r="BK687" s="237" t="s">
        <v>1371</v>
      </c>
    </row>
    <row r="688" spans="56:63" ht="16.5" customHeight="1" x14ac:dyDescent="0.3">
      <c r="BD688" s="231" t="s">
        <v>374</v>
      </c>
      <c r="BE688" s="232" t="s">
        <v>2706</v>
      </c>
      <c r="BF688" s="233">
        <v>1980</v>
      </c>
      <c r="BG688" s="234">
        <v>23760</v>
      </c>
      <c r="BH688" s="235">
        <v>45756</v>
      </c>
      <c r="BI688" s="236" t="s">
        <v>583</v>
      </c>
      <c r="BJ688" s="238" t="s">
        <v>2370</v>
      </c>
      <c r="BK688" s="237" t="s">
        <v>1371</v>
      </c>
    </row>
    <row r="689" spans="56:63" ht="16.5" customHeight="1" x14ac:dyDescent="0.3">
      <c r="BD689" s="231" t="s">
        <v>2418</v>
      </c>
      <c r="BE689" s="232" t="s">
        <v>2707</v>
      </c>
      <c r="BF689" s="233">
        <v>1925</v>
      </c>
      <c r="BG689" s="234">
        <v>23100</v>
      </c>
      <c r="BH689" s="235">
        <v>45757</v>
      </c>
      <c r="BI689" s="236" t="s">
        <v>583</v>
      </c>
      <c r="BJ689" s="238" t="s">
        <v>2708</v>
      </c>
      <c r="BK689" s="237" t="s">
        <v>1394</v>
      </c>
    </row>
    <row r="690" spans="56:63" ht="16.5" customHeight="1" x14ac:dyDescent="0.3">
      <c r="BD690" s="231" t="s">
        <v>873</v>
      </c>
      <c r="BE690" s="232" t="s">
        <v>2709</v>
      </c>
      <c r="BF690" s="233">
        <v>1858</v>
      </c>
      <c r="BG690" s="234">
        <v>22296</v>
      </c>
      <c r="BH690" s="235">
        <v>45761</v>
      </c>
      <c r="BI690" s="236" t="s">
        <v>583</v>
      </c>
      <c r="BJ690" s="238" t="s">
        <v>2320</v>
      </c>
      <c r="BK690" s="237" t="s">
        <v>1371</v>
      </c>
    </row>
    <row r="691" spans="56:63" ht="16.5" customHeight="1" x14ac:dyDescent="0.3">
      <c r="BD691" s="231" t="s">
        <v>2418</v>
      </c>
      <c r="BE691" s="232" t="s">
        <v>2710</v>
      </c>
      <c r="BF691" s="233">
        <v>1925</v>
      </c>
      <c r="BG691" s="234">
        <v>23100</v>
      </c>
      <c r="BH691" s="235">
        <v>45761</v>
      </c>
      <c r="BI691" s="236" t="s">
        <v>583</v>
      </c>
      <c r="BJ691" s="238" t="s">
        <v>2686</v>
      </c>
      <c r="BK691" s="237" t="s">
        <v>1394</v>
      </c>
    </row>
    <row r="692" spans="56:63" ht="16.5" customHeight="1" x14ac:dyDescent="0.3">
      <c r="BD692" s="231" t="s">
        <v>2418</v>
      </c>
      <c r="BE692" s="232" t="s">
        <v>2711</v>
      </c>
      <c r="BF692" s="233">
        <v>1925</v>
      </c>
      <c r="BG692" s="234">
        <v>23100</v>
      </c>
      <c r="BH692" s="235">
        <v>45762</v>
      </c>
      <c r="BI692" s="236" t="s">
        <v>583</v>
      </c>
      <c r="BJ692" s="199" t="s">
        <v>2614</v>
      </c>
      <c r="BK692" s="237" t="s">
        <v>1394</v>
      </c>
    </row>
    <row r="693" spans="56:63" ht="16.5" customHeight="1" x14ac:dyDescent="0.3">
      <c r="BD693" s="231" t="s">
        <v>920</v>
      </c>
      <c r="BE693" s="232" t="s">
        <v>2712</v>
      </c>
      <c r="BF693" s="233">
        <v>1503</v>
      </c>
      <c r="BG693" s="234">
        <v>22500</v>
      </c>
      <c r="BH693" s="235">
        <v>45762</v>
      </c>
      <c r="BI693" s="236" t="s">
        <v>583</v>
      </c>
      <c r="BJ693" s="238" t="s">
        <v>2713</v>
      </c>
      <c r="BK693" s="237" t="s">
        <v>1371</v>
      </c>
    </row>
    <row r="694" spans="56:63" ht="16.5" customHeight="1" x14ac:dyDescent="0.3">
      <c r="BD694" s="231" t="s">
        <v>873</v>
      </c>
      <c r="BE694" s="232" t="s">
        <v>2714</v>
      </c>
      <c r="BF694" s="233">
        <v>1960</v>
      </c>
      <c r="BG694" s="234">
        <v>23520</v>
      </c>
      <c r="BH694" s="235">
        <v>45763</v>
      </c>
      <c r="BI694" s="236" t="s">
        <v>583</v>
      </c>
      <c r="BJ694" s="238" t="s">
        <v>2378</v>
      </c>
      <c r="BK694" s="237" t="s">
        <v>1371</v>
      </c>
    </row>
    <row r="695" spans="56:63" ht="16.5" customHeight="1" x14ac:dyDescent="0.3">
      <c r="BD695" s="231" t="s">
        <v>873</v>
      </c>
      <c r="BE695" s="232" t="s">
        <v>2715</v>
      </c>
      <c r="BF695" s="233">
        <v>1917</v>
      </c>
      <c r="BG695" s="234">
        <v>23004</v>
      </c>
      <c r="BH695" s="235">
        <v>45763</v>
      </c>
      <c r="BI695" s="236" t="s">
        <v>583</v>
      </c>
      <c r="BJ695" s="238" t="s">
        <v>2378</v>
      </c>
      <c r="BK695" s="237" t="s">
        <v>1371</v>
      </c>
    </row>
    <row r="696" spans="56:63" ht="16.5" customHeight="1" x14ac:dyDescent="0.3">
      <c r="BD696" s="231" t="s">
        <v>2418</v>
      </c>
      <c r="BE696" s="232" t="s">
        <v>2716</v>
      </c>
      <c r="BF696" s="233">
        <v>1950</v>
      </c>
      <c r="BG696" s="234">
        <v>23400</v>
      </c>
      <c r="BH696" s="235">
        <v>45763</v>
      </c>
      <c r="BI696" s="236" t="s">
        <v>583</v>
      </c>
      <c r="BJ696" s="238" t="s">
        <v>2717</v>
      </c>
      <c r="BK696" s="237" t="s">
        <v>1394</v>
      </c>
    </row>
    <row r="697" spans="56:63" ht="16.5" customHeight="1" x14ac:dyDescent="0.3">
      <c r="BD697" s="231" t="s">
        <v>2418</v>
      </c>
      <c r="BE697" s="232" t="s">
        <v>2718</v>
      </c>
      <c r="BF697" s="233">
        <v>1950</v>
      </c>
      <c r="BG697" s="234">
        <v>23400</v>
      </c>
      <c r="BH697" s="235">
        <v>45763</v>
      </c>
      <c r="BI697" s="236" t="s">
        <v>583</v>
      </c>
      <c r="BJ697" s="238" t="s">
        <v>2614</v>
      </c>
      <c r="BK697" s="237" t="s">
        <v>1394</v>
      </c>
    </row>
    <row r="698" spans="56:63" ht="16.5" customHeight="1" x14ac:dyDescent="0.3">
      <c r="BD698" s="231" t="s">
        <v>873</v>
      </c>
      <c r="BE698" s="232" t="s">
        <v>2719</v>
      </c>
      <c r="BF698" s="233">
        <v>1917</v>
      </c>
      <c r="BG698" s="234">
        <v>23004</v>
      </c>
      <c r="BH698" s="235">
        <v>45764</v>
      </c>
      <c r="BI698" s="236" t="s">
        <v>583</v>
      </c>
      <c r="BJ698" s="238" t="s">
        <v>2378</v>
      </c>
      <c r="BK698" s="237" t="s">
        <v>1371</v>
      </c>
    </row>
    <row r="699" spans="56:63" ht="16.5" customHeight="1" x14ac:dyDescent="0.3">
      <c r="BD699" s="231" t="s">
        <v>1073</v>
      </c>
      <c r="BE699" s="232" t="s">
        <v>2720</v>
      </c>
      <c r="BF699" s="233">
        <v>1980</v>
      </c>
      <c r="BG699" s="234">
        <v>23760</v>
      </c>
      <c r="BH699" s="235">
        <v>45764</v>
      </c>
      <c r="BI699" s="236" t="s">
        <v>583</v>
      </c>
      <c r="BJ699" s="238" t="s">
        <v>2370</v>
      </c>
      <c r="BK699" s="237" t="s">
        <v>1371</v>
      </c>
    </row>
    <row r="700" spans="56:63" ht="16.5" customHeight="1" x14ac:dyDescent="0.3">
      <c r="BD700" s="232" t="s">
        <v>374</v>
      </c>
      <c r="BE700" s="134" t="s">
        <v>2721</v>
      </c>
      <c r="BF700" s="233">
        <v>1980</v>
      </c>
      <c r="BG700" s="234">
        <v>23760</v>
      </c>
      <c r="BH700" s="235">
        <v>45765</v>
      </c>
      <c r="BI700" s="236" t="s">
        <v>583</v>
      </c>
      <c r="BJ700" s="238" t="s">
        <v>2359</v>
      </c>
      <c r="BK700" s="237" t="s">
        <v>1371</v>
      </c>
    </row>
    <row r="701" spans="56:63" ht="16.5" customHeight="1" x14ac:dyDescent="0.3">
      <c r="BD701" s="231" t="s">
        <v>873</v>
      </c>
      <c r="BE701" s="232" t="s">
        <v>2722</v>
      </c>
      <c r="BF701" s="233">
        <v>1917</v>
      </c>
      <c r="BG701" s="234">
        <v>23004</v>
      </c>
      <c r="BH701" s="235">
        <v>45765</v>
      </c>
      <c r="BI701" s="236" t="s">
        <v>583</v>
      </c>
      <c r="BJ701" s="238" t="s">
        <v>2378</v>
      </c>
      <c r="BK701" s="237" t="s">
        <v>1371</v>
      </c>
    </row>
    <row r="702" spans="56:63" ht="16.5" customHeight="1" x14ac:dyDescent="0.3">
      <c r="BD702" s="231" t="s">
        <v>873</v>
      </c>
      <c r="BE702" s="232" t="s">
        <v>2723</v>
      </c>
      <c r="BF702" s="233">
        <v>1917</v>
      </c>
      <c r="BG702" s="234">
        <v>23004</v>
      </c>
      <c r="BH702" s="235">
        <v>45765</v>
      </c>
      <c r="BI702" s="236" t="s">
        <v>583</v>
      </c>
      <c r="BJ702" s="238" t="s">
        <v>2378</v>
      </c>
      <c r="BK702" s="237" t="s">
        <v>1371</v>
      </c>
    </row>
    <row r="703" spans="56:63" ht="16.5" customHeight="1" x14ac:dyDescent="0.3">
      <c r="BD703" s="231" t="s">
        <v>873</v>
      </c>
      <c r="BE703" s="232" t="s">
        <v>2724</v>
      </c>
      <c r="BF703" s="233">
        <v>1960</v>
      </c>
      <c r="BG703" s="234">
        <v>23520</v>
      </c>
      <c r="BH703" s="235">
        <v>45768</v>
      </c>
      <c r="BI703" s="236" t="s">
        <v>583</v>
      </c>
      <c r="BJ703" s="238" t="s">
        <v>2378</v>
      </c>
      <c r="BK703" s="237" t="s">
        <v>1371</v>
      </c>
    </row>
    <row r="704" spans="56:63" ht="16.5" customHeight="1" x14ac:dyDescent="0.3">
      <c r="BD704" s="231" t="s">
        <v>2418</v>
      </c>
      <c r="BE704" s="232" t="s">
        <v>2725</v>
      </c>
      <c r="BF704" s="233">
        <v>1950</v>
      </c>
      <c r="BG704" s="234">
        <v>23400</v>
      </c>
      <c r="BH704" s="235">
        <v>45768</v>
      </c>
      <c r="BI704" s="236" t="s">
        <v>583</v>
      </c>
      <c r="BJ704" s="238" t="s">
        <v>2726</v>
      </c>
      <c r="BK704" s="237" t="s">
        <v>1691</v>
      </c>
    </row>
    <row r="705" spans="56:63" ht="16.5" customHeight="1" x14ac:dyDescent="0.3">
      <c r="BD705" s="231" t="s">
        <v>873</v>
      </c>
      <c r="BE705" s="232" t="s">
        <v>2727</v>
      </c>
      <c r="BF705" s="233">
        <v>1917</v>
      </c>
      <c r="BG705" s="234">
        <v>23004</v>
      </c>
      <c r="BH705" s="235">
        <v>45769</v>
      </c>
      <c r="BI705" s="236" t="s">
        <v>583</v>
      </c>
      <c r="BJ705" s="238" t="s">
        <v>2378</v>
      </c>
      <c r="BK705" s="237" t="s">
        <v>1371</v>
      </c>
    </row>
    <row r="706" spans="56:63" ht="16.5" customHeight="1" x14ac:dyDescent="0.3">
      <c r="BD706" s="231" t="s">
        <v>374</v>
      </c>
      <c r="BE706" s="232" t="s">
        <v>2728</v>
      </c>
      <c r="BF706" s="233">
        <v>1980</v>
      </c>
      <c r="BG706" s="234">
        <v>23760</v>
      </c>
      <c r="BH706" s="235">
        <v>45769</v>
      </c>
      <c r="BI706" s="236" t="s">
        <v>583</v>
      </c>
      <c r="BJ706" s="238" t="s">
        <v>2359</v>
      </c>
      <c r="BK706" s="237" t="s">
        <v>1371</v>
      </c>
    </row>
    <row r="707" spans="56:63" ht="16.5" customHeight="1" x14ac:dyDescent="0.3">
      <c r="BD707" s="231" t="s">
        <v>920</v>
      </c>
      <c r="BE707" s="232" t="s">
        <v>2729</v>
      </c>
      <c r="BF707" s="233">
        <v>1960</v>
      </c>
      <c r="BG707" s="234">
        <v>23520</v>
      </c>
      <c r="BH707" s="235">
        <v>45769</v>
      </c>
      <c r="BI707" s="236" t="s">
        <v>583</v>
      </c>
      <c r="BJ707" s="238" t="s">
        <v>2378</v>
      </c>
      <c r="BK707" s="237" t="s">
        <v>1371</v>
      </c>
    </row>
    <row r="708" spans="56:63" ht="16.5" customHeight="1" x14ac:dyDescent="0.3">
      <c r="BD708" s="231" t="s">
        <v>2418</v>
      </c>
      <c r="BE708" s="232" t="s">
        <v>2730</v>
      </c>
      <c r="BF708" s="233">
        <v>1950</v>
      </c>
      <c r="BG708" s="234">
        <v>23400</v>
      </c>
      <c r="BH708" s="235">
        <v>45770</v>
      </c>
      <c r="BI708" s="236" t="s">
        <v>583</v>
      </c>
      <c r="BJ708" s="238" t="s">
        <v>2614</v>
      </c>
      <c r="BK708" s="237" t="s">
        <v>1394</v>
      </c>
    </row>
    <row r="709" spans="56:63" ht="16.5" customHeight="1" x14ac:dyDescent="0.3">
      <c r="BD709" s="231" t="s">
        <v>2418</v>
      </c>
      <c r="BE709" s="134" t="s">
        <v>2731</v>
      </c>
      <c r="BF709" s="233">
        <v>1950</v>
      </c>
      <c r="BG709" s="234">
        <v>23400</v>
      </c>
      <c r="BH709" s="235">
        <v>45770</v>
      </c>
      <c r="BI709" s="236" t="s">
        <v>583</v>
      </c>
      <c r="BJ709" s="238" t="s">
        <v>2686</v>
      </c>
      <c r="BK709" s="237" t="s">
        <v>1394</v>
      </c>
    </row>
    <row r="710" spans="56:63" ht="16.5" customHeight="1" x14ac:dyDescent="0.3">
      <c r="BD710" s="231" t="s">
        <v>558</v>
      </c>
      <c r="BE710" s="232" t="s">
        <v>2732</v>
      </c>
      <c r="BF710" s="233">
        <v>1958</v>
      </c>
      <c r="BG710" s="234">
        <v>23496</v>
      </c>
      <c r="BH710" s="235">
        <v>45771</v>
      </c>
      <c r="BI710" s="236" t="s">
        <v>583</v>
      </c>
      <c r="BJ710" s="238" t="s">
        <v>2320</v>
      </c>
      <c r="BK710" s="237" t="s">
        <v>1371</v>
      </c>
    </row>
    <row r="711" spans="56:63" ht="16.5" customHeight="1" x14ac:dyDescent="0.3">
      <c r="BD711" s="231" t="s">
        <v>704</v>
      </c>
      <c r="BE711" s="232" t="s">
        <v>2733</v>
      </c>
      <c r="BF711" s="233">
        <v>1568</v>
      </c>
      <c r="BG711" s="234">
        <v>23520</v>
      </c>
      <c r="BH711" s="235">
        <v>45771</v>
      </c>
      <c r="BI711" s="236" t="s">
        <v>583</v>
      </c>
      <c r="BJ711" s="238" t="s">
        <v>2328</v>
      </c>
      <c r="BK711" s="237" t="s">
        <v>1371</v>
      </c>
    </row>
    <row r="712" spans="56:63" ht="16.5" customHeight="1" x14ac:dyDescent="0.3">
      <c r="BD712" s="231" t="s">
        <v>1008</v>
      </c>
      <c r="BE712" s="232" t="s">
        <v>2734</v>
      </c>
      <c r="BF712" s="233">
        <v>1916</v>
      </c>
      <c r="BG712" s="234">
        <v>22992</v>
      </c>
      <c r="BH712" s="235">
        <v>45771</v>
      </c>
      <c r="BI712" s="236" t="s">
        <v>583</v>
      </c>
      <c r="BJ712" s="238" t="s">
        <v>2307</v>
      </c>
      <c r="BK712" s="237" t="s">
        <v>1371</v>
      </c>
    </row>
    <row r="713" spans="56:63" ht="16.5" customHeight="1" x14ac:dyDescent="0.3">
      <c r="BD713" s="232" t="s">
        <v>1073</v>
      </c>
      <c r="BE713" s="134" t="s">
        <v>2735</v>
      </c>
      <c r="BF713" s="233">
        <v>1980</v>
      </c>
      <c r="BG713" s="234">
        <v>23760</v>
      </c>
      <c r="BH713" s="235">
        <v>45771</v>
      </c>
      <c r="BI713" s="236" t="s">
        <v>583</v>
      </c>
      <c r="BJ713" s="238" t="s">
        <v>2370</v>
      </c>
      <c r="BK713" s="237" t="s">
        <v>1371</v>
      </c>
    </row>
    <row r="714" spans="56:63" ht="16.5" customHeight="1" x14ac:dyDescent="0.3">
      <c r="BD714" s="231" t="s">
        <v>374</v>
      </c>
      <c r="BE714" s="232" t="s">
        <v>2736</v>
      </c>
      <c r="BF714" s="233">
        <v>1960</v>
      </c>
      <c r="BG714" s="234">
        <v>23520</v>
      </c>
      <c r="BH714" s="235">
        <v>45772</v>
      </c>
      <c r="BI714" s="236" t="s">
        <v>583</v>
      </c>
      <c r="BJ714" s="238" t="s">
        <v>2378</v>
      </c>
      <c r="BK714" s="237" t="s">
        <v>1371</v>
      </c>
    </row>
    <row r="715" spans="56:63" ht="16.5" customHeight="1" x14ac:dyDescent="0.3">
      <c r="BD715" s="231" t="s">
        <v>1073</v>
      </c>
      <c r="BE715" s="232" t="s">
        <v>2737</v>
      </c>
      <c r="BF715" s="233">
        <v>1980</v>
      </c>
      <c r="BG715" s="234">
        <v>23760</v>
      </c>
      <c r="BH715" s="235">
        <v>45775</v>
      </c>
      <c r="BI715" s="236" t="s">
        <v>583</v>
      </c>
      <c r="BJ715" s="238" t="s">
        <v>2359</v>
      </c>
      <c r="BK715" s="237" t="s">
        <v>1371</v>
      </c>
    </row>
    <row r="716" spans="56:63" ht="16.5" customHeight="1" x14ac:dyDescent="0.3">
      <c r="BD716" s="231" t="s">
        <v>873</v>
      </c>
      <c r="BE716" s="232" t="s">
        <v>2738</v>
      </c>
      <c r="BF716" s="233">
        <v>1960</v>
      </c>
      <c r="BG716" s="234">
        <v>23520</v>
      </c>
      <c r="BH716" s="235">
        <v>45776</v>
      </c>
      <c r="BI716" s="236" t="s">
        <v>583</v>
      </c>
      <c r="BJ716" s="238" t="s">
        <v>2378</v>
      </c>
      <c r="BK716" s="237" t="s">
        <v>1371</v>
      </c>
    </row>
    <row r="717" spans="56:63" ht="16.5" customHeight="1" x14ac:dyDescent="0.3">
      <c r="BD717" s="231" t="s">
        <v>873</v>
      </c>
      <c r="BE717" s="232" t="s">
        <v>2739</v>
      </c>
      <c r="BF717" s="233">
        <v>1917</v>
      </c>
      <c r="BG717" s="234">
        <v>23004</v>
      </c>
      <c r="BH717" s="235">
        <v>45776</v>
      </c>
      <c r="BI717" s="236" t="s">
        <v>583</v>
      </c>
      <c r="BJ717" s="238" t="s">
        <v>2378</v>
      </c>
      <c r="BK717" s="237" t="s">
        <v>1371</v>
      </c>
    </row>
    <row r="718" spans="56:63" ht="16.5" customHeight="1" x14ac:dyDescent="0.3">
      <c r="BD718" s="231" t="s">
        <v>873</v>
      </c>
      <c r="BE718" s="232" t="s">
        <v>2740</v>
      </c>
      <c r="BF718" s="233">
        <v>1960</v>
      </c>
      <c r="BG718" s="234">
        <v>23520</v>
      </c>
      <c r="BH718" s="235">
        <v>45776</v>
      </c>
      <c r="BI718" s="236" t="s">
        <v>583</v>
      </c>
      <c r="BJ718" s="238" t="s">
        <v>2378</v>
      </c>
      <c r="BK718" s="237" t="s">
        <v>1371</v>
      </c>
    </row>
    <row r="719" spans="56:63" ht="16.5" customHeight="1" x14ac:dyDescent="0.3">
      <c r="BD719" s="231" t="s">
        <v>873</v>
      </c>
      <c r="BE719" s="232" t="s">
        <v>2741</v>
      </c>
      <c r="BF719" s="233">
        <v>1917</v>
      </c>
      <c r="BG719" s="234">
        <v>23004</v>
      </c>
      <c r="BH719" s="235">
        <v>45779</v>
      </c>
      <c r="BI719" s="236" t="s">
        <v>583</v>
      </c>
      <c r="BJ719" s="238" t="s">
        <v>2378</v>
      </c>
      <c r="BK719" s="237" t="s">
        <v>1371</v>
      </c>
    </row>
    <row r="720" spans="56:63" ht="16.5" customHeight="1" x14ac:dyDescent="0.3">
      <c r="BD720" s="231" t="s">
        <v>2681</v>
      </c>
      <c r="BE720" s="232" t="s">
        <v>2742</v>
      </c>
      <c r="BF720" s="233">
        <v>1804</v>
      </c>
      <c r="BG720" s="234">
        <v>18040</v>
      </c>
      <c r="BH720" s="235">
        <v>45779</v>
      </c>
      <c r="BI720" s="236" t="s">
        <v>583</v>
      </c>
      <c r="BJ720" s="238" t="s">
        <v>2683</v>
      </c>
      <c r="BK720" s="237" t="s">
        <v>1691</v>
      </c>
    </row>
    <row r="721" spans="56:63" ht="16.5" customHeight="1" x14ac:dyDescent="0.3">
      <c r="BD721" s="231" t="s">
        <v>374</v>
      </c>
      <c r="BE721" s="232" t="s">
        <v>2743</v>
      </c>
      <c r="BF721" s="233">
        <v>1980</v>
      </c>
      <c r="BG721" s="234">
        <v>23760</v>
      </c>
      <c r="BH721" s="235">
        <v>45785</v>
      </c>
      <c r="BI721" s="236" t="s">
        <v>583</v>
      </c>
      <c r="BJ721" s="238" t="s">
        <v>2359</v>
      </c>
      <c r="BK721" s="237" t="s">
        <v>1371</v>
      </c>
    </row>
    <row r="722" spans="56:63" ht="16.5" customHeight="1" x14ac:dyDescent="0.3">
      <c r="BD722" s="134" t="s">
        <v>2418</v>
      </c>
      <c r="BE722" s="232" t="s">
        <v>2744</v>
      </c>
      <c r="BF722" s="233">
        <v>1925</v>
      </c>
      <c r="BG722" s="234">
        <v>23100</v>
      </c>
      <c r="BH722" s="235">
        <v>45785</v>
      </c>
      <c r="BI722" s="236" t="s">
        <v>583</v>
      </c>
      <c r="BJ722" s="231" t="s">
        <v>2717</v>
      </c>
      <c r="BK722" s="237" t="s">
        <v>1394</v>
      </c>
    </row>
    <row r="723" spans="56:63" ht="16.5" customHeight="1" x14ac:dyDescent="0.3">
      <c r="BD723" s="231" t="s">
        <v>1073</v>
      </c>
      <c r="BE723" s="232" t="s">
        <v>2745</v>
      </c>
      <c r="BF723" s="233">
        <v>1980</v>
      </c>
      <c r="BG723" s="234">
        <v>23760</v>
      </c>
      <c r="BH723" s="235">
        <v>45785</v>
      </c>
      <c r="BI723" s="236" t="s">
        <v>583</v>
      </c>
      <c r="BJ723" s="238" t="s">
        <v>2370</v>
      </c>
      <c r="BK723" s="237" t="s">
        <v>1371</v>
      </c>
    </row>
    <row r="724" spans="56:63" ht="16.5" customHeight="1" x14ac:dyDescent="0.3">
      <c r="BD724" s="231" t="s">
        <v>2418</v>
      </c>
      <c r="BE724" s="232" t="s">
        <v>2746</v>
      </c>
      <c r="BF724" s="233">
        <v>1925</v>
      </c>
      <c r="BG724" s="234">
        <v>23100</v>
      </c>
      <c r="BH724" s="235">
        <v>45786</v>
      </c>
      <c r="BI724" s="236" t="s">
        <v>583</v>
      </c>
      <c r="BJ724" s="238" t="s">
        <v>2686</v>
      </c>
      <c r="BK724" s="237" t="s">
        <v>1394</v>
      </c>
    </row>
    <row r="725" spans="56:63" ht="16.5" customHeight="1" x14ac:dyDescent="0.3">
      <c r="BD725" s="232" t="s">
        <v>350</v>
      </c>
      <c r="BE725" s="134" t="s">
        <v>2747</v>
      </c>
      <c r="BF725" s="233">
        <v>1950</v>
      </c>
      <c r="BG725" s="234">
        <v>23400</v>
      </c>
      <c r="BH725" s="235">
        <v>45789</v>
      </c>
      <c r="BI725" s="236" t="s">
        <v>583</v>
      </c>
      <c r="BJ725" s="238" t="s">
        <v>2694</v>
      </c>
      <c r="BK725" s="237" t="s">
        <v>1394</v>
      </c>
    </row>
    <row r="726" spans="56:63" ht="16.5" customHeight="1" x14ac:dyDescent="0.3">
      <c r="BD726" s="231" t="s">
        <v>2418</v>
      </c>
      <c r="BE726" s="232" t="s">
        <v>2746</v>
      </c>
      <c r="BF726" s="233">
        <v>1925</v>
      </c>
      <c r="BG726" s="234">
        <v>23100</v>
      </c>
      <c r="BH726" s="235">
        <v>45786</v>
      </c>
      <c r="BI726" s="236" t="s">
        <v>583</v>
      </c>
      <c r="BJ726" s="238" t="s">
        <v>2686</v>
      </c>
      <c r="BK726" s="237" t="s">
        <v>1394</v>
      </c>
    </row>
    <row r="727" spans="56:63" ht="16.5" customHeight="1" x14ac:dyDescent="0.3">
      <c r="BD727" s="231" t="s">
        <v>920</v>
      </c>
      <c r="BE727" s="232" t="s">
        <v>2748</v>
      </c>
      <c r="BF727" s="233">
        <v>1500</v>
      </c>
      <c r="BG727" s="234">
        <v>22500</v>
      </c>
      <c r="BH727" s="235">
        <v>45789</v>
      </c>
      <c r="BI727" s="236" t="s">
        <v>583</v>
      </c>
      <c r="BJ727" s="238" t="s">
        <v>1125</v>
      </c>
      <c r="BK727" s="237" t="s">
        <v>1371</v>
      </c>
    </row>
    <row r="728" spans="56:63" ht="16.5" customHeight="1" x14ac:dyDescent="0.3">
      <c r="BD728" s="231" t="s">
        <v>920</v>
      </c>
      <c r="BE728" s="232" t="s">
        <v>2749</v>
      </c>
      <c r="BF728" s="233">
        <v>1500</v>
      </c>
      <c r="BG728" s="234">
        <v>22500</v>
      </c>
      <c r="BH728" s="235">
        <v>45789</v>
      </c>
      <c r="BI728" s="236" t="s">
        <v>583</v>
      </c>
      <c r="BJ728" s="238" t="s">
        <v>2646</v>
      </c>
      <c r="BK728" s="237" t="s">
        <v>1371</v>
      </c>
    </row>
    <row r="729" spans="56:63" ht="16.5" customHeight="1" x14ac:dyDescent="0.3">
      <c r="BD729" s="231" t="s">
        <v>873</v>
      </c>
      <c r="BE729" s="232" t="s">
        <v>2750</v>
      </c>
      <c r="BF729" s="233">
        <v>1958</v>
      </c>
      <c r="BG729" s="234">
        <v>23496</v>
      </c>
      <c r="BH729" s="235">
        <v>45789</v>
      </c>
      <c r="BI729" s="236" t="s">
        <v>583</v>
      </c>
      <c r="BJ729" s="238" t="s">
        <v>2361</v>
      </c>
      <c r="BK729" s="237" t="s">
        <v>1371</v>
      </c>
    </row>
    <row r="730" spans="56:63" ht="16.5" customHeight="1" x14ac:dyDescent="0.3">
      <c r="BD730" s="231" t="s">
        <v>873</v>
      </c>
      <c r="BE730" s="232" t="s">
        <v>2751</v>
      </c>
      <c r="BF730" s="233">
        <v>1820</v>
      </c>
      <c r="BG730" s="234">
        <v>21840</v>
      </c>
      <c r="BH730" s="235">
        <v>45789</v>
      </c>
      <c r="BI730" s="236" t="s">
        <v>583</v>
      </c>
      <c r="BJ730" s="238" t="s">
        <v>2320</v>
      </c>
      <c r="BK730" s="237" t="s">
        <v>1371</v>
      </c>
    </row>
    <row r="731" spans="56:63" ht="16.5" customHeight="1" x14ac:dyDescent="0.3">
      <c r="BD731" s="231" t="s">
        <v>468</v>
      </c>
      <c r="BE731" s="232" t="s">
        <v>2752</v>
      </c>
      <c r="BF731" s="233">
        <v>1568</v>
      </c>
      <c r="BG731" s="234">
        <v>23520</v>
      </c>
      <c r="BH731" s="235">
        <v>45789</v>
      </c>
      <c r="BI731" s="236" t="s">
        <v>583</v>
      </c>
      <c r="BJ731" s="238" t="s">
        <v>2328</v>
      </c>
      <c r="BK731" s="237" t="s">
        <v>1371</v>
      </c>
    </row>
    <row r="732" spans="56:63" ht="16.5" customHeight="1" x14ac:dyDescent="0.3">
      <c r="BD732" s="231" t="s">
        <v>558</v>
      </c>
      <c r="BE732" s="232" t="s">
        <v>2753</v>
      </c>
      <c r="BF732" s="233">
        <v>1958</v>
      </c>
      <c r="BG732" s="234">
        <v>23496</v>
      </c>
      <c r="BH732" s="235">
        <v>45789</v>
      </c>
      <c r="BI732" s="236" t="s">
        <v>583</v>
      </c>
      <c r="BJ732" s="238" t="s">
        <v>2320</v>
      </c>
      <c r="BK732" s="237" t="s">
        <v>1371</v>
      </c>
    </row>
    <row r="733" spans="56:63" ht="16.5" customHeight="1" x14ac:dyDescent="0.3">
      <c r="BD733" s="231" t="s">
        <v>558</v>
      </c>
      <c r="BE733" s="232" t="s">
        <v>2754</v>
      </c>
      <c r="BF733" s="233">
        <v>1958</v>
      </c>
      <c r="BG733" s="234">
        <v>23496</v>
      </c>
      <c r="BH733" s="235">
        <v>45789</v>
      </c>
      <c r="BI733" s="236" t="s">
        <v>583</v>
      </c>
      <c r="BJ733" s="238" t="s">
        <v>2320</v>
      </c>
      <c r="BK733" s="237" t="s">
        <v>1371</v>
      </c>
    </row>
    <row r="734" spans="56:63" ht="16.5" customHeight="1" x14ac:dyDescent="0.3">
      <c r="BD734" s="231" t="s">
        <v>2418</v>
      </c>
      <c r="BE734" s="232" t="s">
        <v>2755</v>
      </c>
      <c r="BF734" s="233">
        <v>1925</v>
      </c>
      <c r="BG734" s="234">
        <v>23100</v>
      </c>
      <c r="BH734" s="235">
        <v>45789</v>
      </c>
      <c r="BI734" s="236" t="s">
        <v>583</v>
      </c>
      <c r="BJ734" s="238" t="s">
        <v>2474</v>
      </c>
      <c r="BK734" s="237" t="s">
        <v>1394</v>
      </c>
    </row>
    <row r="735" spans="56:63" ht="16.5" customHeight="1" x14ac:dyDescent="0.3">
      <c r="BD735" s="232" t="s">
        <v>873</v>
      </c>
      <c r="BE735" s="134" t="s">
        <v>2756</v>
      </c>
      <c r="BF735" s="233">
        <v>1917</v>
      </c>
      <c r="BG735" s="234">
        <v>23004</v>
      </c>
      <c r="BH735" s="235">
        <v>45790</v>
      </c>
      <c r="BI735" s="236" t="s">
        <v>583</v>
      </c>
      <c r="BJ735" s="238" t="s">
        <v>2378</v>
      </c>
      <c r="BK735" s="237" t="s">
        <v>1371</v>
      </c>
    </row>
    <row r="736" spans="56:63" ht="16.5" customHeight="1" x14ac:dyDescent="0.3">
      <c r="BD736" s="231" t="s">
        <v>873</v>
      </c>
      <c r="BE736" s="232" t="s">
        <v>2757</v>
      </c>
      <c r="BF736" s="233">
        <v>1960</v>
      </c>
      <c r="BG736" s="234">
        <v>23520</v>
      </c>
      <c r="BH736" s="235">
        <v>45790</v>
      </c>
      <c r="BI736" s="236" t="s">
        <v>583</v>
      </c>
      <c r="BJ736" s="238" t="s">
        <v>2378</v>
      </c>
      <c r="BK736" s="237" t="s">
        <v>1371</v>
      </c>
    </row>
    <row r="737" spans="56:63" ht="16.5" customHeight="1" x14ac:dyDescent="0.3">
      <c r="BD737" s="231" t="s">
        <v>873</v>
      </c>
      <c r="BE737" s="232" t="s">
        <v>2758</v>
      </c>
      <c r="BF737" s="233">
        <v>1958</v>
      </c>
      <c r="BG737" s="234">
        <v>23496</v>
      </c>
      <c r="BH737" s="235">
        <v>45790</v>
      </c>
      <c r="BI737" s="236" t="s">
        <v>583</v>
      </c>
      <c r="BJ737" s="238" t="s">
        <v>2320</v>
      </c>
      <c r="BK737" s="237" t="s">
        <v>1371</v>
      </c>
    </row>
    <row r="738" spans="56:63" ht="16.5" customHeight="1" x14ac:dyDescent="0.3">
      <c r="BD738" s="231" t="s">
        <v>873</v>
      </c>
      <c r="BE738" s="232" t="s">
        <v>2759</v>
      </c>
      <c r="BF738" s="233">
        <v>1942</v>
      </c>
      <c r="BG738" s="234">
        <v>23304</v>
      </c>
      <c r="BH738" s="235">
        <v>45790</v>
      </c>
      <c r="BI738" s="236" t="s">
        <v>583</v>
      </c>
      <c r="BJ738" s="238" t="s">
        <v>2320</v>
      </c>
      <c r="BK738" s="237" t="s">
        <v>1371</v>
      </c>
    </row>
    <row r="739" spans="56:63" ht="16.5" customHeight="1" x14ac:dyDescent="0.3">
      <c r="BD739" s="231" t="s">
        <v>468</v>
      </c>
      <c r="BE739" s="232" t="s">
        <v>2760</v>
      </c>
      <c r="BF739" s="233">
        <v>1958</v>
      </c>
      <c r="BG739" s="234">
        <v>23496</v>
      </c>
      <c r="BH739" s="235">
        <v>45790</v>
      </c>
      <c r="BI739" s="236" t="s">
        <v>583</v>
      </c>
      <c r="BJ739" s="238" t="s">
        <v>2320</v>
      </c>
      <c r="BK739" s="237" t="s">
        <v>1371</v>
      </c>
    </row>
    <row r="740" spans="56:63" ht="16.5" customHeight="1" x14ac:dyDescent="0.3">
      <c r="BD740" s="231" t="s">
        <v>968</v>
      </c>
      <c r="BE740" s="232" t="s">
        <v>2761</v>
      </c>
      <c r="BF740" s="233">
        <v>1950</v>
      </c>
      <c r="BG740" s="234">
        <v>23400</v>
      </c>
      <c r="BH740" s="235">
        <v>45790</v>
      </c>
      <c r="BI740" s="236" t="s">
        <v>583</v>
      </c>
      <c r="BJ740" s="238" t="s">
        <v>2320</v>
      </c>
      <c r="BK740" s="237" t="s">
        <v>1371</v>
      </c>
    </row>
    <row r="741" spans="56:63" ht="16.5" customHeight="1" x14ac:dyDescent="0.3">
      <c r="BD741" s="231" t="s">
        <v>989</v>
      </c>
      <c r="BE741" s="232" t="s">
        <v>2762</v>
      </c>
      <c r="BF741" s="233">
        <v>1958</v>
      </c>
      <c r="BG741" s="234">
        <v>23496</v>
      </c>
      <c r="BH741" s="235">
        <v>45790</v>
      </c>
      <c r="BI741" s="236" t="s">
        <v>583</v>
      </c>
      <c r="BJ741" s="238" t="s">
        <v>2763</v>
      </c>
      <c r="BK741" s="237" t="s">
        <v>1371</v>
      </c>
    </row>
    <row r="742" spans="56:63" ht="16.5" customHeight="1" x14ac:dyDescent="0.3">
      <c r="BD742" s="231" t="s">
        <v>1008</v>
      </c>
      <c r="BE742" s="232" t="s">
        <v>2764</v>
      </c>
      <c r="BF742" s="233">
        <v>1916</v>
      </c>
      <c r="BG742" s="234">
        <v>22992</v>
      </c>
      <c r="BH742" s="235">
        <v>45790</v>
      </c>
      <c r="BI742" s="236" t="s">
        <v>583</v>
      </c>
      <c r="BJ742" s="238" t="s">
        <v>2307</v>
      </c>
      <c r="BK742" s="237" t="s">
        <v>1371</v>
      </c>
    </row>
    <row r="743" spans="56:63" ht="16.5" customHeight="1" x14ac:dyDescent="0.3">
      <c r="BD743" s="134" t="s">
        <v>2418</v>
      </c>
      <c r="BE743" s="232" t="s">
        <v>2765</v>
      </c>
      <c r="BF743" s="233">
        <v>1950</v>
      </c>
      <c r="BG743" s="234">
        <v>23400</v>
      </c>
      <c r="BH743" s="235">
        <v>45792</v>
      </c>
      <c r="BI743" s="236" t="s">
        <v>583</v>
      </c>
      <c r="BJ743" s="238" t="s">
        <v>2639</v>
      </c>
      <c r="BK743" s="237" t="s">
        <v>1394</v>
      </c>
    </row>
    <row r="744" spans="56:63" ht="16.5" customHeight="1" x14ac:dyDescent="0.3">
      <c r="BD744" s="231" t="s">
        <v>374</v>
      </c>
      <c r="BE744" s="232" t="s">
        <v>2766</v>
      </c>
      <c r="BF744" s="233">
        <v>1917</v>
      </c>
      <c r="BG744" s="234">
        <v>23004</v>
      </c>
      <c r="BH744" s="235">
        <v>45792</v>
      </c>
      <c r="BI744" s="236" t="s">
        <v>583</v>
      </c>
      <c r="BJ744" s="238" t="s">
        <v>2767</v>
      </c>
      <c r="BK744" s="237" t="s">
        <v>1394</v>
      </c>
    </row>
    <row r="745" spans="56:63" ht="16.5" customHeight="1" x14ac:dyDescent="0.3">
      <c r="BD745" s="231" t="s">
        <v>1073</v>
      </c>
      <c r="BE745" s="232" t="s">
        <v>2768</v>
      </c>
      <c r="BF745" s="233">
        <v>1980</v>
      </c>
      <c r="BG745" s="234">
        <v>23760</v>
      </c>
      <c r="BH745" s="235">
        <v>45792</v>
      </c>
      <c r="BI745" s="236" t="s">
        <v>583</v>
      </c>
      <c r="BJ745" s="238" t="s">
        <v>2370</v>
      </c>
      <c r="BK745" s="237" t="s">
        <v>1371</v>
      </c>
    </row>
    <row r="746" spans="56:63" ht="16.5" customHeight="1" x14ac:dyDescent="0.3">
      <c r="BD746" s="231" t="s">
        <v>873</v>
      </c>
      <c r="BE746" s="232" t="s">
        <v>2769</v>
      </c>
      <c r="BF746" s="233">
        <v>1960</v>
      </c>
      <c r="BG746" s="234">
        <v>23520</v>
      </c>
      <c r="BH746" s="235">
        <v>45793</v>
      </c>
      <c r="BI746" s="236" t="s">
        <v>583</v>
      </c>
      <c r="BJ746" s="238" t="s">
        <v>2378</v>
      </c>
      <c r="BK746" s="237" t="s">
        <v>1371</v>
      </c>
    </row>
    <row r="747" spans="56:63" ht="16.5" customHeight="1" x14ac:dyDescent="0.3">
      <c r="BD747" s="231" t="s">
        <v>873</v>
      </c>
      <c r="BE747" s="232" t="s">
        <v>2770</v>
      </c>
      <c r="BF747" s="233">
        <v>1960</v>
      </c>
      <c r="BG747" s="234">
        <v>23520</v>
      </c>
      <c r="BH747" s="235">
        <v>45793</v>
      </c>
      <c r="BI747" s="236" t="s">
        <v>583</v>
      </c>
      <c r="BJ747" s="238" t="s">
        <v>2378</v>
      </c>
      <c r="BK747" s="237" t="s">
        <v>1371</v>
      </c>
    </row>
    <row r="748" spans="56:63" ht="16.5" customHeight="1" x14ac:dyDescent="0.3">
      <c r="BD748" s="231" t="s">
        <v>873</v>
      </c>
      <c r="BE748" s="232" t="s">
        <v>2771</v>
      </c>
      <c r="BF748" s="233">
        <v>1955</v>
      </c>
      <c r="BG748" s="234">
        <v>23460</v>
      </c>
      <c r="BH748" s="235">
        <v>45793</v>
      </c>
      <c r="BI748" s="236" t="s">
        <v>583</v>
      </c>
      <c r="BJ748" s="238" t="s">
        <v>2320</v>
      </c>
      <c r="BK748" s="237" t="s">
        <v>1371</v>
      </c>
    </row>
    <row r="749" spans="56:63" ht="16.5" customHeight="1" x14ac:dyDescent="0.3">
      <c r="BD749" s="231" t="s">
        <v>2418</v>
      </c>
      <c r="BE749" s="232" t="s">
        <v>2772</v>
      </c>
      <c r="BF749" s="233">
        <v>1950</v>
      </c>
      <c r="BG749" s="234">
        <v>23400</v>
      </c>
      <c r="BH749" s="235">
        <v>45793</v>
      </c>
      <c r="BI749" s="236" t="s">
        <v>583</v>
      </c>
      <c r="BJ749" s="238" t="s">
        <v>2708</v>
      </c>
      <c r="BK749" s="237" t="s">
        <v>1691</v>
      </c>
    </row>
    <row r="750" spans="56:63" ht="16.5" customHeight="1" x14ac:dyDescent="0.3">
      <c r="BD750" s="231" t="s">
        <v>2418</v>
      </c>
      <c r="BE750" s="232" t="s">
        <v>2773</v>
      </c>
      <c r="BF750" s="233">
        <v>1950</v>
      </c>
      <c r="BG750" s="234">
        <v>23400</v>
      </c>
      <c r="BH750" s="235">
        <v>45793</v>
      </c>
      <c r="BI750" s="236" t="s">
        <v>583</v>
      </c>
      <c r="BJ750" s="231" t="s">
        <v>2614</v>
      </c>
      <c r="BK750" s="237" t="s">
        <v>1691</v>
      </c>
    </row>
    <row r="751" spans="56:63" ht="16.5" customHeight="1" x14ac:dyDescent="0.3">
      <c r="BD751" s="231" t="s">
        <v>2418</v>
      </c>
      <c r="BE751" s="232" t="s">
        <v>2774</v>
      </c>
      <c r="BF751" s="233">
        <v>1950</v>
      </c>
      <c r="BG751" s="234">
        <v>23400</v>
      </c>
      <c r="BH751" s="235">
        <v>45793</v>
      </c>
      <c r="BI751" s="236" t="s">
        <v>583</v>
      </c>
      <c r="BJ751" s="265" t="s">
        <v>2775</v>
      </c>
      <c r="BK751" s="237" t="s">
        <v>1691</v>
      </c>
    </row>
    <row r="752" spans="56:63" ht="16.5" customHeight="1" x14ac:dyDescent="0.3">
      <c r="BD752" s="231" t="s">
        <v>1008</v>
      </c>
      <c r="BE752" s="232" t="s">
        <v>2776</v>
      </c>
      <c r="BF752" s="233">
        <v>1916</v>
      </c>
      <c r="BG752" s="234">
        <v>22992</v>
      </c>
      <c r="BH752" s="235">
        <v>45793</v>
      </c>
      <c r="BI752" s="236" t="s">
        <v>583</v>
      </c>
      <c r="BJ752" s="238" t="s">
        <v>2307</v>
      </c>
      <c r="BK752" s="237" t="s">
        <v>1371</v>
      </c>
    </row>
    <row r="753" spans="56:63" ht="16.5" customHeight="1" x14ac:dyDescent="0.3">
      <c r="BD753" s="231" t="s">
        <v>704</v>
      </c>
      <c r="BE753" s="232" t="s">
        <v>2777</v>
      </c>
      <c r="BF753" s="233">
        <v>1958</v>
      </c>
      <c r="BG753" s="234">
        <v>23496</v>
      </c>
      <c r="BH753" s="235">
        <v>45793</v>
      </c>
      <c r="BI753" s="236" t="s">
        <v>583</v>
      </c>
      <c r="BJ753" s="238" t="s">
        <v>2320</v>
      </c>
      <c r="BK753" s="237" t="s">
        <v>1371</v>
      </c>
    </row>
    <row r="754" spans="56:63" ht="16.5" customHeight="1" x14ac:dyDescent="0.3">
      <c r="BD754" s="231" t="s">
        <v>873</v>
      </c>
      <c r="BE754" s="232" t="s">
        <v>2778</v>
      </c>
      <c r="BF754" s="233">
        <v>1917</v>
      </c>
      <c r="BG754" s="234">
        <v>23004</v>
      </c>
      <c r="BH754" s="235">
        <v>45797</v>
      </c>
      <c r="BI754" s="236" t="s">
        <v>583</v>
      </c>
      <c r="BJ754" s="238" t="s">
        <v>2378</v>
      </c>
      <c r="BK754" s="237" t="s">
        <v>1371</v>
      </c>
    </row>
    <row r="755" spans="56:63" ht="16.5" customHeight="1" x14ac:dyDescent="0.3">
      <c r="BD755" s="231" t="s">
        <v>873</v>
      </c>
      <c r="BE755" s="232" t="s">
        <v>2779</v>
      </c>
      <c r="BF755" s="233">
        <v>1917</v>
      </c>
      <c r="BG755" s="234">
        <v>23004</v>
      </c>
      <c r="BH755" s="235">
        <v>45797</v>
      </c>
      <c r="BI755" s="236" t="s">
        <v>583</v>
      </c>
      <c r="BJ755" s="238" t="s">
        <v>2378</v>
      </c>
      <c r="BK755" s="237" t="s">
        <v>1371</v>
      </c>
    </row>
    <row r="756" spans="56:63" ht="16.5" customHeight="1" x14ac:dyDescent="0.3">
      <c r="BD756" s="231" t="s">
        <v>873</v>
      </c>
      <c r="BE756" s="232" t="s">
        <v>2780</v>
      </c>
      <c r="BF756" s="233">
        <v>1960</v>
      </c>
      <c r="BG756" s="234">
        <v>23520</v>
      </c>
      <c r="BH756" s="235">
        <v>45797</v>
      </c>
      <c r="BI756" s="236" t="s">
        <v>583</v>
      </c>
      <c r="BJ756" s="238" t="s">
        <v>2378</v>
      </c>
      <c r="BK756" s="237" t="s">
        <v>1371</v>
      </c>
    </row>
    <row r="757" spans="56:63" ht="16.5" customHeight="1" x14ac:dyDescent="0.3">
      <c r="BD757" s="231" t="s">
        <v>873</v>
      </c>
      <c r="BE757" s="232" t="s">
        <v>2781</v>
      </c>
      <c r="BF757" s="233">
        <v>1917</v>
      </c>
      <c r="BG757" s="234">
        <v>23004</v>
      </c>
      <c r="BH757" s="235">
        <v>45797</v>
      </c>
      <c r="BI757" s="236" t="s">
        <v>583</v>
      </c>
      <c r="BJ757" s="238" t="s">
        <v>2378</v>
      </c>
      <c r="BK757" s="237" t="s">
        <v>1371</v>
      </c>
    </row>
    <row r="758" spans="56:63" ht="16.5" customHeight="1" x14ac:dyDescent="0.3">
      <c r="BD758" s="231" t="s">
        <v>920</v>
      </c>
      <c r="BE758" s="261" t="s">
        <v>2782</v>
      </c>
      <c r="BF758" s="233">
        <v>1960</v>
      </c>
      <c r="BG758" s="234">
        <v>23520</v>
      </c>
      <c r="BH758" s="235">
        <v>45797</v>
      </c>
      <c r="BI758" s="236" t="s">
        <v>583</v>
      </c>
      <c r="BJ758" s="238" t="s">
        <v>2378</v>
      </c>
      <c r="BK758" s="237" t="s">
        <v>1371</v>
      </c>
    </row>
    <row r="759" spans="56:63" ht="16.5" customHeight="1" x14ac:dyDescent="0.3">
      <c r="BD759" s="231" t="s">
        <v>1008</v>
      </c>
      <c r="BE759" s="232" t="s">
        <v>2783</v>
      </c>
      <c r="BF759" s="233">
        <v>1916</v>
      </c>
      <c r="BG759" s="234">
        <v>22992</v>
      </c>
      <c r="BH759" s="235">
        <v>45797</v>
      </c>
      <c r="BI759" s="236" t="s">
        <v>583</v>
      </c>
      <c r="BJ759" s="238" t="s">
        <v>2307</v>
      </c>
      <c r="BK759" s="237" t="s">
        <v>1371</v>
      </c>
    </row>
    <row r="760" spans="56:63" ht="16.5" customHeight="1" x14ac:dyDescent="0.3">
      <c r="BD760" s="231" t="s">
        <v>2418</v>
      </c>
      <c r="BE760" s="232" t="s">
        <v>2784</v>
      </c>
      <c r="BF760" s="233">
        <v>1925</v>
      </c>
      <c r="BG760" s="234">
        <v>23100</v>
      </c>
      <c r="BH760" s="235">
        <v>45797</v>
      </c>
      <c r="BI760" s="236" t="s">
        <v>583</v>
      </c>
      <c r="BJ760" s="238" t="s">
        <v>2686</v>
      </c>
      <c r="BK760" s="237" t="s">
        <v>1394</v>
      </c>
    </row>
    <row r="761" spans="56:63" ht="16.5" customHeight="1" x14ac:dyDescent="0.3">
      <c r="BD761" s="231" t="s">
        <v>989</v>
      </c>
      <c r="BE761" s="232" t="s">
        <v>2785</v>
      </c>
      <c r="BF761" s="233">
        <v>1958</v>
      </c>
      <c r="BG761" s="234">
        <v>23496</v>
      </c>
      <c r="BH761" s="235">
        <v>45797</v>
      </c>
      <c r="BI761" s="236" t="s">
        <v>583</v>
      </c>
      <c r="BJ761" s="238" t="s">
        <v>2763</v>
      </c>
      <c r="BK761" s="237" t="s">
        <v>1371</v>
      </c>
    </row>
    <row r="762" spans="56:63" ht="16.5" customHeight="1" x14ac:dyDescent="0.3">
      <c r="BD762" s="231" t="s">
        <v>989</v>
      </c>
      <c r="BE762" s="232" t="s">
        <v>2786</v>
      </c>
      <c r="BF762" s="233">
        <v>1954</v>
      </c>
      <c r="BG762" s="234">
        <v>23448</v>
      </c>
      <c r="BH762" s="235">
        <v>45797</v>
      </c>
      <c r="BI762" s="236" t="s">
        <v>583</v>
      </c>
      <c r="BJ762" s="238" t="s">
        <v>2763</v>
      </c>
      <c r="BK762" s="237" t="s">
        <v>1371</v>
      </c>
    </row>
    <row r="763" spans="56:63" ht="16.5" customHeight="1" x14ac:dyDescent="0.3">
      <c r="BD763" s="231" t="s">
        <v>350</v>
      </c>
      <c r="BE763" s="248" t="s">
        <v>2787</v>
      </c>
      <c r="BF763" s="233">
        <v>1950</v>
      </c>
      <c r="BG763" s="234">
        <v>23400</v>
      </c>
      <c r="BH763" s="235">
        <v>45798</v>
      </c>
      <c r="BI763" s="236" t="s">
        <v>583</v>
      </c>
      <c r="BJ763" s="238" t="s">
        <v>2686</v>
      </c>
      <c r="BK763" s="237" t="s">
        <v>1394</v>
      </c>
    </row>
    <row r="764" spans="56:63" ht="16.5" customHeight="1" x14ac:dyDescent="0.3">
      <c r="BD764" s="231" t="s">
        <v>920</v>
      </c>
      <c r="BE764" s="248" t="s">
        <v>2788</v>
      </c>
      <c r="BF764" s="233">
        <v>1568</v>
      </c>
      <c r="BG764" s="234">
        <v>23520</v>
      </c>
      <c r="BH764" s="235">
        <v>45798</v>
      </c>
      <c r="BI764" s="236" t="s">
        <v>583</v>
      </c>
      <c r="BJ764" s="238" t="s">
        <v>2318</v>
      </c>
      <c r="BK764" s="237" t="s">
        <v>1371</v>
      </c>
    </row>
    <row r="765" spans="56:63" ht="16.5" customHeight="1" x14ac:dyDescent="0.3">
      <c r="BD765" s="231" t="s">
        <v>2789</v>
      </c>
      <c r="BE765" s="248" t="s">
        <v>2790</v>
      </c>
      <c r="BF765" s="233">
        <v>1916</v>
      </c>
      <c r="BG765" s="234">
        <v>22992</v>
      </c>
      <c r="BH765" s="235">
        <v>45798</v>
      </c>
      <c r="BI765" s="236" t="s">
        <v>583</v>
      </c>
      <c r="BJ765" s="238" t="s">
        <v>2311</v>
      </c>
      <c r="BK765" s="237" t="s">
        <v>1371</v>
      </c>
    </row>
    <row r="766" spans="56:63" ht="16.5" customHeight="1" x14ac:dyDescent="0.3">
      <c r="BD766" s="231" t="s">
        <v>2789</v>
      </c>
      <c r="BE766" s="248" t="s">
        <v>2791</v>
      </c>
      <c r="BF766" s="233">
        <v>1916</v>
      </c>
      <c r="BG766" s="234">
        <v>22992</v>
      </c>
      <c r="BH766" s="235">
        <v>45798</v>
      </c>
      <c r="BI766" s="236" t="s">
        <v>583</v>
      </c>
      <c r="BJ766" s="238" t="s">
        <v>2311</v>
      </c>
      <c r="BK766" s="237" t="s">
        <v>1371</v>
      </c>
    </row>
    <row r="767" spans="56:63" ht="16.5" customHeight="1" x14ac:dyDescent="0.3">
      <c r="BD767" s="231" t="s">
        <v>2789</v>
      </c>
      <c r="BE767" s="248" t="s">
        <v>2792</v>
      </c>
      <c r="BF767" s="233">
        <v>1916</v>
      </c>
      <c r="BG767" s="234">
        <v>22992</v>
      </c>
      <c r="BH767" s="235">
        <v>45798</v>
      </c>
      <c r="BI767" s="236" t="s">
        <v>583</v>
      </c>
      <c r="BJ767" s="238" t="s">
        <v>2254</v>
      </c>
      <c r="BK767" s="237" t="s">
        <v>1371</v>
      </c>
    </row>
    <row r="768" spans="56:63" ht="16.5" customHeight="1" x14ac:dyDescent="0.3">
      <c r="BD768" s="231" t="s">
        <v>873</v>
      </c>
      <c r="BE768" s="239" t="s">
        <v>2793</v>
      </c>
      <c r="BF768" s="233">
        <v>1958</v>
      </c>
      <c r="BG768" s="234">
        <v>23496</v>
      </c>
      <c r="BH768" s="235">
        <v>45798</v>
      </c>
      <c r="BI768" s="236" t="s">
        <v>583</v>
      </c>
      <c r="BJ768" s="238" t="s">
        <v>2361</v>
      </c>
      <c r="BK768" s="237" t="s">
        <v>1371</v>
      </c>
    </row>
    <row r="769" spans="56:63" ht="16.5" customHeight="1" x14ac:dyDescent="0.3">
      <c r="BD769" s="231" t="s">
        <v>2351</v>
      </c>
      <c r="BE769" s="248" t="s">
        <v>2794</v>
      </c>
      <c r="BF769" s="233">
        <v>1566</v>
      </c>
      <c r="BG769" s="234">
        <v>23490</v>
      </c>
      <c r="BH769" s="235">
        <v>45798</v>
      </c>
      <c r="BI769" s="236" t="s">
        <v>583</v>
      </c>
      <c r="BJ769" s="238" t="s">
        <v>2795</v>
      </c>
      <c r="BK769" s="237" t="s">
        <v>1371</v>
      </c>
    </row>
    <row r="770" spans="56:63" ht="16.5" customHeight="1" x14ac:dyDescent="0.3">
      <c r="BD770" s="231" t="s">
        <v>1008</v>
      </c>
      <c r="BE770" s="248" t="s">
        <v>2796</v>
      </c>
      <c r="BF770" s="233">
        <v>1916</v>
      </c>
      <c r="BG770" s="234">
        <v>22992</v>
      </c>
      <c r="BH770" s="235">
        <v>45799</v>
      </c>
      <c r="BI770" s="236" t="s">
        <v>583</v>
      </c>
      <c r="BJ770" s="238" t="s">
        <v>2307</v>
      </c>
      <c r="BK770" s="237" t="s">
        <v>1371</v>
      </c>
    </row>
    <row r="771" spans="56:63" ht="16.5" customHeight="1" x14ac:dyDescent="0.3">
      <c r="BD771" s="231" t="s">
        <v>989</v>
      </c>
      <c r="BE771" s="232" t="s">
        <v>2797</v>
      </c>
      <c r="BF771" s="233">
        <v>1949</v>
      </c>
      <c r="BG771" s="234">
        <v>23388</v>
      </c>
      <c r="BH771" s="235">
        <v>45799</v>
      </c>
      <c r="BI771" s="236" t="s">
        <v>583</v>
      </c>
      <c r="BJ771" s="238" t="s">
        <v>2763</v>
      </c>
      <c r="BK771" s="237" t="s">
        <v>1371</v>
      </c>
    </row>
    <row r="772" spans="56:63" ht="16.5" customHeight="1" x14ac:dyDescent="0.3">
      <c r="BD772" s="231" t="s">
        <v>873</v>
      </c>
      <c r="BE772" s="232" t="s">
        <v>2798</v>
      </c>
      <c r="BF772" s="233">
        <v>1917</v>
      </c>
      <c r="BG772" s="234">
        <v>23004</v>
      </c>
      <c r="BH772" s="235">
        <v>45800</v>
      </c>
      <c r="BI772" s="236" t="s">
        <v>583</v>
      </c>
      <c r="BJ772" s="238" t="s">
        <v>2378</v>
      </c>
      <c r="BK772" s="237" t="s">
        <v>1371</v>
      </c>
    </row>
    <row r="773" spans="56:63" ht="16.5" customHeight="1" x14ac:dyDescent="0.3">
      <c r="BD773" s="231" t="s">
        <v>873</v>
      </c>
      <c r="BE773" s="232" t="s">
        <v>2799</v>
      </c>
      <c r="BF773" s="233">
        <v>1960</v>
      </c>
      <c r="BG773" s="234">
        <v>23520</v>
      </c>
      <c r="BH773" s="235">
        <v>45800</v>
      </c>
      <c r="BI773" s="236" t="s">
        <v>583</v>
      </c>
      <c r="BJ773" s="238" t="s">
        <v>2378</v>
      </c>
      <c r="BK773" s="237" t="s">
        <v>1371</v>
      </c>
    </row>
    <row r="774" spans="56:63" ht="16.5" customHeight="1" x14ac:dyDescent="0.3">
      <c r="BD774" s="231" t="s">
        <v>873</v>
      </c>
      <c r="BE774" s="232" t="s">
        <v>2800</v>
      </c>
      <c r="BF774" s="233">
        <v>1939</v>
      </c>
      <c r="BG774" s="234">
        <v>23268</v>
      </c>
      <c r="BH774" s="235">
        <v>45800</v>
      </c>
      <c r="BI774" s="236" t="s">
        <v>583</v>
      </c>
      <c r="BJ774" s="238" t="s">
        <v>2320</v>
      </c>
      <c r="BK774" s="237" t="s">
        <v>1371</v>
      </c>
    </row>
    <row r="775" spans="56:63" ht="16.5" customHeight="1" x14ac:dyDescent="0.3">
      <c r="BD775" s="231" t="s">
        <v>2351</v>
      </c>
      <c r="BE775" s="232" t="s">
        <v>2801</v>
      </c>
      <c r="BF775" s="233">
        <v>1566</v>
      </c>
      <c r="BG775" s="234">
        <v>23490</v>
      </c>
      <c r="BH775" s="235">
        <v>45800</v>
      </c>
      <c r="BI775" s="236" t="s">
        <v>583</v>
      </c>
      <c r="BJ775" s="238" t="s">
        <v>2795</v>
      </c>
      <c r="BK775" s="237" t="s">
        <v>1371</v>
      </c>
    </row>
    <row r="776" spans="56:63" ht="16.5" customHeight="1" x14ac:dyDescent="0.3">
      <c r="BD776" s="231" t="s">
        <v>1073</v>
      </c>
      <c r="BE776" s="232" t="s">
        <v>2802</v>
      </c>
      <c r="BF776" s="233">
        <v>1980</v>
      </c>
      <c r="BG776" s="234">
        <v>23760</v>
      </c>
      <c r="BH776" s="235">
        <v>45800</v>
      </c>
      <c r="BI776" s="236" t="s">
        <v>583</v>
      </c>
      <c r="BJ776" s="238" t="s">
        <v>2370</v>
      </c>
      <c r="BK776" s="237" t="s">
        <v>1371</v>
      </c>
    </row>
    <row r="777" spans="56:63" ht="16.5" customHeight="1" x14ac:dyDescent="0.3">
      <c r="BD777" s="231" t="s">
        <v>1073</v>
      </c>
      <c r="BE777" s="232" t="s">
        <v>2803</v>
      </c>
      <c r="BF777" s="233">
        <v>1980</v>
      </c>
      <c r="BG777" s="234">
        <v>23760</v>
      </c>
      <c r="BH777" s="235">
        <v>45800</v>
      </c>
      <c r="BI777" s="236" t="s">
        <v>583</v>
      </c>
      <c r="BJ777" s="238" t="s">
        <v>2359</v>
      </c>
      <c r="BK777" s="237" t="s">
        <v>1371</v>
      </c>
    </row>
    <row r="778" spans="56:63" ht="16.5" customHeight="1" x14ac:dyDescent="0.3">
      <c r="BD778" s="231" t="s">
        <v>1073</v>
      </c>
      <c r="BE778" s="232" t="s">
        <v>2804</v>
      </c>
      <c r="BF778" s="233">
        <v>1980</v>
      </c>
      <c r="BG778" s="234">
        <v>23760</v>
      </c>
      <c r="BH778" s="235">
        <v>45800</v>
      </c>
      <c r="BI778" s="236" t="s">
        <v>583</v>
      </c>
      <c r="BJ778" s="238" t="s">
        <v>2359</v>
      </c>
      <c r="BK778" s="237" t="s">
        <v>1371</v>
      </c>
    </row>
    <row r="779" spans="56:63" ht="16.5" customHeight="1" x14ac:dyDescent="0.3">
      <c r="BD779" s="231" t="s">
        <v>704</v>
      </c>
      <c r="BE779" s="232" t="s">
        <v>2805</v>
      </c>
      <c r="BF779" s="233">
        <v>1960</v>
      </c>
      <c r="BG779" s="234">
        <v>23520</v>
      </c>
      <c r="BH779" s="235">
        <v>45800</v>
      </c>
      <c r="BI779" s="236" t="s">
        <v>583</v>
      </c>
      <c r="BJ779" s="238" t="s">
        <v>2378</v>
      </c>
      <c r="BK779" s="237" t="s">
        <v>1371</v>
      </c>
    </row>
    <row r="780" spans="56:63" ht="16.5" customHeight="1" x14ac:dyDescent="0.3">
      <c r="BD780" s="231" t="s">
        <v>704</v>
      </c>
      <c r="BE780" s="232" t="s">
        <v>2806</v>
      </c>
      <c r="BF780" s="233">
        <v>1960</v>
      </c>
      <c r="BG780" s="234">
        <v>23520</v>
      </c>
      <c r="BH780" s="235">
        <v>45803</v>
      </c>
      <c r="BI780" s="236" t="s">
        <v>583</v>
      </c>
      <c r="BJ780" s="238" t="s">
        <v>2378</v>
      </c>
      <c r="BK780" s="237" t="s">
        <v>1371</v>
      </c>
    </row>
    <row r="781" spans="56:63" ht="16.5" customHeight="1" x14ac:dyDescent="0.3">
      <c r="BD781" s="231" t="s">
        <v>704</v>
      </c>
      <c r="BE781" s="232" t="s">
        <v>2807</v>
      </c>
      <c r="BF781" s="233">
        <v>1960</v>
      </c>
      <c r="BG781" s="234">
        <v>23520</v>
      </c>
      <c r="BH781" s="235">
        <v>45803</v>
      </c>
      <c r="BI781" s="236" t="s">
        <v>583</v>
      </c>
      <c r="BJ781" s="238" t="s">
        <v>2378</v>
      </c>
      <c r="BK781" s="237" t="s">
        <v>1371</v>
      </c>
    </row>
    <row r="782" spans="56:63" ht="16.5" customHeight="1" x14ac:dyDescent="0.3">
      <c r="BD782" s="231" t="s">
        <v>920</v>
      </c>
      <c r="BE782" s="232" t="s">
        <v>2808</v>
      </c>
      <c r="BF782" s="233">
        <v>1960</v>
      </c>
      <c r="BG782" s="234">
        <v>23520</v>
      </c>
      <c r="BH782" s="235">
        <v>45803</v>
      </c>
      <c r="BI782" s="236" t="s">
        <v>583</v>
      </c>
      <c r="BJ782" s="238" t="s">
        <v>2378</v>
      </c>
      <c r="BK782" s="237" t="s">
        <v>1371</v>
      </c>
    </row>
    <row r="783" spans="56:63" ht="16.5" customHeight="1" x14ac:dyDescent="0.3">
      <c r="BD783" s="231" t="s">
        <v>1073</v>
      </c>
      <c r="BE783" s="232" t="s">
        <v>2809</v>
      </c>
      <c r="BF783" s="233">
        <v>1980</v>
      </c>
      <c r="BG783" s="234">
        <v>23760</v>
      </c>
      <c r="BH783" s="235">
        <v>45803</v>
      </c>
      <c r="BI783" s="236" t="s">
        <v>583</v>
      </c>
      <c r="BJ783" s="238" t="s">
        <v>2370</v>
      </c>
      <c r="BK783" s="237" t="s">
        <v>1371</v>
      </c>
    </row>
    <row r="784" spans="56:63" ht="16.5" customHeight="1" x14ac:dyDescent="0.3">
      <c r="BD784" s="231" t="s">
        <v>1073</v>
      </c>
      <c r="BE784" s="232" t="s">
        <v>2810</v>
      </c>
      <c r="BF784" s="233">
        <v>1980</v>
      </c>
      <c r="BG784" s="234">
        <v>23760</v>
      </c>
      <c r="BH784" s="235">
        <v>45803</v>
      </c>
      <c r="BI784" s="236" t="s">
        <v>583</v>
      </c>
      <c r="BJ784" s="238" t="s">
        <v>2370</v>
      </c>
      <c r="BK784" s="237" t="s">
        <v>1371</v>
      </c>
    </row>
    <row r="785" spans="56:63" ht="16.5" customHeight="1" x14ac:dyDescent="0.3">
      <c r="BD785" s="231" t="s">
        <v>468</v>
      </c>
      <c r="BE785" s="248" t="s">
        <v>2811</v>
      </c>
      <c r="BF785" s="233">
        <v>1960</v>
      </c>
      <c r="BG785" s="234">
        <v>23520</v>
      </c>
      <c r="BH785" s="235">
        <v>45804</v>
      </c>
      <c r="BI785" s="236" t="s">
        <v>583</v>
      </c>
      <c r="BJ785" s="199" t="s">
        <v>2378</v>
      </c>
      <c r="BK785" s="237" t="s">
        <v>1371</v>
      </c>
    </row>
    <row r="786" spans="56:63" ht="16.5" customHeight="1" x14ac:dyDescent="0.3">
      <c r="BD786" s="231" t="s">
        <v>1073</v>
      </c>
      <c r="BE786" s="248" t="s">
        <v>2812</v>
      </c>
      <c r="BF786" s="233">
        <v>1980</v>
      </c>
      <c r="BG786" s="234">
        <v>23760</v>
      </c>
      <c r="BH786" s="235">
        <v>45804</v>
      </c>
      <c r="BI786" s="236" t="s">
        <v>583</v>
      </c>
      <c r="BJ786" s="238" t="s">
        <v>2370</v>
      </c>
      <c r="BK786" s="237" t="s">
        <v>1371</v>
      </c>
    </row>
    <row r="787" spans="56:63" ht="16.5" customHeight="1" x14ac:dyDescent="0.3">
      <c r="BD787" s="231" t="s">
        <v>1073</v>
      </c>
      <c r="BE787" s="248" t="s">
        <v>2813</v>
      </c>
      <c r="BF787" s="233">
        <v>1980</v>
      </c>
      <c r="BG787" s="234">
        <v>23760</v>
      </c>
      <c r="BH787" s="235">
        <v>45804</v>
      </c>
      <c r="BI787" s="236" t="s">
        <v>583</v>
      </c>
      <c r="BJ787" s="238" t="s">
        <v>2359</v>
      </c>
      <c r="BK787" s="237" t="s">
        <v>1371</v>
      </c>
    </row>
    <row r="788" spans="56:63" ht="16.5" customHeight="1" x14ac:dyDescent="0.3">
      <c r="BD788" s="231" t="s">
        <v>704</v>
      </c>
      <c r="BE788" s="248" t="s">
        <v>2814</v>
      </c>
      <c r="BF788" s="233">
        <v>1958</v>
      </c>
      <c r="BG788" s="234">
        <v>23496</v>
      </c>
      <c r="BH788" s="235">
        <v>45804</v>
      </c>
      <c r="BI788" s="236" t="s">
        <v>583</v>
      </c>
      <c r="BJ788" s="238" t="s">
        <v>2320</v>
      </c>
      <c r="BK788" s="237" t="s">
        <v>1371</v>
      </c>
    </row>
    <row r="789" spans="56:63" ht="16.5" customHeight="1" x14ac:dyDescent="0.3">
      <c r="BD789" s="231" t="s">
        <v>1008</v>
      </c>
      <c r="BE789" s="232" t="s">
        <v>2815</v>
      </c>
      <c r="BF789" s="233">
        <v>1948</v>
      </c>
      <c r="BG789" s="234">
        <v>23376</v>
      </c>
      <c r="BH789" s="235">
        <v>45805</v>
      </c>
      <c r="BI789" s="236" t="s">
        <v>583</v>
      </c>
      <c r="BJ789" s="238" t="s">
        <v>2483</v>
      </c>
      <c r="BK789" s="237" t="s">
        <v>1371</v>
      </c>
    </row>
    <row r="790" spans="56:63" ht="16.5" customHeight="1" x14ac:dyDescent="0.3">
      <c r="BD790" s="231" t="s">
        <v>1008</v>
      </c>
      <c r="BE790" s="232" t="s">
        <v>2816</v>
      </c>
      <c r="BF790" s="233">
        <v>1916</v>
      </c>
      <c r="BG790" s="234">
        <v>22992</v>
      </c>
      <c r="BH790" s="235">
        <v>45805</v>
      </c>
      <c r="BI790" s="236" t="s">
        <v>583</v>
      </c>
      <c r="BJ790" s="238" t="s">
        <v>2307</v>
      </c>
      <c r="BK790" s="237" t="s">
        <v>1371</v>
      </c>
    </row>
    <row r="791" spans="56:63" ht="16.5" customHeight="1" x14ac:dyDescent="0.3">
      <c r="BD791" s="231" t="s">
        <v>1008</v>
      </c>
      <c r="BE791" s="232" t="s">
        <v>2817</v>
      </c>
      <c r="BF791" s="233">
        <v>1916</v>
      </c>
      <c r="BG791" s="234">
        <v>22992</v>
      </c>
      <c r="BH791" s="235">
        <v>45805</v>
      </c>
      <c r="BI791" s="236" t="s">
        <v>583</v>
      </c>
      <c r="BJ791" s="238" t="s">
        <v>2307</v>
      </c>
      <c r="BK791" s="237" t="s">
        <v>1371</v>
      </c>
    </row>
    <row r="792" spans="56:63" ht="16.5" customHeight="1" x14ac:dyDescent="0.3">
      <c r="BD792" s="231" t="s">
        <v>1073</v>
      </c>
      <c r="BE792" s="232" t="s">
        <v>2818</v>
      </c>
      <c r="BF792" s="233">
        <v>1980</v>
      </c>
      <c r="BG792" s="234">
        <v>23760</v>
      </c>
      <c r="BH792" s="235">
        <v>45805</v>
      </c>
      <c r="BI792" s="236" t="s">
        <v>583</v>
      </c>
      <c r="BJ792" s="238" t="s">
        <v>2359</v>
      </c>
      <c r="BK792" s="237" t="s">
        <v>1371</v>
      </c>
    </row>
    <row r="793" spans="56:63" ht="16.5" customHeight="1" x14ac:dyDescent="0.3">
      <c r="BD793" s="231" t="s">
        <v>704</v>
      </c>
      <c r="BE793" s="232" t="s">
        <v>2819</v>
      </c>
      <c r="BF793" s="233">
        <v>1958</v>
      </c>
      <c r="BG793" s="234">
        <v>23496</v>
      </c>
      <c r="BH793" s="235">
        <v>45805</v>
      </c>
      <c r="BI793" s="236" t="s">
        <v>583</v>
      </c>
      <c r="BJ793" s="238" t="s">
        <v>2320</v>
      </c>
      <c r="BK793" s="237" t="s">
        <v>1371</v>
      </c>
    </row>
    <row r="794" spans="56:63" ht="16.5" customHeight="1" x14ac:dyDescent="0.3">
      <c r="BD794" s="231" t="s">
        <v>374</v>
      </c>
      <c r="BE794" s="232" t="s">
        <v>2820</v>
      </c>
      <c r="BF794" s="233">
        <v>1980</v>
      </c>
      <c r="BG794" s="234">
        <v>23760</v>
      </c>
      <c r="BH794" s="235">
        <v>45805</v>
      </c>
      <c r="BI794" s="236" t="s">
        <v>583</v>
      </c>
      <c r="BJ794" s="238" t="s">
        <v>2359</v>
      </c>
      <c r="BK794" s="237" t="s">
        <v>1371</v>
      </c>
    </row>
    <row r="795" spans="56:63" ht="16.5" customHeight="1" x14ac:dyDescent="0.3">
      <c r="BD795" s="231" t="s">
        <v>2681</v>
      </c>
      <c r="BE795" s="232" t="s">
        <v>2821</v>
      </c>
      <c r="BF795" s="233">
        <v>1804</v>
      </c>
      <c r="BG795" s="234">
        <v>18040</v>
      </c>
      <c r="BH795" s="235">
        <v>45805</v>
      </c>
      <c r="BI795" s="236" t="s">
        <v>583</v>
      </c>
      <c r="BJ795" s="238" t="s">
        <v>2683</v>
      </c>
      <c r="BK795" s="237" t="s">
        <v>1691</v>
      </c>
    </row>
    <row r="796" spans="56:63" ht="16.5" customHeight="1" x14ac:dyDescent="0.3">
      <c r="BD796" s="231" t="s">
        <v>873</v>
      </c>
      <c r="BE796" s="232" t="s">
        <v>2822</v>
      </c>
      <c r="BF796" s="233">
        <v>1960</v>
      </c>
      <c r="BG796" s="234">
        <v>23520</v>
      </c>
      <c r="BH796" s="235">
        <v>45805</v>
      </c>
      <c r="BI796" s="236" t="s">
        <v>583</v>
      </c>
      <c r="BJ796" s="199" t="s">
        <v>2378</v>
      </c>
      <c r="BK796" s="237" t="s">
        <v>1371</v>
      </c>
    </row>
    <row r="797" spans="56:63" ht="16.5" customHeight="1" x14ac:dyDescent="0.3">
      <c r="BD797" s="231" t="s">
        <v>873</v>
      </c>
      <c r="BE797" s="232" t="s">
        <v>2823</v>
      </c>
      <c r="BF797" s="233">
        <v>1917</v>
      </c>
      <c r="BG797" s="234">
        <v>23004</v>
      </c>
      <c r="BH797" s="235">
        <v>45805</v>
      </c>
      <c r="BI797" s="236" t="s">
        <v>583</v>
      </c>
      <c r="BJ797" s="238" t="s">
        <v>2378</v>
      </c>
      <c r="BK797" s="237" t="s">
        <v>1371</v>
      </c>
    </row>
    <row r="798" spans="56:63" ht="16.5" customHeight="1" x14ac:dyDescent="0.3">
      <c r="BD798" s="231" t="s">
        <v>873</v>
      </c>
      <c r="BE798" s="232" t="s">
        <v>2824</v>
      </c>
      <c r="BF798" s="233">
        <v>1960</v>
      </c>
      <c r="BG798" s="234">
        <v>23520</v>
      </c>
      <c r="BH798" s="235">
        <v>45805</v>
      </c>
      <c r="BI798" s="236" t="s">
        <v>583</v>
      </c>
      <c r="BJ798" s="238" t="s">
        <v>2378</v>
      </c>
      <c r="BK798" s="237" t="s">
        <v>1371</v>
      </c>
    </row>
    <row r="799" spans="56:63" ht="16.5" customHeight="1" x14ac:dyDescent="0.3">
      <c r="BD799" s="231" t="s">
        <v>1008</v>
      </c>
      <c r="BE799" s="232" t="s">
        <v>2825</v>
      </c>
      <c r="BF799" s="233">
        <v>1949</v>
      </c>
      <c r="BG799" s="234">
        <v>23388</v>
      </c>
      <c r="BH799" s="235">
        <v>45806</v>
      </c>
      <c r="BI799" s="236" t="s">
        <v>583</v>
      </c>
      <c r="BJ799" s="238" t="s">
        <v>2483</v>
      </c>
      <c r="BK799" s="237" t="s">
        <v>1371</v>
      </c>
    </row>
    <row r="800" spans="56:63" ht="16.5" customHeight="1" x14ac:dyDescent="0.3">
      <c r="BD800" s="231" t="s">
        <v>2418</v>
      </c>
      <c r="BE800" s="232" t="s">
        <v>2826</v>
      </c>
      <c r="BF800" s="233">
        <v>1925</v>
      </c>
      <c r="BG800" s="234">
        <v>23100</v>
      </c>
      <c r="BH800" s="235">
        <v>45806</v>
      </c>
      <c r="BI800" s="236" t="s">
        <v>583</v>
      </c>
      <c r="BJ800" s="238" t="s">
        <v>2708</v>
      </c>
      <c r="BK800" s="237" t="s">
        <v>1691</v>
      </c>
    </row>
    <row r="801" spans="56:63" ht="16.5" customHeight="1" x14ac:dyDescent="0.3">
      <c r="BD801" s="231" t="s">
        <v>968</v>
      </c>
      <c r="BE801" s="232" t="s">
        <v>2827</v>
      </c>
      <c r="BF801" s="233">
        <v>1939</v>
      </c>
      <c r="BG801" s="234">
        <v>23268</v>
      </c>
      <c r="BH801" s="235">
        <v>45807</v>
      </c>
      <c r="BI801" s="236" t="s">
        <v>583</v>
      </c>
      <c r="BJ801" s="238" t="s">
        <v>2320</v>
      </c>
      <c r="BK801" s="237" t="s">
        <v>1371</v>
      </c>
    </row>
    <row r="802" spans="56:63" ht="16.5" customHeight="1" x14ac:dyDescent="0.3">
      <c r="BD802" s="231" t="s">
        <v>920</v>
      </c>
      <c r="BE802" s="134" t="s">
        <v>2828</v>
      </c>
      <c r="BF802" s="233">
        <v>1500</v>
      </c>
      <c r="BG802" s="234">
        <v>22500</v>
      </c>
      <c r="BH802" s="235">
        <v>45735</v>
      </c>
      <c r="BI802" s="236" t="s">
        <v>583</v>
      </c>
      <c r="BJ802" s="238" t="s">
        <v>2713</v>
      </c>
      <c r="BK802" s="237" t="s">
        <v>1371</v>
      </c>
    </row>
  </sheetData>
  <mergeCells count="23">
    <mergeCell ref="AR136:AV136"/>
    <mergeCell ref="CD2:CH2"/>
    <mergeCell ref="CI2:CJ2"/>
    <mergeCell ref="AN127:AO127"/>
    <mergeCell ref="AP127:AQ127"/>
    <mergeCell ref="AS127:AT127"/>
    <mergeCell ref="AV127:AW127"/>
    <mergeCell ref="AN128:AO128"/>
    <mergeCell ref="AP128:AQ128"/>
    <mergeCell ref="AS128:AT128"/>
    <mergeCell ref="AV128:AW128"/>
    <mergeCell ref="AU134:AV134"/>
    <mergeCell ref="AX150:AX151"/>
    <mergeCell ref="AN138:AW138"/>
    <mergeCell ref="AN143:AW143"/>
    <mergeCell ref="AN150:AN151"/>
    <mergeCell ref="AO150:AO151"/>
    <mergeCell ref="AP150:AP151"/>
    <mergeCell ref="AQ150:AQ151"/>
    <mergeCell ref="AR150:AS150"/>
    <mergeCell ref="AT150:AU150"/>
    <mergeCell ref="AV150:AV151"/>
    <mergeCell ref="AW150:AW151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585CF-CA9F-4C11-ACE3-0DEAF08DBFD7}">
  <sheetPr codeName="Sheet27"/>
  <dimension ref="A1:M40"/>
  <sheetViews>
    <sheetView topLeftCell="A19" zoomScale="85" zoomScaleNormal="85" workbookViewId="0">
      <selection activeCell="O23" sqref="O23"/>
    </sheetView>
  </sheetViews>
  <sheetFormatPr defaultColWidth="9" defaultRowHeight="16.5" x14ac:dyDescent="0.3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 x14ac:dyDescent="0.3">
      <c r="A1" s="319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1" s="319"/>
      <c r="C1" s="319"/>
      <c r="D1" s="319"/>
      <c r="E1" s="319"/>
      <c r="F1" s="33"/>
      <c r="G1" s="34"/>
      <c r="H1" s="319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1" s="319"/>
      <c r="J1" s="319"/>
      <c r="K1" s="319"/>
      <c r="L1" s="319"/>
    </row>
    <row r="2" spans="1:12" ht="51" customHeight="1" x14ac:dyDescent="0.3">
      <c r="A2" s="320" t="str">
        <f ca="1">IF(OFFSET(OFFSET(모듈!$A$1,0,MATCH("화찰정보가져오기기준셀",모듈!$1:$1,0)-1),5,4)="","",OFFSET(OFFSET(모듈!$A$1,0,MATCH("화찰정보가져오기기준셀",모듈!$1:$1,0)-1),5,4))</f>
        <v>날치알</v>
      </c>
      <c r="B2" s="320"/>
      <c r="C2" s="320"/>
      <c r="D2" s="320"/>
      <c r="E2" s="320"/>
      <c r="F2" s="33"/>
      <c r="G2" s="34"/>
      <c r="H2" s="320" t="str">
        <f ca="1">IF(OFFSET(OFFSET(모듈!$A$1,0,MATCH("화찰정보가져오기기준셀",모듈!$1:$1,0)-1),6,4)="","",OFFSET(OFFSET(모듈!$A$1,0,MATCH("화찰정보가져오기기준셀",모듈!$1:$1,0)-1),6,4))</f>
        <v>날치알</v>
      </c>
      <c r="I2" s="320"/>
      <c r="J2" s="320"/>
      <c r="K2" s="320"/>
      <c r="L2" s="320"/>
    </row>
    <row r="3" spans="1:12" ht="65.25" customHeight="1" x14ac:dyDescent="0.3">
      <c r="A3" s="315" t="str">
        <f ca="1">IF(OFFSET(OFFSET(모듈!$A$1,0,MATCH("화찰정보가져오기기준셀",모듈!$1:$1,0)-1),5,2)="","",OFFSET(OFFSET(모듈!$A$1,0,MATCH("화찰정보가져오기기준셀",모듈!$1:$1,0)-1),5,2))</f>
        <v>A</v>
      </c>
      <c r="B3" s="315"/>
      <c r="C3" s="315"/>
      <c r="D3" s="315"/>
      <c r="E3" s="315"/>
      <c r="F3" s="36"/>
      <c r="G3" s="37"/>
      <c r="H3" s="315" t="str">
        <f ca="1">IF(OFFSET(OFFSET(모듈!$A$1,0,MATCH("화찰정보가져오기기준셀",모듈!$1:$1,0)-1),6,2)="","",OFFSET(OFFSET(모듈!$A$1,0,MATCH("화찰정보가져오기기준셀",모듈!$1:$1,0)-1),6,2))</f>
        <v>B</v>
      </c>
      <c r="I3" s="315"/>
      <c r="J3" s="315"/>
      <c r="K3" s="315"/>
      <c r="L3" s="315"/>
    </row>
    <row r="4" spans="1:12" ht="65.25" customHeight="1" x14ac:dyDescent="0.3">
      <c r="A4" s="323"/>
      <c r="B4" s="323"/>
      <c r="C4" s="323"/>
      <c r="D4" s="323"/>
      <c r="E4" s="323"/>
      <c r="F4" s="36"/>
      <c r="G4" s="37"/>
      <c r="H4" s="323"/>
      <c r="I4" s="323"/>
      <c r="J4" s="323"/>
      <c r="K4" s="323"/>
      <c r="L4" s="323"/>
    </row>
    <row r="5" spans="1:12" ht="19.5" customHeight="1" x14ac:dyDescent="0.3">
      <c r="A5" s="316" t="s">
        <v>2829</v>
      </c>
      <c r="B5" s="317"/>
      <c r="C5" s="317"/>
      <c r="D5" s="317"/>
      <c r="E5" s="318"/>
      <c r="F5" s="38"/>
      <c r="G5" s="37"/>
      <c r="H5" s="316" t="s">
        <v>2829</v>
      </c>
      <c r="I5" s="317"/>
      <c r="J5" s="317"/>
      <c r="K5" s="317"/>
      <c r="L5" s="318"/>
    </row>
    <row r="6" spans="1:12" ht="19.5" customHeight="1" x14ac:dyDescent="0.3">
      <c r="A6" s="39" t="s">
        <v>2830</v>
      </c>
      <c r="B6" s="311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6" s="312"/>
      <c r="D6" s="40" t="s">
        <v>597</v>
      </c>
      <c r="E6" s="41">
        <f ca="1">IF(OFFSET(OFFSET(모듈!$A$1,0,MATCH("화찰정보가져오기기준셀",모듈!$1:$1,0)-1),5,15)="","",OFFSET(OFFSET(모듈!$A$1,0,MATCH("화찰정보가져오기기준셀",모듈!$1:$1,0)-1),5,15))</f>
        <v>21600</v>
      </c>
      <c r="F6" s="38"/>
      <c r="G6" s="37"/>
      <c r="H6" s="39" t="s">
        <v>2830</v>
      </c>
      <c r="I6" s="311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6" s="312"/>
      <c r="K6" s="40" t="s">
        <v>597</v>
      </c>
      <c r="L6" s="41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7" spans="1:12" ht="19.5" customHeight="1" x14ac:dyDescent="0.3">
      <c r="A7" s="39" t="s">
        <v>2831</v>
      </c>
      <c r="B7" s="311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7" s="312"/>
      <c r="D7" s="40" t="s">
        <v>130</v>
      </c>
      <c r="E7" s="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7" s="38"/>
      <c r="G7" s="37"/>
      <c r="H7" s="39" t="s">
        <v>2831</v>
      </c>
      <c r="I7" s="311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7" s="312"/>
      <c r="K7" s="40" t="s">
        <v>130</v>
      </c>
      <c r="L7" s="41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8" spans="1:12" ht="19.5" customHeight="1" x14ac:dyDescent="0.3">
      <c r="A8" s="39" t="s">
        <v>324</v>
      </c>
      <c r="B8" s="311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8" s="312"/>
      <c r="D8" s="40" t="s">
        <v>121</v>
      </c>
      <c r="E8" s="42">
        <f ca="1">IF(OFFSET(OFFSET(모듈!$A$1,0,MATCH("화찰정보가져오기기준셀",모듈!$1:$1,0)-1),5,14)="","",OFFSET(OFFSET(모듈!$A$1,0,MATCH("화찰정보가져오기기준셀",모듈!$1:$1,0)-1),5,14))</f>
        <v>1800</v>
      </c>
      <c r="F8" s="38"/>
      <c r="G8" s="37"/>
      <c r="H8" s="39" t="s">
        <v>324</v>
      </c>
      <c r="I8" s="311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8" s="312"/>
      <c r="K8" s="40" t="s">
        <v>121</v>
      </c>
      <c r="L8" s="42">
        <f ca="1">IF(OFFSET(OFFSET(모듈!$A$1,0,MATCH("화찰정보가져오기기준셀",모듈!$1:$1,0)-1),6,14)="","",OFFSET(OFFSET(모듈!$A$1,0,MATCH("화찰정보가져오기기준셀",모듈!$1:$1,0)-1),6,14))</f>
        <v>1800</v>
      </c>
    </row>
    <row r="9" spans="1:12" ht="87.75" customHeight="1" x14ac:dyDescent="0.3">
      <c r="A9" s="321">
        <f ca="1">IF(OFFSET(OFFSET(모듈!$A$1,0,MATCH("화찰정보가져오기기준셀",모듈!$1:$1,0)-1),5,1)="","",OFFSET(OFFSET(모듈!$A$1,0,MATCH("화찰정보가져오기기준셀",모듈!$1:$1,0)-1),5,1))</f>
        <v>46013</v>
      </c>
      <c r="B9" s="321"/>
      <c r="C9" s="322" t="str">
        <f ca="1">IF(OFFSET(OFFSET(모듈!$A$1,0,MATCH("화찰정보가져오기기준셀",모듈!$1:$1,0)-1),5,3)="","",OFFSET(OFFSET(모듈!$A$1,0,MATCH("화찰정보가져오기기준셀",모듈!$1:$1,0)-1),5,3))</f>
        <v>B-1</v>
      </c>
      <c r="D9" s="322"/>
      <c r="E9" s="322"/>
      <c r="F9" s="43"/>
      <c r="G9" s="44"/>
      <c r="H9" s="321">
        <f ca="1">IF(OFFSET(OFFSET(모듈!$A$1,0,MATCH("화찰정보가져오기기준셀",모듈!$1:$1,0)-1),6,1)="","",OFFSET(OFFSET(모듈!$A$1,0,MATCH("화찰정보가져오기기준셀",모듈!$1:$1,0)-1),6,1))</f>
        <v>46013</v>
      </c>
      <c r="I9" s="321"/>
      <c r="J9" s="322" t="str">
        <f ca="1">IF(OFFSET(OFFSET(모듈!$A$1,0,MATCH("화찰정보가져오기기준셀",모듈!$1:$1,0)-1),6,3)="","",OFFSET(OFFSET(모듈!$A$1,0,MATCH("화찰정보가져오기기준셀",모듈!$1:$1,0)-1),6,3))</f>
        <v>B-1</v>
      </c>
      <c r="K9" s="322"/>
      <c r="L9" s="322"/>
    </row>
    <row r="10" spans="1:12" ht="8.25" customHeight="1" x14ac:dyDescent="0.3">
      <c r="A10" s="37"/>
      <c r="B10" s="37"/>
      <c r="C10" s="37"/>
      <c r="D10" s="37"/>
      <c r="E10" s="37"/>
      <c r="F10" s="36"/>
      <c r="G10" s="37"/>
      <c r="H10" s="37"/>
      <c r="I10" s="37"/>
      <c r="J10" s="37"/>
      <c r="K10" s="37"/>
      <c r="L10" s="37"/>
    </row>
    <row r="11" spans="1:12" ht="50.25" customHeight="1" x14ac:dyDescent="0.3">
      <c r="A11" s="319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11" s="319"/>
      <c r="C11" s="319"/>
      <c r="D11" s="319"/>
      <c r="E11" s="319"/>
      <c r="F11" s="33"/>
      <c r="G11" s="34"/>
      <c r="H11" s="319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11" s="319"/>
      <c r="J11" s="319"/>
      <c r="K11" s="319"/>
      <c r="L11" s="319"/>
    </row>
    <row r="12" spans="1:12" ht="46.5" customHeight="1" x14ac:dyDescent="0.3">
      <c r="A12" s="320" t="str">
        <f ca="1">IF(OFFSET(OFFSET(모듈!$A$1,0,MATCH("화찰정보가져오기기준셀",모듈!$1:$1,0)-1),7,4)="","",OFFSET(OFFSET(모듈!$A$1,0,MATCH("화찰정보가져오기기준셀",모듈!$1:$1,0)-1),7,4))</f>
        <v>날치알</v>
      </c>
      <c r="B12" s="320"/>
      <c r="C12" s="320"/>
      <c r="D12" s="320"/>
      <c r="E12" s="320"/>
      <c r="F12" s="33"/>
      <c r="G12" s="34"/>
      <c r="H12" s="320" t="str">
        <f ca="1">IF(OFFSET(OFFSET(모듈!$A$1,0,MATCH("화찰정보가져오기기준셀",모듈!$1:$1,0)-1),8,4)="","",OFFSET(OFFSET(모듈!$A$1,0,MATCH("화찰정보가져오기기준셀",모듈!$1:$1,0)-1),8,4))</f>
        <v>날치알</v>
      </c>
      <c r="I12" s="320"/>
      <c r="J12" s="320"/>
      <c r="K12" s="320"/>
      <c r="L12" s="320"/>
    </row>
    <row r="13" spans="1:12" ht="65.25" customHeight="1" x14ac:dyDescent="0.3">
      <c r="A13" s="315" t="str">
        <f ca="1">IF(OFFSET(OFFSET(모듈!$A$1,0,MATCH("화찰정보가져오기기준셀",모듈!$1:$1,0)-1),7,2)="","",OFFSET(OFFSET(모듈!$A$1,0,MATCH("화찰정보가져오기기준셀",모듈!$1:$1,0)-1),7,2))</f>
        <v>C</v>
      </c>
      <c r="B13" s="315"/>
      <c r="C13" s="315"/>
      <c r="D13" s="315"/>
      <c r="E13" s="315"/>
      <c r="F13" s="36"/>
      <c r="G13" s="37"/>
      <c r="H13" s="315" t="str">
        <f ca="1">IF(OFFSET(OFFSET(모듈!$A$1,0,MATCH("화찰정보가져오기기준셀",모듈!$1:$1,0)-1),8,2)="","",OFFSET(OFFSET(모듈!$A$1,0,MATCH("화찰정보가져오기기준셀",모듈!$1:$1,0)-1),8,2))</f>
        <v>D</v>
      </c>
      <c r="I13" s="315"/>
      <c r="J13" s="315"/>
      <c r="K13" s="315"/>
      <c r="L13" s="315"/>
    </row>
    <row r="14" spans="1:12" ht="65.25" customHeight="1" x14ac:dyDescent="0.3">
      <c r="A14" s="323"/>
      <c r="B14" s="323"/>
      <c r="C14" s="323"/>
      <c r="D14" s="323"/>
      <c r="E14" s="323"/>
      <c r="F14" s="36"/>
      <c r="G14" s="37"/>
      <c r="H14" s="315"/>
      <c r="I14" s="315"/>
      <c r="J14" s="315"/>
      <c r="K14" s="315"/>
      <c r="L14" s="315"/>
    </row>
    <row r="15" spans="1:12" ht="19.5" customHeight="1" x14ac:dyDescent="0.3">
      <c r="A15" s="316" t="s">
        <v>2829</v>
      </c>
      <c r="B15" s="317"/>
      <c r="C15" s="317"/>
      <c r="D15" s="317"/>
      <c r="E15" s="318"/>
      <c r="F15" s="36"/>
      <c r="G15" s="37"/>
      <c r="H15" s="316" t="s">
        <v>2829</v>
      </c>
      <c r="I15" s="317"/>
      <c r="J15" s="317"/>
      <c r="K15" s="317"/>
      <c r="L15" s="318"/>
    </row>
    <row r="16" spans="1:12" ht="19.5" customHeight="1" x14ac:dyDescent="0.3">
      <c r="A16" s="39" t="s">
        <v>2830</v>
      </c>
      <c r="B16" s="311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16" s="312"/>
      <c r="D16" s="40" t="s">
        <v>597</v>
      </c>
      <c r="E16" s="41">
        <f ca="1">IF(OFFSET(OFFSET(모듈!$A$1,0,MATCH("화찰정보가져오기기준셀",모듈!$1:$1,0)-1),7,15)="","",OFFSET(OFFSET(모듈!$A$1,0,MATCH("화찰정보가져오기기준셀",모듈!$1:$1,0)-1),7,15))</f>
        <v>21600</v>
      </c>
      <c r="F16" s="36"/>
      <c r="G16" s="37"/>
      <c r="H16" s="39" t="s">
        <v>2830</v>
      </c>
      <c r="I16" s="311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16" s="312"/>
      <c r="K16" s="40" t="s">
        <v>597</v>
      </c>
      <c r="L16" s="41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17" spans="1:12" ht="19.5" customHeight="1" x14ac:dyDescent="0.3">
      <c r="A17" s="39" t="s">
        <v>2831</v>
      </c>
      <c r="B17" s="311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17" s="312"/>
      <c r="D17" s="40" t="s">
        <v>130</v>
      </c>
      <c r="E17" s="4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17" s="36"/>
      <c r="G17" s="37"/>
      <c r="H17" s="39" t="s">
        <v>2831</v>
      </c>
      <c r="I17" s="311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17" s="312"/>
      <c r="K17" s="40" t="s">
        <v>130</v>
      </c>
      <c r="L17" s="41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18" spans="1:12" ht="19.5" customHeight="1" x14ac:dyDescent="0.3">
      <c r="A18" s="39" t="s">
        <v>324</v>
      </c>
      <c r="B18" s="311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18" s="312"/>
      <c r="D18" s="40" t="s">
        <v>121</v>
      </c>
      <c r="E18" s="42">
        <f ca="1">IF(OFFSET(OFFSET(모듈!$A$1,0,MATCH("화찰정보가져오기기준셀",모듈!$1:$1,0)-1),7,14)="","",OFFSET(OFFSET(모듈!$A$1,0,MATCH("화찰정보가져오기기준셀",모듈!$1:$1,0)-1),7,14))</f>
        <v>1800</v>
      </c>
      <c r="F18" s="36"/>
      <c r="G18" s="37"/>
      <c r="H18" s="39" t="s">
        <v>324</v>
      </c>
      <c r="I18" s="311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18" s="312"/>
      <c r="K18" s="40" t="s">
        <v>121</v>
      </c>
      <c r="L18" s="42">
        <f ca="1">IF(OFFSET(OFFSET(모듈!$A$1,0,MATCH("화찰정보가져오기기준셀",모듈!$1:$1,0)-1),8,14)="","",OFFSET(OFFSET(모듈!$A$1,0,MATCH("화찰정보가져오기기준셀",모듈!$1:$1,0)-1),8,14))</f>
        <v>1800</v>
      </c>
    </row>
    <row r="19" spans="1:12" ht="84.75" customHeight="1" x14ac:dyDescent="0.3">
      <c r="A19" s="313">
        <f ca="1">IF(OFFSET(OFFSET(모듈!$A$1,0,MATCH("화찰정보가져오기기준셀",모듈!$1:$1,0)-1),7,1)="","",OFFSET(OFFSET(모듈!$A$1,0,MATCH("화찰정보가져오기기준셀",모듈!$1:$1,0)-1),7,1))</f>
        <v>46013</v>
      </c>
      <c r="B19" s="313"/>
      <c r="C19" s="314" t="str">
        <f ca="1">IF(OFFSET(OFFSET(모듈!$A$1,0,MATCH("화찰정보가져오기기준셀",모듈!$1:$1,0)-1),7,3)="","",OFFSET(OFFSET(모듈!$A$1,0,MATCH("화찰정보가져오기기준셀",모듈!$1:$1,0)-1),7,3))</f>
        <v>B-1</v>
      </c>
      <c r="D19" s="314"/>
      <c r="E19" s="314"/>
      <c r="F19" s="36"/>
      <c r="G19" s="37"/>
      <c r="H19" s="313">
        <f ca="1">IF(OFFSET(OFFSET(모듈!$A$1,0,MATCH("화찰정보가져오기기준셀",모듈!$1:$1,0)-1),8,1)="","",OFFSET(OFFSET(모듈!$A$1,0,MATCH("화찰정보가져오기기준셀",모듈!$1:$1,0)-1),8,1))</f>
        <v>46013</v>
      </c>
      <c r="I19" s="313"/>
      <c r="J19" s="314" t="str">
        <f ca="1">IF(OFFSET(OFFSET(모듈!$A$1,0,MATCH("화찰정보가져오기기준셀",모듈!$1:$1,0)-1),8,3)="","",OFFSET(OFFSET(모듈!$A$1,0,MATCH("화찰정보가져오기기준셀",모듈!$1:$1,0)-1),8,3))</f>
        <v>B-1</v>
      </c>
      <c r="K19" s="314"/>
      <c r="L19" s="314"/>
    </row>
    <row r="20" spans="1:12" ht="57.75" customHeight="1" x14ac:dyDescent="0.3">
      <c r="A20" s="319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0" s="319"/>
      <c r="C20" s="319"/>
      <c r="D20" s="319"/>
      <c r="E20" s="319"/>
      <c r="F20" s="33"/>
      <c r="G20" s="34"/>
      <c r="H20" s="319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0" s="319"/>
      <c r="J20" s="319"/>
      <c r="K20" s="319"/>
      <c r="L20" s="319"/>
    </row>
    <row r="21" spans="1:12" ht="36" customHeight="1" x14ac:dyDescent="0.3">
      <c r="A21" s="320" t="str">
        <f ca="1">IF(OFFSET(OFFSET(모듈!$A$1,0,MATCH("화찰정보가져오기기준셀",모듈!$1:$1,0)-1),5,4)="","",OFFSET(OFFSET(모듈!$A$1,0,MATCH("화찰정보가져오기기준셀",모듈!$1:$1,0)-1),5,4))</f>
        <v>날치알</v>
      </c>
      <c r="B21" s="320"/>
      <c r="C21" s="320"/>
      <c r="D21" s="320"/>
      <c r="E21" s="320"/>
      <c r="F21" s="33"/>
      <c r="G21" s="34"/>
      <c r="H21" s="320" t="str">
        <f ca="1">IF(OFFSET(OFFSET(모듈!$A$1,0,MATCH("화찰정보가져오기기준셀",모듈!$1:$1,0)-1),6,4)="","",OFFSET(OFFSET(모듈!$A$1,0,MATCH("화찰정보가져오기기준셀",모듈!$1:$1,0)-1),6,4))</f>
        <v>날치알</v>
      </c>
      <c r="I21" s="320"/>
      <c r="J21" s="320"/>
      <c r="K21" s="320"/>
      <c r="L21" s="320"/>
    </row>
    <row r="22" spans="1:12" ht="36" customHeight="1" x14ac:dyDescent="0.3">
      <c r="A22" s="320" t="str">
        <f ca="1">IF(OFFSET(OFFSET(모듈!$A$1,0,MATCH("화찰정보가져오기기준셀",모듈!$1:$1,0)-1),5,5)="","",OFFSET(OFFSET(모듈!$A$1,0,MATCH("화찰정보가져오기기준셀",모듈!$1:$1,0)-1),5,5))</f>
        <v>10KG</v>
      </c>
      <c r="B22" s="320"/>
      <c r="C22" s="320"/>
      <c r="D22" s="320"/>
      <c r="E22" s="320"/>
      <c r="F22" s="45"/>
      <c r="G22" s="46"/>
      <c r="H22" s="320" t="str">
        <f ca="1">IF(OFFSET(OFFSET(모듈!$A$1,0,MATCH("화찰정보가져오기기준셀",모듈!$1:$1,0)-1),6,5)="","",OFFSET(OFFSET(모듈!$A$1,0,MATCH("화찰정보가져오기기준셀",모듈!$1:$1,0)-1),6,5))</f>
        <v>10KG</v>
      </c>
      <c r="I22" s="320"/>
      <c r="J22" s="320"/>
      <c r="K22" s="320"/>
      <c r="L22" s="320"/>
    </row>
    <row r="23" spans="1:12" ht="65.25" customHeight="1" x14ac:dyDescent="0.3">
      <c r="A23" s="315" t="str">
        <f ca="1">IF(OFFSET(OFFSET(모듈!$A$1,0,MATCH("화찰정보가져오기기준셀",모듈!$1:$1,0)-1),5,2)="","",OFFSET(OFFSET(모듈!$A$1,0,MATCH("화찰정보가져오기기준셀",모듈!$1:$1,0)-1),5,2))</f>
        <v>A</v>
      </c>
      <c r="B23" s="315"/>
      <c r="C23" s="315"/>
      <c r="D23" s="315"/>
      <c r="E23" s="315"/>
      <c r="F23" s="36"/>
      <c r="G23" s="37"/>
      <c r="H23" s="315" t="str">
        <f ca="1">IF(OFFSET(OFFSET(모듈!$A$1,0,MATCH("화찰정보가져오기기준셀",모듈!$1:$1,0)-1),6,2)="","",OFFSET(OFFSET(모듈!$A$1,0,MATCH("화찰정보가져오기기준셀",모듈!$1:$1,0)-1),6,2))</f>
        <v>B</v>
      </c>
      <c r="I23" s="315"/>
      <c r="J23" s="315"/>
      <c r="K23" s="315"/>
      <c r="L23" s="315"/>
    </row>
    <row r="24" spans="1:12" ht="65.25" customHeight="1" x14ac:dyDescent="0.3">
      <c r="A24" s="315"/>
      <c r="B24" s="315"/>
      <c r="C24" s="315"/>
      <c r="D24" s="315"/>
      <c r="E24" s="315"/>
      <c r="F24" s="36"/>
      <c r="G24" s="37"/>
      <c r="H24" s="315"/>
      <c r="I24" s="315"/>
      <c r="J24" s="315"/>
      <c r="K24" s="315"/>
      <c r="L24" s="315"/>
    </row>
    <row r="25" spans="1:12" ht="15.75" customHeight="1" x14ac:dyDescent="0.3">
      <c r="A25" s="316" t="s">
        <v>2829</v>
      </c>
      <c r="B25" s="317"/>
      <c r="C25" s="317"/>
      <c r="D25" s="317"/>
      <c r="E25" s="318"/>
      <c r="F25" s="36"/>
      <c r="G25" s="37"/>
      <c r="H25" s="316" t="s">
        <v>2829</v>
      </c>
      <c r="I25" s="317"/>
      <c r="J25" s="317"/>
      <c r="K25" s="317"/>
      <c r="L25" s="318"/>
    </row>
    <row r="26" spans="1:12" ht="15.75" customHeight="1" x14ac:dyDescent="0.3">
      <c r="A26" s="39" t="s">
        <v>2830</v>
      </c>
      <c r="B26" s="311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26" s="312"/>
      <c r="D26" s="40" t="s">
        <v>597</v>
      </c>
      <c r="E26" s="41">
        <f ca="1">IF(OFFSET(OFFSET(모듈!$A$1,0,MATCH("화찰정보가져오기기준셀",모듈!$1:$1,0)-1),5,15)="","",OFFSET(OFFSET(모듈!$A$1,0,MATCH("화찰정보가져오기기준셀",모듈!$1:$1,0)-1),5,15))</f>
        <v>21600</v>
      </c>
      <c r="F26" s="38"/>
      <c r="G26" s="37"/>
      <c r="H26" s="39" t="s">
        <v>2830</v>
      </c>
      <c r="I26" s="311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26" s="312"/>
      <c r="K26" s="40" t="s">
        <v>597</v>
      </c>
      <c r="L26" s="41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27" spans="1:12" ht="15.75" customHeight="1" x14ac:dyDescent="0.3">
      <c r="A27" s="39" t="s">
        <v>2831</v>
      </c>
      <c r="B27" s="311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27" s="312"/>
      <c r="D27" s="40" t="s">
        <v>130</v>
      </c>
      <c r="E27" s="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27" s="38"/>
      <c r="G27" s="37"/>
      <c r="H27" s="39" t="s">
        <v>2831</v>
      </c>
      <c r="I27" s="311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27" s="312"/>
      <c r="K27" s="40" t="s">
        <v>130</v>
      </c>
      <c r="L27" s="41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28" spans="1:12" ht="15.75" customHeight="1" x14ac:dyDescent="0.3">
      <c r="A28" s="39" t="s">
        <v>324</v>
      </c>
      <c r="B28" s="311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28" s="312"/>
      <c r="D28" s="40" t="s">
        <v>121</v>
      </c>
      <c r="E28" s="42">
        <f ca="1">IF(OFFSET(OFFSET(모듈!$A$1,0,MATCH("화찰정보가져오기기준셀",모듈!$1:$1,0)-1),5,14)="","",OFFSET(OFFSET(모듈!$A$1,0,MATCH("화찰정보가져오기기준셀",모듈!$1:$1,0)-1),5,14))</f>
        <v>1800</v>
      </c>
      <c r="F28" s="38"/>
      <c r="G28" s="37"/>
      <c r="H28" s="39" t="s">
        <v>324</v>
      </c>
      <c r="I28" s="311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28" s="312"/>
      <c r="K28" s="40" t="s">
        <v>121</v>
      </c>
      <c r="L28" s="42">
        <f ca="1">IF(OFFSET(OFFSET(모듈!$A$1,0,MATCH("화찰정보가져오기기준셀",모듈!$1:$1,0)-1),6,14)="","",OFFSET(OFFSET(모듈!$A$1,0,MATCH("화찰정보가져오기기준셀",모듈!$1:$1,0)-1),6,14))</f>
        <v>1800</v>
      </c>
    </row>
    <row r="29" spans="1:12" ht="85.5" customHeight="1" x14ac:dyDescent="0.3">
      <c r="A29" s="321">
        <f ca="1">IF(OFFSET(OFFSET(모듈!$A$1,0,MATCH("화찰정보가져오기기준셀",모듈!$1:$1,0)-1),5,1)="","",OFFSET(OFFSET(모듈!$A$1,0,MATCH("화찰정보가져오기기준셀",모듈!$1:$1,0)-1),5,1))</f>
        <v>46013</v>
      </c>
      <c r="B29" s="321"/>
      <c r="C29" s="322" t="str">
        <f ca="1">IF(OFFSET(OFFSET(모듈!$A$1,0,MATCH("화찰정보가져오기기준셀",모듈!$1:$1,0)-1),5,3)="","",OFFSET(OFFSET(모듈!$A$1,0,MATCH("화찰정보가져오기기준셀",모듈!$1:$1,0)-1),5,3))</f>
        <v>B-1</v>
      </c>
      <c r="D29" s="322"/>
      <c r="E29" s="322"/>
      <c r="F29" s="43"/>
      <c r="G29" s="44"/>
      <c r="H29" s="321">
        <f ca="1">IF(OFFSET(OFFSET(모듈!$A$1,0,MATCH("화찰정보가져오기기준셀",모듈!$1:$1,0)-1),6,1)="","",OFFSET(OFFSET(모듈!$A$1,0,MATCH("화찰정보가져오기기준셀",모듈!$1:$1,0)-1),6,1))</f>
        <v>46013</v>
      </c>
      <c r="I29" s="321"/>
      <c r="J29" s="322" t="str">
        <f ca="1">IF(OFFSET(OFFSET(모듈!$A$1,0,MATCH("화찰정보가져오기기준셀",모듈!$1:$1,0)-1),6,3)="","",OFFSET(OFFSET(모듈!$A$1,0,MATCH("화찰정보가져오기기준셀",모듈!$1:$1,0)-1),6,3))</f>
        <v>B-1</v>
      </c>
      <c r="K29" s="322"/>
      <c r="L29" s="322"/>
    </row>
    <row r="30" spans="1:12" ht="9" customHeight="1" x14ac:dyDescent="0.3">
      <c r="A30" s="37"/>
      <c r="B30" s="37"/>
      <c r="C30" s="37"/>
      <c r="D30" s="37"/>
      <c r="E30" s="37"/>
      <c r="F30" s="36"/>
      <c r="G30" s="37"/>
      <c r="H30" s="37"/>
      <c r="I30" s="37"/>
      <c r="J30" s="37"/>
      <c r="K30" s="37"/>
      <c r="L30" s="37"/>
    </row>
    <row r="31" spans="1:12" ht="50.25" customHeight="1" x14ac:dyDescent="0.3">
      <c r="A31" s="319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31" s="319"/>
      <c r="C31" s="319"/>
      <c r="D31" s="319"/>
      <c r="E31" s="319"/>
      <c r="F31" s="33"/>
      <c r="G31" s="34"/>
      <c r="H31" s="319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31" s="319"/>
      <c r="J31" s="319"/>
      <c r="K31" s="319"/>
      <c r="L31" s="319"/>
    </row>
    <row r="32" spans="1:12" ht="35.25" customHeight="1" x14ac:dyDescent="0.3">
      <c r="A32" s="320" t="str">
        <f ca="1">IF(OFFSET(OFFSET(모듈!$A$1,0,MATCH("화찰정보가져오기기준셀",모듈!$1:$1,0)-1),7,4)="","",OFFSET(OFFSET(모듈!$A$1,0,MATCH("화찰정보가져오기기준셀",모듈!$1:$1,0)-1),7,4))</f>
        <v>날치알</v>
      </c>
      <c r="B32" s="320"/>
      <c r="C32" s="320"/>
      <c r="D32" s="320"/>
      <c r="E32" s="320"/>
      <c r="F32" s="33"/>
      <c r="G32" s="34"/>
      <c r="H32" s="320" t="str">
        <f ca="1">IF(OFFSET(OFFSET(모듈!$A$1,0,MATCH("화찰정보가져오기기준셀",모듈!$1:$1,0)-1),8,4)="","",OFFSET(OFFSET(모듈!$A$1,0,MATCH("화찰정보가져오기기준셀",모듈!$1:$1,0)-1),8,4))</f>
        <v>날치알</v>
      </c>
      <c r="I32" s="320"/>
      <c r="J32" s="320"/>
      <c r="K32" s="320"/>
      <c r="L32" s="320"/>
    </row>
    <row r="33" spans="1:12" ht="35.25" customHeight="1" x14ac:dyDescent="0.3">
      <c r="A33" s="320" t="str">
        <f ca="1">IF(OFFSET(OFFSET(모듈!$A$1,0,MATCH("화찰정보가져오기기준셀",모듈!$1:$1,0)-1),7,5)="","",OFFSET(OFFSET(모듈!$A$1,0,MATCH("화찰정보가져오기기준셀",모듈!$1:$1,0)-1),7,5))</f>
        <v>10KG</v>
      </c>
      <c r="B33" s="320"/>
      <c r="C33" s="320"/>
      <c r="D33" s="320"/>
      <c r="E33" s="320"/>
      <c r="F33" s="45"/>
      <c r="G33" s="46"/>
      <c r="H33" s="320" t="str">
        <f ca="1">IF(OFFSET(OFFSET(모듈!$A$1,0,MATCH("화찰정보가져오기기준셀",모듈!$1:$1,0)-1),8,5)="","",OFFSET(OFFSET(모듈!$A$1,0,MATCH("화찰정보가져오기기준셀",모듈!$1:$1,0)-1),8,5))</f>
        <v>10KG</v>
      </c>
      <c r="I33" s="320"/>
      <c r="J33" s="320"/>
      <c r="K33" s="320"/>
      <c r="L33" s="320"/>
    </row>
    <row r="34" spans="1:12" ht="65.25" customHeight="1" x14ac:dyDescent="0.3">
      <c r="A34" s="315" t="str">
        <f ca="1">IF(OFFSET(OFFSET(모듈!$A$1,0,MATCH("화찰정보가져오기기준셀",모듈!$1:$1,0)-1),7,2)="","",OFFSET(OFFSET(모듈!$A$1,0,MATCH("화찰정보가져오기기준셀",모듈!$1:$1,0)-1),7,2))</f>
        <v>C</v>
      </c>
      <c r="B34" s="315"/>
      <c r="C34" s="315"/>
      <c r="D34" s="315"/>
      <c r="E34" s="315"/>
      <c r="F34" s="36"/>
      <c r="G34" s="37"/>
      <c r="H34" s="315" t="str">
        <f ca="1">IF(OFFSET(OFFSET(모듈!$A$1,0,MATCH("화찰정보가져오기기준셀",모듈!$1:$1,0)-1),8,2)="","",OFFSET(OFFSET(모듈!$A$1,0,MATCH("화찰정보가져오기기준셀",모듈!$1:$1,0)-1),8,2))</f>
        <v>D</v>
      </c>
      <c r="I34" s="315"/>
      <c r="J34" s="315"/>
      <c r="K34" s="315"/>
      <c r="L34" s="315"/>
    </row>
    <row r="35" spans="1:12" ht="66" customHeight="1" x14ac:dyDescent="0.3">
      <c r="A35" s="315"/>
      <c r="B35" s="315"/>
      <c r="C35" s="315"/>
      <c r="D35" s="315"/>
      <c r="E35" s="315"/>
      <c r="F35" s="36"/>
      <c r="G35" s="37"/>
      <c r="H35" s="315"/>
      <c r="I35" s="315"/>
      <c r="J35" s="315"/>
      <c r="K35" s="315"/>
      <c r="L35" s="315"/>
    </row>
    <row r="36" spans="1:12" ht="13.5" customHeight="1" x14ac:dyDescent="0.3">
      <c r="A36" s="316" t="s">
        <v>2829</v>
      </c>
      <c r="B36" s="317"/>
      <c r="C36" s="317"/>
      <c r="D36" s="317"/>
      <c r="E36" s="318"/>
      <c r="F36" s="36"/>
      <c r="G36" s="37"/>
      <c r="H36" s="316" t="s">
        <v>2829</v>
      </c>
      <c r="I36" s="317"/>
      <c r="J36" s="317"/>
      <c r="K36" s="317"/>
      <c r="L36" s="318"/>
    </row>
    <row r="37" spans="1:12" ht="13.5" customHeight="1" x14ac:dyDescent="0.3">
      <c r="A37" s="39" t="s">
        <v>2830</v>
      </c>
      <c r="B37" s="311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37" s="312"/>
      <c r="D37" s="40" t="s">
        <v>597</v>
      </c>
      <c r="E37" s="41">
        <f ca="1">IF(OFFSET(OFFSET(모듈!$A$1,0,MATCH("화찰정보가져오기기준셀",모듈!$1:$1,0)-1),7,15)="","",OFFSET(OFFSET(모듈!$A$1,0,MATCH("화찰정보가져오기기준셀",모듈!$1:$1,0)-1),7,15))</f>
        <v>21600</v>
      </c>
      <c r="F37" s="36"/>
      <c r="G37" s="37"/>
      <c r="H37" s="39" t="s">
        <v>2830</v>
      </c>
      <c r="I37" s="311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37" s="312"/>
      <c r="K37" s="40" t="s">
        <v>597</v>
      </c>
      <c r="L37" s="41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38" spans="1:12" ht="13.5" customHeight="1" x14ac:dyDescent="0.3">
      <c r="A38" s="39" t="s">
        <v>2831</v>
      </c>
      <c r="B38" s="311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38" s="312"/>
      <c r="D38" s="40" t="s">
        <v>130</v>
      </c>
      <c r="E38" s="4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38" s="36"/>
      <c r="G38" s="37"/>
      <c r="H38" s="39" t="s">
        <v>2831</v>
      </c>
      <c r="I38" s="311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38" s="312"/>
      <c r="K38" s="40" t="s">
        <v>130</v>
      </c>
      <c r="L38" s="41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39" spans="1:12" ht="13.5" customHeight="1" x14ac:dyDescent="0.3">
      <c r="A39" s="39" t="s">
        <v>324</v>
      </c>
      <c r="B39" s="311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39" s="312"/>
      <c r="D39" s="40" t="s">
        <v>121</v>
      </c>
      <c r="E39" s="42">
        <f ca="1">IF(OFFSET(OFFSET(모듈!$A$1,0,MATCH("화찰정보가져오기기준셀",모듈!$1:$1,0)-1),7,14)="","",OFFSET(OFFSET(모듈!$A$1,0,MATCH("화찰정보가져오기기준셀",모듈!$1:$1,0)-1),7,14))</f>
        <v>1800</v>
      </c>
      <c r="F39" s="36"/>
      <c r="G39" s="37"/>
      <c r="H39" s="39" t="s">
        <v>324</v>
      </c>
      <c r="I39" s="311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39" s="312"/>
      <c r="K39" s="40" t="s">
        <v>121</v>
      </c>
      <c r="L39" s="42">
        <f ca="1">IF(OFFSET(OFFSET(모듈!$A$1,0,MATCH("화찰정보가져오기기준셀",모듈!$1:$1,0)-1),8,14)="","",OFFSET(OFFSET(모듈!$A$1,0,MATCH("화찰정보가져오기기준셀",모듈!$1:$1,0)-1),8,14))</f>
        <v>1800</v>
      </c>
    </row>
    <row r="40" spans="1:12" ht="81" customHeight="1" x14ac:dyDescent="0.3">
      <c r="A40" s="313">
        <f ca="1">IF(OFFSET(OFFSET(모듈!$A$1,0,MATCH("화찰정보가져오기기준셀",모듈!$1:$1,0)-1),7,1)="","",OFFSET(OFFSET(모듈!$A$1,0,MATCH("화찰정보가져오기기준셀",모듈!$1:$1,0)-1),7,1))</f>
        <v>46013</v>
      </c>
      <c r="B40" s="313"/>
      <c r="C40" s="314" t="str">
        <f ca="1">IF(OFFSET(OFFSET(모듈!$A$1,0,MATCH("화찰정보가져오기기준셀",모듈!$1:$1,0)-1),7,3)="","",OFFSET(OFFSET(모듈!$A$1,0,MATCH("화찰정보가져오기기준셀",모듈!$1:$1,0)-1),7,3))</f>
        <v>B-1</v>
      </c>
      <c r="D40" s="314"/>
      <c r="E40" s="314"/>
      <c r="F40" s="36"/>
      <c r="G40" s="37"/>
      <c r="H40" s="313">
        <f ca="1">IF(OFFSET(OFFSET(모듈!$A$1,0,MATCH("화찰정보가져오기기준셀",모듈!$1:$1,0)-1),8,1)="","",OFFSET(OFFSET(모듈!$A$1,0,MATCH("화찰정보가져오기기준셀",모듈!$1:$1,0)-1),8,1))</f>
        <v>46013</v>
      </c>
      <c r="I40" s="313"/>
      <c r="J40" s="314" t="str">
        <f ca="1">IF(OFFSET(OFFSET(모듈!$A$1,0,MATCH("화찰정보가져오기기준셀",모듈!$1:$1,0)-1),8,3)="","",OFFSET(OFFSET(모듈!$A$1,0,MATCH("화찰정보가져오기기준셀",모듈!$1:$1,0)-1),8,3))</f>
        <v>B-1</v>
      </c>
      <c r="K40" s="314"/>
      <c r="L40" s="314"/>
    </row>
  </sheetData>
  <mergeCells count="76">
    <mergeCell ref="A1:E1"/>
    <mergeCell ref="H1:L1"/>
    <mergeCell ref="A2:E2"/>
    <mergeCell ref="H2:L2"/>
    <mergeCell ref="A3:E4"/>
    <mergeCell ref="H3:L4"/>
    <mergeCell ref="A5:E5"/>
    <mergeCell ref="H5:L5"/>
    <mergeCell ref="B6:C6"/>
    <mergeCell ref="I6:J6"/>
    <mergeCell ref="B7:C7"/>
    <mergeCell ref="I7:J7"/>
    <mergeCell ref="B8:C8"/>
    <mergeCell ref="I8:J8"/>
    <mergeCell ref="A9:B9"/>
    <mergeCell ref="C9:E9"/>
    <mergeCell ref="H9:I9"/>
    <mergeCell ref="J9:L9"/>
    <mergeCell ref="A11:E11"/>
    <mergeCell ref="H11:L11"/>
    <mergeCell ref="A12:E12"/>
    <mergeCell ref="H12:L12"/>
    <mergeCell ref="A13:E14"/>
    <mergeCell ref="H13:L14"/>
    <mergeCell ref="A15:E15"/>
    <mergeCell ref="H15:L15"/>
    <mergeCell ref="B16:C16"/>
    <mergeCell ref="I16:J16"/>
    <mergeCell ref="B17:C17"/>
    <mergeCell ref="I17:J17"/>
    <mergeCell ref="B18:C18"/>
    <mergeCell ref="I18:J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4"/>
    <mergeCell ref="H23:L24"/>
    <mergeCell ref="A25:E25"/>
    <mergeCell ref="H25:L25"/>
    <mergeCell ref="B26:C26"/>
    <mergeCell ref="I26:J26"/>
    <mergeCell ref="B27:C27"/>
    <mergeCell ref="I27:J27"/>
    <mergeCell ref="B28:C28"/>
    <mergeCell ref="I28:J28"/>
    <mergeCell ref="A29:B29"/>
    <mergeCell ref="C29:E29"/>
    <mergeCell ref="H29:I29"/>
    <mergeCell ref="J29:L29"/>
    <mergeCell ref="A31:E31"/>
    <mergeCell ref="H31:L31"/>
    <mergeCell ref="A32:E32"/>
    <mergeCell ref="H32:L32"/>
    <mergeCell ref="A33:E33"/>
    <mergeCell ref="H33:L33"/>
    <mergeCell ref="A34:E35"/>
    <mergeCell ref="H34:L35"/>
    <mergeCell ref="A36:E36"/>
    <mergeCell ref="H36:L36"/>
    <mergeCell ref="B37:C37"/>
    <mergeCell ref="I37:J37"/>
    <mergeCell ref="B38:C38"/>
    <mergeCell ref="I38:J38"/>
    <mergeCell ref="B39:C39"/>
    <mergeCell ref="I39:J39"/>
    <mergeCell ref="A40:B40"/>
    <mergeCell ref="C40:E40"/>
    <mergeCell ref="H40:I40"/>
    <mergeCell ref="J40:L40"/>
  </mergeCells>
  <phoneticPr fontId="1" type="noConversion"/>
  <pageMargins left="0.17" right="0.17" top="0.17" bottom="0.17" header="0.17" footer="0.17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AAF51-8C53-4293-8EB3-0781E93150B4}">
  <sheetPr codeName="Sheet26"/>
  <dimension ref="A1:AL25"/>
  <sheetViews>
    <sheetView topLeftCell="A10" zoomScale="85" zoomScaleNormal="85" workbookViewId="0">
      <selection activeCell="C11" sqref="C11:I11"/>
    </sheetView>
  </sheetViews>
  <sheetFormatPr defaultColWidth="9" defaultRowHeight="16.5" x14ac:dyDescent="0.3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 x14ac:dyDescent="0.3">
      <c r="A1" s="389" t="s">
        <v>2832</v>
      </c>
      <c r="B1" s="390"/>
      <c r="C1" s="390"/>
      <c r="D1" s="390"/>
      <c r="E1" s="390"/>
      <c r="F1" s="390"/>
      <c r="G1" s="390"/>
      <c r="H1" s="390"/>
      <c r="I1" s="391"/>
      <c r="J1" s="37"/>
      <c r="K1" s="389" t="s">
        <v>2832</v>
      </c>
      <c r="L1" s="390"/>
      <c r="M1" s="390"/>
      <c r="N1" s="390"/>
      <c r="O1" s="390"/>
      <c r="P1" s="390"/>
      <c r="Q1" s="390"/>
      <c r="R1" s="390"/>
      <c r="S1" s="391"/>
      <c r="T1" s="428" t="s">
        <v>2832</v>
      </c>
      <c r="U1" s="429"/>
      <c r="V1" s="429"/>
      <c r="W1" s="429"/>
      <c r="X1" s="429"/>
      <c r="Y1" s="429"/>
      <c r="Z1" s="429"/>
      <c r="AA1" s="429"/>
      <c r="AB1" s="430"/>
      <c r="AC1" s="37"/>
      <c r="AD1" s="428" t="s">
        <v>2832</v>
      </c>
      <c r="AE1" s="429"/>
      <c r="AF1" s="429"/>
      <c r="AG1" s="429"/>
      <c r="AH1" s="429"/>
      <c r="AI1" s="429"/>
      <c r="AJ1" s="429"/>
      <c r="AK1" s="429"/>
      <c r="AL1" s="430"/>
    </row>
    <row r="2" spans="1:38" ht="55.5" customHeight="1" x14ac:dyDescent="0.3">
      <c r="A2" s="47" t="s">
        <v>2833</v>
      </c>
      <c r="B2" s="392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C2" s="393"/>
      <c r="D2" s="393"/>
      <c r="E2" s="393"/>
      <c r="F2" s="393"/>
      <c r="G2" s="393"/>
      <c r="H2" s="393"/>
      <c r="I2" s="394"/>
      <c r="J2" s="37"/>
      <c r="K2" s="47" t="s">
        <v>2833</v>
      </c>
      <c r="L2" s="392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M2" s="393"/>
      <c r="N2" s="393"/>
      <c r="O2" s="393"/>
      <c r="P2" s="393"/>
      <c r="Q2" s="393"/>
      <c r="R2" s="393"/>
      <c r="S2" s="394"/>
      <c r="T2" s="48" t="s">
        <v>2833</v>
      </c>
      <c r="U2" s="43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V2" s="432"/>
      <c r="W2" s="432"/>
      <c r="X2" s="432"/>
      <c r="Y2" s="432"/>
      <c r="Z2" s="432"/>
      <c r="AA2" s="432"/>
      <c r="AB2" s="433"/>
      <c r="AC2" s="37"/>
      <c r="AD2" s="48" t="s">
        <v>2833</v>
      </c>
      <c r="AE2" s="43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AF2" s="432"/>
      <c r="AG2" s="432"/>
      <c r="AH2" s="432"/>
      <c r="AI2" s="432"/>
      <c r="AJ2" s="432"/>
      <c r="AK2" s="432"/>
      <c r="AL2" s="433"/>
    </row>
    <row r="3" spans="1:38" ht="40.5" customHeight="1" x14ac:dyDescent="0.3">
      <c r="A3" s="368" t="str">
        <f ca="1">IF(OFFSET(OFFSET(모듈!$A$1,0,MATCH("화찰정보가져오기기준셀",모듈!$1:$1,0)-1),5,4)="","",OFFSET(OFFSET(모듈!$A$1,0,MATCH("화찰정보가져오기기준셀",모듈!$1:$1,0)-1),5,4))</f>
        <v>날치알</v>
      </c>
      <c r="B3" s="369"/>
      <c r="C3" s="370" t="str">
        <f ca="1">IF(OFFSET(OFFSET(모듈!$A$1,0,MATCH("화찰정보가져오기기준셀",모듈!$1:$1,0)-1),5,5)="","",OFFSET(OFFSET(모듈!$A$1,0,MATCH("화찰정보가져오기기준셀",모듈!$1:$1,0)-1),5,5))</f>
        <v>10KG</v>
      </c>
      <c r="D3" s="371"/>
      <c r="E3" s="371"/>
      <c r="F3" s="371"/>
      <c r="G3" s="371"/>
      <c r="H3" s="371"/>
      <c r="I3" s="372"/>
      <c r="J3" s="37"/>
      <c r="K3" s="368" t="str">
        <f ca="1">IF(OFFSET(OFFSET(모듈!$A$1,0,MATCH("화찰정보가져오기기준셀",모듈!$1:$1,0)-1),6,4)="","",OFFSET(OFFSET(모듈!$A$1,0,MATCH("화찰정보가져오기기준셀",모듈!$1:$1,0)-1),6,4))</f>
        <v>날치알</v>
      </c>
      <c r="L3" s="369"/>
      <c r="M3" s="370" t="str">
        <f ca="1">IF(OFFSET(OFFSET(모듈!$A$1,0,MATCH("화찰정보가져오기기준셀",모듈!$1:$1,0)-1),6,5)="","",OFFSET(OFFSET(모듈!$A$1,0,MATCH("화찰정보가져오기기준셀",모듈!$1:$1,0)-1),6,5))</f>
        <v>10KG</v>
      </c>
      <c r="N3" s="371"/>
      <c r="O3" s="371"/>
      <c r="P3" s="371"/>
      <c r="Q3" s="371"/>
      <c r="R3" s="371"/>
      <c r="S3" s="372"/>
      <c r="T3" s="423" t="str">
        <f ca="1">IF(OFFSET(OFFSET(모듈!$A$1,0,MATCH("화찰정보가져오기기준셀",모듈!$1:$1,0)-1),5,4)="","",OFFSET(OFFSET(모듈!$A$1,0,MATCH("화찰정보가져오기기준셀",모듈!$1:$1,0)-1),5,4))</f>
        <v>날치알</v>
      </c>
      <c r="U3" s="424"/>
      <c r="V3" s="425" t="str">
        <f ca="1">IF(OFFSET(OFFSET(모듈!$A$1,0,MATCH("화찰정보가져오기기준셀",모듈!$1:$1,0)-1),5,5)="","",OFFSET(OFFSET(모듈!$A$1,0,MATCH("화찰정보가져오기기준셀",모듈!$1:$1,0)-1),5,5))</f>
        <v>10KG</v>
      </c>
      <c r="W3" s="426"/>
      <c r="X3" s="426"/>
      <c r="Y3" s="426"/>
      <c r="Z3" s="426"/>
      <c r="AA3" s="426"/>
      <c r="AB3" s="427"/>
      <c r="AC3" s="37"/>
      <c r="AD3" s="423" t="str">
        <f ca="1">IF(OFFSET(OFFSET(모듈!$A$1,0,MATCH("화찰정보가져오기기준셀",모듈!$1:$1,0)-1),6,4)="","",OFFSET(OFFSET(모듈!$A$1,0,MATCH("화찰정보가져오기기준셀",모듈!$1:$1,0)-1),6,4))</f>
        <v>날치알</v>
      </c>
      <c r="AE3" s="424"/>
      <c r="AF3" s="425" t="str">
        <f ca="1">IF(OFFSET(OFFSET(모듈!$A$1,0,MATCH("화찰정보가져오기기준셀",모듈!$1:$1,0)-1),6,5)="","",OFFSET(OFFSET(모듈!$A$1,0,MATCH("화찰정보가져오기기준셀",모듈!$1:$1,0)-1),6,5))</f>
        <v>10KG</v>
      </c>
      <c r="AG3" s="426"/>
      <c r="AH3" s="426"/>
      <c r="AI3" s="426"/>
      <c r="AJ3" s="426"/>
      <c r="AK3" s="426"/>
      <c r="AL3" s="427"/>
    </row>
    <row r="4" spans="1:38" ht="20.25" customHeight="1" x14ac:dyDescent="0.3">
      <c r="A4" s="373" t="s">
        <v>2834</v>
      </c>
      <c r="B4" s="375" t="str">
        <f ca="1">IF(OFFSET(OFFSET(모듈!$A$1,0,MATCH("화찰정보가져오기기준셀",모듈!$1:$1,0)-1),5,2)="","",OFFSET(OFFSET(모듈!$A$1,0,MATCH("화찰정보가져오기기준셀",모듈!$1:$1,0)-1),5,2))</f>
        <v>A</v>
      </c>
      <c r="C4" s="376"/>
      <c r="D4" s="376"/>
      <c r="E4" s="376"/>
      <c r="F4" s="380" t="s">
        <v>2835</v>
      </c>
      <c r="G4" s="380"/>
      <c r="H4" s="380"/>
      <c r="I4" s="49" t="str">
        <f ca="1">IF(OFFSET(OFFSET(모듈!$A$1,0,MATCH("화찰정보가져오기기준셀",모듈!$1:$1,0)-1),5,6)="","",OFFSET(OFFSET(모듈!$A$1,0,MATCH("화찰정보가져오기기준셀",모듈!$1:$1,0)-1),5,6))</f>
        <v/>
      </c>
      <c r="J4" s="37"/>
      <c r="K4" s="373" t="s">
        <v>2834</v>
      </c>
      <c r="L4" s="375" t="str">
        <f ca="1">IF(OFFSET(OFFSET(모듈!$A$1,0,MATCH("화찰정보가져오기기준셀",모듈!$1:$1,0)-1),6,2)="","",OFFSET(OFFSET(모듈!$A$1,0,MATCH("화찰정보가져오기기준셀",모듈!$1:$1,0)-1),6,2))</f>
        <v>B</v>
      </c>
      <c r="M4" s="376"/>
      <c r="N4" s="376"/>
      <c r="O4" s="376"/>
      <c r="P4" s="380" t="s">
        <v>2835</v>
      </c>
      <c r="Q4" s="380"/>
      <c r="R4" s="380"/>
      <c r="S4" s="49" t="str">
        <f ca="1">IF(OFFSET(OFFSET(모듈!$A$1,0,MATCH("화찰정보가져오기기준셀",모듈!$1:$1,0)-1),6,6)="","",OFFSET(OFFSET(모듈!$A$1,0,MATCH("화찰정보가져오기기준셀",모듈!$1:$1,0)-1),6,6))</f>
        <v/>
      </c>
      <c r="T4" s="373" t="s">
        <v>2834</v>
      </c>
      <c r="U4" s="375" t="str">
        <f ca="1">IF(OFFSET(OFFSET(모듈!$A$1,0,MATCH("화찰정보가져오기기준셀",모듈!$1:$1,0)-1),5,2)="","",OFFSET(OFFSET(모듈!$A$1,0,MATCH("화찰정보가져오기기준셀",모듈!$1:$1,0)-1),5,2))</f>
        <v>A</v>
      </c>
      <c r="V4" s="376"/>
      <c r="W4" s="376"/>
      <c r="X4" s="376"/>
      <c r="Y4" s="380" t="s">
        <v>2835</v>
      </c>
      <c r="Z4" s="380"/>
      <c r="AA4" s="380"/>
      <c r="AB4" s="49" t="str">
        <f ca="1">IF(OFFSET(OFFSET(모듈!$A$1,0,MATCH("화찰정보가져오기기준셀",모듈!$1:$1,0)-1),5,6)="","",OFFSET(OFFSET(모듈!$A$1,0,MATCH("화찰정보가져오기기준셀",모듈!$1:$1,0)-1),5,6))</f>
        <v/>
      </c>
      <c r="AC4" s="37"/>
      <c r="AD4" s="381" t="s">
        <v>2834</v>
      </c>
      <c r="AE4" s="413" t="str">
        <f ca="1">IF(OFFSET(OFFSET(모듈!$A$1,0,MATCH("화찰정보가져오기기준셀",모듈!$1:$1,0)-1),6,2)="","",OFFSET(OFFSET(모듈!$A$1,0,MATCH("화찰정보가져오기기준셀",모듈!$1:$1,0)-1),6,2))</f>
        <v>B</v>
      </c>
      <c r="AF4" s="414"/>
      <c r="AG4" s="414"/>
      <c r="AH4" s="414"/>
      <c r="AI4" s="388" t="s">
        <v>2835</v>
      </c>
      <c r="AJ4" s="388"/>
      <c r="AK4" s="388"/>
      <c r="AL4" s="50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 x14ac:dyDescent="0.3">
      <c r="A5" s="374"/>
      <c r="B5" s="377"/>
      <c r="C5" s="378"/>
      <c r="D5" s="378"/>
      <c r="E5" s="378"/>
      <c r="F5" s="316" t="s">
        <v>2836</v>
      </c>
      <c r="G5" s="318"/>
      <c r="H5" s="345">
        <f ca="1">IF(OFFSET(OFFSET(모듈!$A$1,0,MATCH("화찰정보가져오기기준셀",모듈!$1:$1,0)-1),5,14)="","",OFFSET(OFFSET(모듈!$A$1,0,MATCH("화찰정보가져오기기준셀",모듈!$1:$1,0)-1),5,14))</f>
        <v>1800</v>
      </c>
      <c r="I5" s="346"/>
      <c r="J5" s="37"/>
      <c r="K5" s="374"/>
      <c r="L5" s="377"/>
      <c r="M5" s="378"/>
      <c r="N5" s="378"/>
      <c r="O5" s="378"/>
      <c r="P5" s="316" t="s">
        <v>2836</v>
      </c>
      <c r="Q5" s="318"/>
      <c r="R5" s="345">
        <f ca="1">IF(OFFSET(OFFSET(모듈!$A$1,0,MATCH("화찰정보가져오기기준셀",모듈!$1:$1,0)-1),6,14)="","",OFFSET(OFFSET(모듈!$A$1,0,MATCH("화찰정보가져오기기준셀",모듈!$1:$1,0)-1),6,14))</f>
        <v>1800</v>
      </c>
      <c r="S5" s="346"/>
      <c r="T5" s="374"/>
      <c r="U5" s="377"/>
      <c r="V5" s="378"/>
      <c r="W5" s="378"/>
      <c r="X5" s="378"/>
      <c r="Y5" s="316" t="s">
        <v>2836</v>
      </c>
      <c r="Z5" s="318"/>
      <c r="AA5" s="345">
        <f ca="1">IF(OFFSET(OFFSET(모듈!$A$1,0,MATCH("화찰정보가져오기기준셀",모듈!$1:$1,0)-1),5,14)="","",OFFSET(OFFSET(모듈!$A$1,0,MATCH("화찰정보가져오기기준셀",모듈!$1:$1,0)-1),5,14))</f>
        <v>1800</v>
      </c>
      <c r="AB5" s="346"/>
      <c r="AC5" s="37"/>
      <c r="AD5" s="382"/>
      <c r="AE5" s="415"/>
      <c r="AF5" s="416"/>
      <c r="AG5" s="416"/>
      <c r="AH5" s="416"/>
      <c r="AI5" s="341" t="s">
        <v>2836</v>
      </c>
      <c r="AJ5" s="342"/>
      <c r="AK5" s="343">
        <f ca="1">IF(OFFSET(OFFSET(모듈!$A$1,0,MATCH("화찰정보가져오기기준셀",모듈!$1:$1,0)-1),6,14)="","",OFFSET(OFFSET(모듈!$A$1,0,MATCH("화찰정보가져오기기준셀",모듈!$1:$1,0)-1),6,14))</f>
        <v>1800</v>
      </c>
      <c r="AL5" s="344"/>
    </row>
    <row r="6" spans="1:38" ht="40.15" customHeight="1" x14ac:dyDescent="0.3">
      <c r="A6" s="374"/>
      <c r="B6" s="377"/>
      <c r="C6" s="378"/>
      <c r="D6" s="378"/>
      <c r="E6" s="378"/>
      <c r="F6" s="347" t="s">
        <v>2837</v>
      </c>
      <c r="G6" s="349" t="str">
        <f ca="1">IF(OFFSET(OFFSET(모듈!$A$1,0,MATCH("화찰정보가져오기기준셀",모듈!$1:$1,0)-1),5,3)="","",OFFSET(OFFSET(모듈!$A$1,0,MATCH("화찰정보가져오기기준셀",모듈!$1:$1,0)-1),5,3))</f>
        <v>B-1</v>
      </c>
      <c r="H6" s="363"/>
      <c r="I6" s="364"/>
      <c r="J6" s="37"/>
      <c r="K6" s="374"/>
      <c r="L6" s="377"/>
      <c r="M6" s="378"/>
      <c r="N6" s="378"/>
      <c r="O6" s="378"/>
      <c r="P6" s="347" t="s">
        <v>2837</v>
      </c>
      <c r="Q6" s="349" t="str">
        <f ca="1">IF(OFFSET(OFFSET(모듈!$A$1,0,MATCH("화찰정보가져오기기준셀",모듈!$1:$1,0)-1),6,3)="","",OFFSET(OFFSET(모듈!$A$1,0,MATCH("화찰정보가져오기기준셀",모듈!$1:$1,0)-1),6,3))</f>
        <v>B-1</v>
      </c>
      <c r="R6" s="350"/>
      <c r="S6" s="351"/>
      <c r="T6" s="374"/>
      <c r="U6" s="377"/>
      <c r="V6" s="378"/>
      <c r="W6" s="378"/>
      <c r="X6" s="378"/>
      <c r="Y6" s="347" t="s">
        <v>2837</v>
      </c>
      <c r="Z6" s="349" t="str">
        <f ca="1">IF(OFFSET(OFFSET(모듈!$A$1,0,MATCH("화찰정보가져오기기준셀",모듈!$1:$1,0)-1),5,3)="","",OFFSET(OFFSET(모듈!$A$1,0,MATCH("화찰정보가져오기기준셀",모듈!$1:$1,0)-1),5,3))</f>
        <v>B-1</v>
      </c>
      <c r="AA6" s="350"/>
      <c r="AB6" s="351"/>
      <c r="AC6" s="37"/>
      <c r="AD6" s="382"/>
      <c r="AE6" s="415"/>
      <c r="AF6" s="416"/>
      <c r="AG6" s="416"/>
      <c r="AH6" s="416"/>
      <c r="AI6" s="355" t="s">
        <v>2837</v>
      </c>
      <c r="AJ6" s="357" t="str">
        <f ca="1">IF(OFFSET(OFFSET(모듈!$A$1,0,MATCH("화찰정보가져오기기준셀",모듈!$1:$1,0)-1),6,3)="","",OFFSET(OFFSET(모듈!$A$1,0,MATCH("화찰정보가져오기기준셀",모듈!$1:$1,0)-1),6,3))</f>
        <v>B-1</v>
      </c>
      <c r="AK6" s="418"/>
      <c r="AL6" s="419"/>
    </row>
    <row r="7" spans="1:38" ht="40.15" customHeight="1" x14ac:dyDescent="0.3">
      <c r="A7" s="374"/>
      <c r="B7" s="377"/>
      <c r="C7" s="379"/>
      <c r="D7" s="379"/>
      <c r="E7" s="379"/>
      <c r="F7" s="348"/>
      <c r="G7" s="365"/>
      <c r="H7" s="366"/>
      <c r="I7" s="367"/>
      <c r="J7" s="37"/>
      <c r="K7" s="374"/>
      <c r="L7" s="377"/>
      <c r="M7" s="379"/>
      <c r="N7" s="379"/>
      <c r="O7" s="379"/>
      <c r="P7" s="348"/>
      <c r="Q7" s="352"/>
      <c r="R7" s="353"/>
      <c r="S7" s="354"/>
      <c r="T7" s="374"/>
      <c r="U7" s="377"/>
      <c r="V7" s="379"/>
      <c r="W7" s="379"/>
      <c r="X7" s="379"/>
      <c r="Y7" s="348"/>
      <c r="Z7" s="352"/>
      <c r="AA7" s="353"/>
      <c r="AB7" s="354"/>
      <c r="AC7" s="37"/>
      <c r="AD7" s="382"/>
      <c r="AE7" s="415"/>
      <c r="AF7" s="417"/>
      <c r="AG7" s="417"/>
      <c r="AH7" s="417"/>
      <c r="AI7" s="356"/>
      <c r="AJ7" s="420"/>
      <c r="AK7" s="421"/>
      <c r="AL7" s="422"/>
    </row>
    <row r="8" spans="1:38" ht="30" customHeight="1" x14ac:dyDescent="0.3">
      <c r="A8" s="329" t="s">
        <v>2838</v>
      </c>
      <c r="B8" s="330"/>
      <c r="C8" s="331">
        <f ca="1">IF(OFFSET(OFFSET(모듈!$A$1,0,MATCH("화찰정보가져오기기준셀",모듈!$1:$1,0)-1),5,1)="","",OFFSET(OFFSET(모듈!$A$1,0,MATCH("화찰정보가져오기기준셀",모듈!$1:$1,0)-1),5,1))</f>
        <v>46013</v>
      </c>
      <c r="D8" s="332"/>
      <c r="E8" s="332"/>
      <c r="F8" s="332"/>
      <c r="G8" s="333"/>
      <c r="H8" s="316" t="s">
        <v>2839</v>
      </c>
      <c r="I8" s="318"/>
      <c r="J8" s="37"/>
      <c r="K8" s="329" t="s">
        <v>2838</v>
      </c>
      <c r="L8" s="330"/>
      <c r="M8" s="331">
        <f ca="1">IF(OFFSET(OFFSET(모듈!$A$1,0,MATCH("화찰정보가져오기기준셀",모듈!$1:$1,0)-1),6,1)="","",OFFSET(OFFSET(모듈!$A$1,0,MATCH("화찰정보가져오기기준셀",모듈!$1:$1,0)-1),6,1))</f>
        <v>46013</v>
      </c>
      <c r="N8" s="332"/>
      <c r="O8" s="332"/>
      <c r="P8" s="332"/>
      <c r="Q8" s="333"/>
      <c r="R8" s="316" t="s">
        <v>2839</v>
      </c>
      <c r="S8" s="318"/>
      <c r="T8" s="401" t="s">
        <v>2838</v>
      </c>
      <c r="U8" s="402"/>
      <c r="V8" s="403">
        <f ca="1">IF(OFFSET(OFFSET(모듈!$A$1,0,MATCH("화찰정보가져오기기준셀",모듈!$1:$1,0)-1),5,1)="","",OFFSET(OFFSET(모듈!$A$1,0,MATCH("화찰정보가져오기기준셀",모듈!$1:$1,0)-1),5,1))</f>
        <v>46013</v>
      </c>
      <c r="W8" s="404"/>
      <c r="X8" s="404"/>
      <c r="Y8" s="404"/>
      <c r="Z8" s="405"/>
      <c r="AA8" s="341" t="s">
        <v>2839</v>
      </c>
      <c r="AB8" s="342"/>
      <c r="AC8" s="37"/>
      <c r="AD8" s="401" t="s">
        <v>2838</v>
      </c>
      <c r="AE8" s="402"/>
      <c r="AF8" s="403">
        <f ca="1">IF(OFFSET(OFFSET(모듈!$A$1,0,MATCH("화찰정보가져오기기준셀",모듈!$1:$1,0)-1),6,1)="","",OFFSET(OFFSET(모듈!$A$1,0,MATCH("화찰정보가져오기기준셀",모듈!$1:$1,0)-1),6,1))</f>
        <v>46013</v>
      </c>
      <c r="AG8" s="404"/>
      <c r="AH8" s="404"/>
      <c r="AI8" s="404"/>
      <c r="AJ8" s="405"/>
      <c r="AK8" s="341" t="s">
        <v>2839</v>
      </c>
      <c r="AL8" s="342"/>
    </row>
    <row r="9" spans="1:38" ht="30" customHeight="1" x14ac:dyDescent="0.3">
      <c r="A9" s="337">
        <f ca="1">IFERROR(YEAR(C8),YEAR(TODAY()))</f>
        <v>2025</v>
      </c>
      <c r="B9" s="338"/>
      <c r="C9" s="334"/>
      <c r="D9" s="335"/>
      <c r="E9" s="335"/>
      <c r="F9" s="335"/>
      <c r="G9" s="336"/>
      <c r="H9" s="339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I9" s="340"/>
      <c r="J9" s="37"/>
      <c r="K9" s="337">
        <f ca="1">IFERROR(YEAR(M8),YEAR(TODAY()))</f>
        <v>2025</v>
      </c>
      <c r="L9" s="338"/>
      <c r="M9" s="334"/>
      <c r="N9" s="335"/>
      <c r="O9" s="335"/>
      <c r="P9" s="335"/>
      <c r="Q9" s="336"/>
      <c r="R9" s="339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S9" s="340"/>
      <c r="T9" s="409">
        <f ca="1">IFERROR(YEAR(V8),YEAR(TODAY()))</f>
        <v>2025</v>
      </c>
      <c r="U9" s="410"/>
      <c r="V9" s="406"/>
      <c r="W9" s="407"/>
      <c r="X9" s="407"/>
      <c r="Y9" s="407"/>
      <c r="Z9" s="408"/>
      <c r="AA9" s="41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AB9" s="412"/>
      <c r="AC9" s="37"/>
      <c r="AD9" s="409">
        <f ca="1">IFERROR(YEAR(AF8),YEAR(TODAY()))</f>
        <v>2025</v>
      </c>
      <c r="AE9" s="410"/>
      <c r="AF9" s="406"/>
      <c r="AG9" s="407"/>
      <c r="AH9" s="407"/>
      <c r="AI9" s="407"/>
      <c r="AJ9" s="408"/>
      <c r="AK9" s="411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AL9" s="412"/>
    </row>
    <row r="10" spans="1:38" ht="27.75" customHeight="1" x14ac:dyDescent="0.3">
      <c r="A10" s="325" t="s">
        <v>2840</v>
      </c>
      <c r="B10" s="326"/>
      <c r="C10" s="327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D10" s="327"/>
      <c r="E10" s="327"/>
      <c r="F10" s="327"/>
      <c r="G10" s="327"/>
      <c r="H10" s="327"/>
      <c r="I10" s="327"/>
      <c r="J10" s="37"/>
      <c r="K10" s="325" t="s">
        <v>2840</v>
      </c>
      <c r="L10" s="326"/>
      <c r="M10" s="327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N10" s="327"/>
      <c r="O10" s="327"/>
      <c r="P10" s="327"/>
      <c r="Q10" s="327"/>
      <c r="R10" s="327"/>
      <c r="S10" s="327"/>
      <c r="T10" s="397" t="s">
        <v>2840</v>
      </c>
      <c r="U10" s="398"/>
      <c r="V10" s="399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W10" s="399"/>
      <c r="X10" s="399"/>
      <c r="Y10" s="399"/>
      <c r="Z10" s="399"/>
      <c r="AA10" s="399"/>
      <c r="AB10" s="399"/>
      <c r="AC10" s="37"/>
      <c r="AD10" s="397" t="s">
        <v>2840</v>
      </c>
      <c r="AE10" s="398"/>
      <c r="AF10" s="399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AG10" s="399"/>
      <c r="AH10" s="399"/>
      <c r="AI10" s="399"/>
      <c r="AJ10" s="399"/>
      <c r="AK10" s="399"/>
      <c r="AL10" s="399"/>
    </row>
    <row r="11" spans="1:38" ht="27.75" customHeight="1" x14ac:dyDescent="0.3">
      <c r="A11" s="316" t="s">
        <v>2841</v>
      </c>
      <c r="B11" s="318"/>
      <c r="C11" s="328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D11" s="328"/>
      <c r="E11" s="328"/>
      <c r="F11" s="328"/>
      <c r="G11" s="328"/>
      <c r="H11" s="328"/>
      <c r="I11" s="328"/>
      <c r="J11" s="37"/>
      <c r="K11" s="316" t="s">
        <v>2841</v>
      </c>
      <c r="L11" s="318"/>
      <c r="M11" s="328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N11" s="328"/>
      <c r="O11" s="328"/>
      <c r="P11" s="328"/>
      <c r="Q11" s="328"/>
      <c r="R11" s="328"/>
      <c r="S11" s="328"/>
      <c r="T11" s="341" t="s">
        <v>2841</v>
      </c>
      <c r="U11" s="342"/>
      <c r="V11" s="400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W11" s="400"/>
      <c r="X11" s="400"/>
      <c r="Y11" s="400"/>
      <c r="Z11" s="400"/>
      <c r="AA11" s="400"/>
      <c r="AB11" s="400"/>
      <c r="AC11" s="37"/>
      <c r="AD11" s="341" t="s">
        <v>2841</v>
      </c>
      <c r="AE11" s="342"/>
      <c r="AF11" s="400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AG11" s="400"/>
      <c r="AH11" s="400"/>
      <c r="AI11" s="400"/>
      <c r="AJ11" s="400"/>
      <c r="AK11" s="400"/>
      <c r="AL11" s="400"/>
    </row>
    <row r="12" spans="1:38" ht="27.75" customHeight="1" x14ac:dyDescent="0.3">
      <c r="A12" s="316" t="s">
        <v>2842</v>
      </c>
      <c r="B12" s="318"/>
      <c r="C12" s="324">
        <f ca="1">IF(OFFSET(OFFSET(모듈!$A$1,0,MATCH("화찰정보가져오기기준셀",모듈!$1:$1,0)-1),5,15)="","",OFFSET(OFFSET(모듈!$A$1,0,MATCH("화찰정보가져오기기준셀",모듈!$1:$1,0)-1),5,15))</f>
        <v>21600</v>
      </c>
      <c r="D12" s="324"/>
      <c r="E12" s="40" t="s">
        <v>2843</v>
      </c>
      <c r="F12" s="316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G12" s="317"/>
      <c r="H12" s="317"/>
      <c r="I12" s="318"/>
      <c r="J12" s="37"/>
      <c r="K12" s="316" t="s">
        <v>2842</v>
      </c>
      <c r="L12" s="318"/>
      <c r="M12" s="324">
        <f ca="1">IF(OFFSET(OFFSET(모듈!$A$1,0,MATCH("화찰정보가져오기기준셀",모듈!$1:$1,0)-1),6,15)="","",OFFSET(OFFSET(모듈!$A$1,0,MATCH("화찰정보가져오기기준셀",모듈!$1:$1,0)-1),6,15))</f>
        <v>21600</v>
      </c>
      <c r="N12" s="324"/>
      <c r="O12" s="40" t="s">
        <v>2843</v>
      </c>
      <c r="P12" s="316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Q12" s="317"/>
      <c r="R12" s="317"/>
      <c r="S12" s="318"/>
      <c r="T12" s="341" t="s">
        <v>2842</v>
      </c>
      <c r="U12" s="342"/>
      <c r="V12" s="395">
        <f ca="1">IF(OFFSET(OFFSET(모듈!$A$1,0,MATCH("화찰정보가져오기기준셀",모듈!$1:$1,0)-1),5,15)="","",OFFSET(OFFSET(모듈!$A$1,0,MATCH("화찰정보가져오기기준셀",모듈!$1:$1,0)-1),5,15))</f>
        <v>21600</v>
      </c>
      <c r="W12" s="395"/>
      <c r="X12" s="51" t="s">
        <v>2843</v>
      </c>
      <c r="Y12" s="341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Z12" s="396"/>
      <c r="AA12" s="396"/>
      <c r="AB12" s="342"/>
      <c r="AC12" s="37"/>
      <c r="AD12" s="341" t="s">
        <v>2842</v>
      </c>
      <c r="AE12" s="342"/>
      <c r="AF12" s="395">
        <f ca="1">IF(OFFSET(OFFSET(모듈!$A$1,0,MATCH("화찰정보가져오기기준셀",모듈!$1:$1,0)-1),6,15)="","",OFFSET(OFFSET(모듈!$A$1,0,MATCH("화찰정보가져오기기준셀",모듈!$1:$1,0)-1),6,15))</f>
        <v>21600</v>
      </c>
      <c r="AG12" s="395"/>
      <c r="AH12" s="51" t="s">
        <v>2843</v>
      </c>
      <c r="AI12" s="341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AJ12" s="396"/>
      <c r="AK12" s="396"/>
      <c r="AL12" s="342"/>
    </row>
    <row r="13" spans="1:38" ht="25.5" customHeight="1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</row>
    <row r="14" spans="1:38" ht="26.25" customHeight="1" x14ac:dyDescent="0.3">
      <c r="A14" s="389" t="s">
        <v>2832</v>
      </c>
      <c r="B14" s="390"/>
      <c r="C14" s="390"/>
      <c r="D14" s="390"/>
      <c r="E14" s="390"/>
      <c r="F14" s="390"/>
      <c r="G14" s="390"/>
      <c r="H14" s="390"/>
      <c r="I14" s="391"/>
      <c r="J14" s="37"/>
      <c r="K14" s="389" t="s">
        <v>2832</v>
      </c>
      <c r="L14" s="390"/>
      <c r="M14" s="390"/>
      <c r="N14" s="390"/>
      <c r="O14" s="390"/>
      <c r="P14" s="390"/>
      <c r="Q14" s="390"/>
      <c r="R14" s="390"/>
      <c r="S14" s="391"/>
      <c r="T14" s="389" t="s">
        <v>2832</v>
      </c>
      <c r="U14" s="390"/>
      <c r="V14" s="390"/>
      <c r="W14" s="390"/>
      <c r="X14" s="390"/>
      <c r="Y14" s="390"/>
      <c r="Z14" s="390"/>
      <c r="AA14" s="390"/>
      <c r="AB14" s="391"/>
      <c r="AC14" s="37"/>
      <c r="AD14" s="389" t="s">
        <v>2832</v>
      </c>
      <c r="AE14" s="390"/>
      <c r="AF14" s="390"/>
      <c r="AG14" s="390"/>
      <c r="AH14" s="390"/>
      <c r="AI14" s="390"/>
      <c r="AJ14" s="390"/>
      <c r="AK14" s="390"/>
      <c r="AL14" s="391"/>
    </row>
    <row r="15" spans="1:38" ht="55.5" customHeight="1" x14ac:dyDescent="0.3">
      <c r="A15" s="47" t="s">
        <v>2833</v>
      </c>
      <c r="B15" s="392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C15" s="393"/>
      <c r="D15" s="393"/>
      <c r="E15" s="393"/>
      <c r="F15" s="393"/>
      <c r="G15" s="393"/>
      <c r="H15" s="393"/>
      <c r="I15" s="394"/>
      <c r="J15" s="37"/>
      <c r="K15" s="47" t="s">
        <v>2833</v>
      </c>
      <c r="L15" s="392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M15" s="393"/>
      <c r="N15" s="393"/>
      <c r="O15" s="393"/>
      <c r="P15" s="393"/>
      <c r="Q15" s="393"/>
      <c r="R15" s="393"/>
      <c r="S15" s="394"/>
      <c r="T15" s="47" t="s">
        <v>2833</v>
      </c>
      <c r="U15" s="392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V15" s="393"/>
      <c r="W15" s="393"/>
      <c r="X15" s="393"/>
      <c r="Y15" s="393"/>
      <c r="Z15" s="393"/>
      <c r="AA15" s="393"/>
      <c r="AB15" s="394"/>
      <c r="AC15" s="37"/>
      <c r="AD15" s="47" t="s">
        <v>2833</v>
      </c>
      <c r="AE15" s="392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AF15" s="393"/>
      <c r="AG15" s="393"/>
      <c r="AH15" s="393"/>
      <c r="AI15" s="393"/>
      <c r="AJ15" s="393"/>
      <c r="AK15" s="393"/>
      <c r="AL15" s="394"/>
    </row>
    <row r="16" spans="1:38" ht="40.5" customHeight="1" x14ac:dyDescent="0.3">
      <c r="A16" s="368" t="str">
        <f ca="1">IF(OFFSET(OFFSET(모듈!$A$1,0,MATCH("화찰정보가져오기기준셀",모듈!$1:$1,0)-1),7,4)="","",OFFSET(OFFSET(모듈!$A$1,0,MATCH("화찰정보가져오기기준셀",모듈!$1:$1,0)-1),7,4))</f>
        <v>날치알</v>
      </c>
      <c r="B16" s="369"/>
      <c r="C16" s="370" t="str">
        <f ca="1">IF(OFFSET(OFFSET(모듈!$A$1,0,MATCH("화찰정보가져오기기준셀",모듈!$1:$1,0)-1),7,5)="","",OFFSET(OFFSET(모듈!$A$1,0,MATCH("화찰정보가져오기기준셀",모듈!$1:$1,0)-1),7,5))</f>
        <v>10KG</v>
      </c>
      <c r="D16" s="371"/>
      <c r="E16" s="371"/>
      <c r="F16" s="371"/>
      <c r="G16" s="371"/>
      <c r="H16" s="371"/>
      <c r="I16" s="372"/>
      <c r="J16" s="37"/>
      <c r="K16" s="368" t="str">
        <f ca="1">IF(OFFSET(OFFSET(모듈!$A$1,0,MATCH("화찰정보가져오기기준셀",모듈!$1:$1,0)-1),8,4)="","",OFFSET(OFFSET(모듈!$A$1,0,MATCH("화찰정보가져오기기준셀",모듈!$1:$1,0)-1),8,4))</f>
        <v>날치알</v>
      </c>
      <c r="L16" s="369"/>
      <c r="M16" s="370" t="str">
        <f ca="1">IF(OFFSET(OFFSET(모듈!$A$1,0,MATCH("화찰정보가져오기기준셀",모듈!$1:$1,0)-1),8,5)="","",OFFSET(OFFSET(모듈!$A$1,0,MATCH("화찰정보가져오기기준셀",모듈!$1:$1,0)-1),8,5))</f>
        <v>10KG</v>
      </c>
      <c r="N16" s="371"/>
      <c r="O16" s="371"/>
      <c r="P16" s="371"/>
      <c r="Q16" s="371"/>
      <c r="R16" s="371"/>
      <c r="S16" s="372"/>
      <c r="T16" s="368" t="str">
        <f ca="1">IF(OFFSET(OFFSET(모듈!$A$1,0,MATCH("화찰정보가져오기기준셀",모듈!$1:$1,0)-1),7,4)="","",OFFSET(OFFSET(모듈!$A$1,0,MATCH("화찰정보가져오기기준셀",모듈!$1:$1,0)-1),7,4))</f>
        <v>날치알</v>
      </c>
      <c r="U16" s="369"/>
      <c r="V16" s="370" t="str">
        <f ca="1">IF(OFFSET(OFFSET(모듈!$A$1,0,MATCH("화찰정보가져오기기준셀",모듈!$1:$1,0)-1),7,5)="","",OFFSET(OFFSET(모듈!$A$1,0,MATCH("화찰정보가져오기기준셀",모듈!$1:$1,0)-1),7,5))</f>
        <v>10KG</v>
      </c>
      <c r="W16" s="371"/>
      <c r="X16" s="371"/>
      <c r="Y16" s="371"/>
      <c r="Z16" s="371"/>
      <c r="AA16" s="371"/>
      <c r="AB16" s="372"/>
      <c r="AC16" s="37"/>
      <c r="AD16" s="368" t="str">
        <f ca="1">IF(OFFSET(OFFSET(모듈!$A$1,0,MATCH("화찰정보가져오기기준셀",모듈!$1:$1,0)-1),8,4)="","",OFFSET(OFFSET(모듈!$A$1,0,MATCH("화찰정보가져오기기준셀",모듈!$1:$1,0)-1),8,4))</f>
        <v>날치알</v>
      </c>
      <c r="AE16" s="369"/>
      <c r="AF16" s="370" t="str">
        <f ca="1">IF(OFFSET(OFFSET(모듈!$A$1,0,MATCH("화찰정보가져오기기준셀",모듈!$1:$1,0)-1),8,5)="","",OFFSET(OFFSET(모듈!$A$1,0,MATCH("화찰정보가져오기기준셀",모듈!$1:$1,0)-1),8,5))</f>
        <v>10KG</v>
      </c>
      <c r="AG16" s="371"/>
      <c r="AH16" s="371"/>
      <c r="AI16" s="371"/>
      <c r="AJ16" s="371"/>
      <c r="AK16" s="371"/>
      <c r="AL16" s="372"/>
    </row>
    <row r="17" spans="1:38" ht="20.25" customHeight="1" x14ac:dyDescent="0.3">
      <c r="A17" s="373" t="s">
        <v>2834</v>
      </c>
      <c r="B17" s="375" t="str">
        <f ca="1">IF(OFFSET(OFFSET(모듈!$A$1,0,MATCH("화찰정보가져오기기준셀",모듈!$1:$1,0)-1),7,2)="","",OFFSET(OFFSET(모듈!$A$1,0,MATCH("화찰정보가져오기기준셀",모듈!$1:$1,0)-1),7,2))</f>
        <v>C</v>
      </c>
      <c r="C17" s="376"/>
      <c r="D17" s="376"/>
      <c r="E17" s="376"/>
      <c r="F17" s="380" t="s">
        <v>2835</v>
      </c>
      <c r="G17" s="380"/>
      <c r="H17" s="380"/>
      <c r="I17" s="49" t="str">
        <f ca="1">IF(OFFSET(OFFSET(모듈!$A$1,0,MATCH("화찰정보가져오기기준셀",모듈!$1:$1,0)-1),7,6)="","",OFFSET(OFFSET(모듈!$A$1,0,MATCH("화찰정보가져오기기준셀",모듈!$1:$1,0)-1),7,6))</f>
        <v/>
      </c>
      <c r="J17" s="37"/>
      <c r="K17" s="373" t="s">
        <v>2834</v>
      </c>
      <c r="L17" s="375" t="str">
        <f ca="1">IF(OFFSET(OFFSET(모듈!$A$1,0,MATCH("화찰정보가져오기기준셀",모듈!$1:$1,0)-1),8,2)="","",OFFSET(OFFSET(모듈!$A$1,0,MATCH("화찰정보가져오기기준셀",모듈!$1:$1,0)-1),8,2))</f>
        <v>D</v>
      </c>
      <c r="M17" s="376"/>
      <c r="N17" s="376"/>
      <c r="O17" s="376"/>
      <c r="P17" s="380" t="s">
        <v>2835</v>
      </c>
      <c r="Q17" s="380"/>
      <c r="R17" s="380"/>
      <c r="S17" s="49" t="str">
        <f ca="1">IF(OFFSET(OFFSET(모듈!$A$1,0,MATCH("화찰정보가져오기기준셀",모듈!$1:$1,0)-1),8,6)="","",OFFSET(OFFSET(모듈!$A$1,0,MATCH("화찰정보가져오기기준셀",모듈!$1:$1,0)-1),8,6))</f>
        <v/>
      </c>
      <c r="T17" s="381" t="s">
        <v>2834</v>
      </c>
      <c r="U17" s="383" t="str">
        <f ca="1">IF(OFFSET(OFFSET(모듈!$A$1,0,MATCH("화찰정보가져오기기준셀",모듈!$1:$1,0)-1),7,2)="","",OFFSET(OFFSET(모듈!$A$1,0,MATCH("화찰정보가져오기기준셀",모듈!$1:$1,0)-1),7,2))</f>
        <v>C</v>
      </c>
      <c r="V17" s="384"/>
      <c r="W17" s="384"/>
      <c r="X17" s="384"/>
      <c r="Y17" s="388" t="s">
        <v>2835</v>
      </c>
      <c r="Z17" s="388"/>
      <c r="AA17" s="388"/>
      <c r="AB17" s="50" t="str">
        <f ca="1">IF(OFFSET(OFFSET(모듈!$A$1,0,MATCH("화찰정보가져오기기준셀",모듈!$1:$1,0)-1),7,6)="","",OFFSET(OFFSET(모듈!$A$1,0,MATCH("화찰정보가져오기기준셀",모듈!$1:$1,0)-1),7,6))</f>
        <v/>
      </c>
      <c r="AC17" s="37"/>
      <c r="AD17" s="373" t="s">
        <v>2834</v>
      </c>
      <c r="AE17" s="375" t="str">
        <f ca="1">IF(OFFSET(OFFSET(모듈!$A$1,0,MATCH("화찰정보가져오기기준셀",모듈!$1:$1,0)-1),8,2)="","",OFFSET(OFFSET(모듈!$A$1,0,MATCH("화찰정보가져오기기준셀",모듈!$1:$1,0)-1),8,2))</f>
        <v>D</v>
      </c>
      <c r="AF17" s="376"/>
      <c r="AG17" s="376"/>
      <c r="AH17" s="376"/>
      <c r="AI17" s="380" t="s">
        <v>2835</v>
      </c>
      <c r="AJ17" s="380"/>
      <c r="AK17" s="380"/>
      <c r="AL17" s="49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 x14ac:dyDescent="0.3">
      <c r="A18" s="374"/>
      <c r="B18" s="377"/>
      <c r="C18" s="378"/>
      <c r="D18" s="378"/>
      <c r="E18" s="378"/>
      <c r="F18" s="316" t="s">
        <v>2836</v>
      </c>
      <c r="G18" s="318"/>
      <c r="H18" s="345">
        <f ca="1">IF(OFFSET(OFFSET(모듈!$A$1,0,MATCH("화찰정보가져오기기준셀",모듈!$1:$1,0)-1),7,14)="","",OFFSET(OFFSET(모듈!$A$1,0,MATCH("화찰정보가져오기기준셀",모듈!$1:$1,0)-1),7,14))</f>
        <v>1800</v>
      </c>
      <c r="I18" s="346"/>
      <c r="J18" s="37"/>
      <c r="K18" s="374"/>
      <c r="L18" s="377"/>
      <c r="M18" s="378"/>
      <c r="N18" s="378"/>
      <c r="O18" s="378"/>
      <c r="P18" s="316" t="s">
        <v>2836</v>
      </c>
      <c r="Q18" s="318"/>
      <c r="R18" s="345">
        <f ca="1">IF(OFFSET(OFFSET(모듈!$A$1,0,MATCH("화찰정보가져오기기준셀",모듈!$1:$1,0)-1),8,14)="","",OFFSET(OFFSET(모듈!$A$1,0,MATCH("화찰정보가져오기기준셀",모듈!$1:$1,0)-1),8,14))</f>
        <v>1800</v>
      </c>
      <c r="S18" s="346"/>
      <c r="T18" s="382"/>
      <c r="U18" s="385"/>
      <c r="V18" s="386"/>
      <c r="W18" s="386"/>
      <c r="X18" s="386"/>
      <c r="Y18" s="341" t="s">
        <v>2836</v>
      </c>
      <c r="Z18" s="342"/>
      <c r="AA18" s="343">
        <f ca="1">IF(OFFSET(OFFSET(모듈!$A$1,0,MATCH("화찰정보가져오기기준셀",모듈!$1:$1,0)-1),7,14)="","",OFFSET(OFFSET(모듈!$A$1,0,MATCH("화찰정보가져오기기준셀",모듈!$1:$1,0)-1),7,14))</f>
        <v>1800</v>
      </c>
      <c r="AB18" s="344"/>
      <c r="AC18" s="37"/>
      <c r="AD18" s="374"/>
      <c r="AE18" s="377"/>
      <c r="AF18" s="378"/>
      <c r="AG18" s="378"/>
      <c r="AH18" s="378"/>
      <c r="AI18" s="316" t="s">
        <v>2836</v>
      </c>
      <c r="AJ18" s="318"/>
      <c r="AK18" s="345">
        <f ca="1">IF(OFFSET(OFFSET(모듈!$A$1,0,MATCH("화찰정보가져오기기준셀",모듈!$1:$1,0)-1),8,14)="","",OFFSET(OFFSET(모듈!$A$1,0,MATCH("화찰정보가져오기기준셀",모듈!$1:$1,0)-1),8,14))</f>
        <v>1800</v>
      </c>
      <c r="AL18" s="346"/>
    </row>
    <row r="19" spans="1:38" ht="40.15" customHeight="1" x14ac:dyDescent="0.3">
      <c r="A19" s="374"/>
      <c r="B19" s="377"/>
      <c r="C19" s="378"/>
      <c r="D19" s="378"/>
      <c r="E19" s="378"/>
      <c r="F19" s="347" t="s">
        <v>2837</v>
      </c>
      <c r="G19" s="349" t="str">
        <f ca="1">IF(OFFSET(OFFSET(모듈!$A$1,0,MATCH("화찰정보가져오기기준셀",모듈!$1:$1,0)-1),7,3)="","",OFFSET(OFFSET(모듈!$A$1,0,MATCH("화찰정보가져오기기준셀",모듈!$1:$1,0)-1),7,3))</f>
        <v>B-1</v>
      </c>
      <c r="H19" s="350"/>
      <c r="I19" s="351"/>
      <c r="J19" s="37"/>
      <c r="K19" s="374"/>
      <c r="L19" s="377"/>
      <c r="M19" s="378"/>
      <c r="N19" s="378"/>
      <c r="O19" s="378"/>
      <c r="P19" s="347" t="s">
        <v>2837</v>
      </c>
      <c r="Q19" s="349" t="str">
        <f ca="1">IF(OFFSET(OFFSET(모듈!$A$1,0,MATCH("화찰정보가져오기기준셀",모듈!$1:$1,0)-1),8,3)="","",OFFSET(OFFSET(모듈!$A$1,0,MATCH("화찰정보가져오기기준셀",모듈!$1:$1,0)-1),8,3))</f>
        <v>B-1</v>
      </c>
      <c r="R19" s="350"/>
      <c r="S19" s="351"/>
      <c r="T19" s="382"/>
      <c r="U19" s="385"/>
      <c r="V19" s="386"/>
      <c r="W19" s="386"/>
      <c r="X19" s="386"/>
      <c r="Y19" s="355" t="s">
        <v>2837</v>
      </c>
      <c r="Z19" s="357" t="str">
        <f ca="1">IF(OFFSET(OFFSET(모듈!$A$1,0,MATCH("화찰정보가져오기기준셀",모듈!$1:$1,0)-1),7,3)="","",OFFSET(OFFSET(모듈!$A$1,0,MATCH("화찰정보가져오기기준셀",모듈!$1:$1,0)-1),7,3))</f>
        <v>B-1</v>
      </c>
      <c r="AA19" s="358"/>
      <c r="AB19" s="359"/>
      <c r="AC19" s="37"/>
      <c r="AD19" s="374"/>
      <c r="AE19" s="377"/>
      <c r="AF19" s="378"/>
      <c r="AG19" s="378"/>
      <c r="AH19" s="378"/>
      <c r="AI19" s="347" t="s">
        <v>2837</v>
      </c>
      <c r="AJ19" s="349" t="str">
        <f ca="1">IF(OFFSET(OFFSET(모듈!$A$1,0,MATCH("화찰정보가져오기기준셀",모듈!$1:$1,0)-1),8,3)="","",OFFSET(OFFSET(모듈!$A$1,0,MATCH("화찰정보가져오기기준셀",모듈!$1:$1,0)-1),8,3))</f>
        <v>B-1</v>
      </c>
      <c r="AK19" s="363"/>
      <c r="AL19" s="364"/>
    </row>
    <row r="20" spans="1:38" ht="40.15" customHeight="1" x14ac:dyDescent="0.3">
      <c r="A20" s="374"/>
      <c r="B20" s="377"/>
      <c r="C20" s="379"/>
      <c r="D20" s="379"/>
      <c r="E20" s="379"/>
      <c r="F20" s="348"/>
      <c r="G20" s="352"/>
      <c r="H20" s="353"/>
      <c r="I20" s="354"/>
      <c r="J20" s="37"/>
      <c r="K20" s="374"/>
      <c r="L20" s="377"/>
      <c r="M20" s="379"/>
      <c r="N20" s="379"/>
      <c r="O20" s="379"/>
      <c r="P20" s="348"/>
      <c r="Q20" s="352"/>
      <c r="R20" s="353"/>
      <c r="S20" s="354"/>
      <c r="T20" s="382"/>
      <c r="U20" s="385"/>
      <c r="V20" s="387"/>
      <c r="W20" s="387"/>
      <c r="X20" s="387"/>
      <c r="Y20" s="356"/>
      <c r="Z20" s="360"/>
      <c r="AA20" s="361"/>
      <c r="AB20" s="362"/>
      <c r="AC20" s="37"/>
      <c r="AD20" s="374"/>
      <c r="AE20" s="377"/>
      <c r="AF20" s="379"/>
      <c r="AG20" s="379"/>
      <c r="AH20" s="379"/>
      <c r="AI20" s="348"/>
      <c r="AJ20" s="365"/>
      <c r="AK20" s="366"/>
      <c r="AL20" s="367"/>
    </row>
    <row r="21" spans="1:38" ht="30" customHeight="1" x14ac:dyDescent="0.3">
      <c r="A21" s="329" t="s">
        <v>2838</v>
      </c>
      <c r="B21" s="330"/>
      <c r="C21" s="331">
        <f ca="1">IF(OFFSET(OFFSET(모듈!$A$1,0,MATCH("화찰정보가져오기기준셀",모듈!$1:$1,0)-1),7,1)="","",OFFSET(OFFSET(모듈!$A$1,0,MATCH("화찰정보가져오기기준셀",모듈!$1:$1,0)-1),7,1))</f>
        <v>46013</v>
      </c>
      <c r="D21" s="332"/>
      <c r="E21" s="332"/>
      <c r="F21" s="332"/>
      <c r="G21" s="333"/>
      <c r="H21" s="316" t="s">
        <v>2839</v>
      </c>
      <c r="I21" s="318"/>
      <c r="J21" s="37"/>
      <c r="K21" s="329" t="s">
        <v>2838</v>
      </c>
      <c r="L21" s="330"/>
      <c r="M21" s="331">
        <f ca="1">IF(OFFSET(OFFSET(모듈!$A$1,0,MATCH("화찰정보가져오기기준셀",모듈!$1:$1,0)-1),8,1)="","",OFFSET(OFFSET(모듈!$A$1,0,MATCH("화찰정보가져오기기준셀",모듈!$1:$1,0)-1),8,1))</f>
        <v>46013</v>
      </c>
      <c r="N21" s="332"/>
      <c r="O21" s="332"/>
      <c r="P21" s="332"/>
      <c r="Q21" s="333"/>
      <c r="R21" s="316" t="s">
        <v>2839</v>
      </c>
      <c r="S21" s="318"/>
      <c r="T21" s="329" t="s">
        <v>2838</v>
      </c>
      <c r="U21" s="330"/>
      <c r="V21" s="331">
        <f ca="1">IF(OFFSET(OFFSET(모듈!$A$1,0,MATCH("화찰정보가져오기기준셀",모듈!$1:$1,0)-1),7,1)="","",OFFSET(OFFSET(모듈!$A$1,0,MATCH("화찰정보가져오기기준셀",모듈!$1:$1,0)-1),7,1))</f>
        <v>46013</v>
      </c>
      <c r="W21" s="332"/>
      <c r="X21" s="332"/>
      <c r="Y21" s="332"/>
      <c r="Z21" s="333"/>
      <c r="AA21" s="316" t="s">
        <v>2839</v>
      </c>
      <c r="AB21" s="318"/>
      <c r="AC21" s="37"/>
      <c r="AD21" s="329" t="s">
        <v>2838</v>
      </c>
      <c r="AE21" s="330"/>
      <c r="AF21" s="331">
        <f ca="1">IF(OFFSET(OFFSET(모듈!$A$1,0,MATCH("화찰정보가져오기기준셀",모듈!$1:$1,0)-1),8,1)="","",OFFSET(OFFSET(모듈!$A$1,0,MATCH("화찰정보가져오기기준셀",모듈!$1:$1,0)-1),8,1))</f>
        <v>46013</v>
      </c>
      <c r="AG21" s="332"/>
      <c r="AH21" s="332"/>
      <c r="AI21" s="332"/>
      <c r="AJ21" s="333"/>
      <c r="AK21" s="316" t="s">
        <v>2839</v>
      </c>
      <c r="AL21" s="318"/>
    </row>
    <row r="22" spans="1:38" ht="30" customHeight="1" x14ac:dyDescent="0.3">
      <c r="A22" s="337">
        <f ca="1">IFERROR(YEAR(C21),YEAR(TODAY()))</f>
        <v>2025</v>
      </c>
      <c r="B22" s="338"/>
      <c r="C22" s="334"/>
      <c r="D22" s="335"/>
      <c r="E22" s="335"/>
      <c r="F22" s="335"/>
      <c r="G22" s="336"/>
      <c r="H22" s="339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I22" s="340"/>
      <c r="J22" s="37"/>
      <c r="K22" s="337">
        <f ca="1">IFERROR(YEAR(M21),YEAR(TODAY()))</f>
        <v>2025</v>
      </c>
      <c r="L22" s="338"/>
      <c r="M22" s="334"/>
      <c r="N22" s="335"/>
      <c r="O22" s="335"/>
      <c r="P22" s="335"/>
      <c r="Q22" s="336"/>
      <c r="R22" s="339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S22" s="340"/>
      <c r="T22" s="337">
        <f ca="1">IFERROR(YEAR(V21),YEAR(TODAY()))</f>
        <v>2025</v>
      </c>
      <c r="U22" s="338"/>
      <c r="V22" s="334"/>
      <c r="W22" s="335"/>
      <c r="X22" s="335"/>
      <c r="Y22" s="335"/>
      <c r="Z22" s="336"/>
      <c r="AA22" s="339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AB22" s="340"/>
      <c r="AC22" s="37"/>
      <c r="AD22" s="337">
        <f ca="1">IFERROR(YEAR(AF21),YEAR(TODAY()))</f>
        <v>2025</v>
      </c>
      <c r="AE22" s="338"/>
      <c r="AF22" s="334"/>
      <c r="AG22" s="335"/>
      <c r="AH22" s="335"/>
      <c r="AI22" s="335"/>
      <c r="AJ22" s="336"/>
      <c r="AK22" s="339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AL22" s="340"/>
    </row>
    <row r="23" spans="1:38" ht="26.25" customHeight="1" x14ac:dyDescent="0.3">
      <c r="A23" s="325" t="s">
        <v>2840</v>
      </c>
      <c r="B23" s="326"/>
      <c r="C23" s="327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D23" s="327"/>
      <c r="E23" s="327"/>
      <c r="F23" s="327"/>
      <c r="G23" s="327"/>
      <c r="H23" s="327"/>
      <c r="I23" s="327"/>
      <c r="J23" s="37"/>
      <c r="K23" s="325" t="s">
        <v>2840</v>
      </c>
      <c r="L23" s="326"/>
      <c r="M23" s="327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N23" s="327"/>
      <c r="O23" s="327"/>
      <c r="P23" s="327"/>
      <c r="Q23" s="327"/>
      <c r="R23" s="327"/>
      <c r="S23" s="327"/>
      <c r="T23" s="325" t="s">
        <v>2840</v>
      </c>
      <c r="U23" s="326"/>
      <c r="V23" s="327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W23" s="327"/>
      <c r="X23" s="327"/>
      <c r="Y23" s="327"/>
      <c r="Z23" s="327"/>
      <c r="AA23" s="327"/>
      <c r="AB23" s="327"/>
      <c r="AC23" s="37"/>
      <c r="AD23" s="325" t="s">
        <v>2840</v>
      </c>
      <c r="AE23" s="326"/>
      <c r="AF23" s="327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AG23" s="327"/>
      <c r="AH23" s="327"/>
      <c r="AI23" s="327"/>
      <c r="AJ23" s="327"/>
      <c r="AK23" s="327"/>
      <c r="AL23" s="327"/>
    </row>
    <row r="24" spans="1:38" ht="26.25" customHeight="1" x14ac:dyDescent="0.3">
      <c r="A24" s="316" t="s">
        <v>2841</v>
      </c>
      <c r="B24" s="318"/>
      <c r="C24" s="328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D24" s="328"/>
      <c r="E24" s="328"/>
      <c r="F24" s="328"/>
      <c r="G24" s="328"/>
      <c r="H24" s="328"/>
      <c r="I24" s="328"/>
      <c r="J24" s="37"/>
      <c r="K24" s="316" t="s">
        <v>2841</v>
      </c>
      <c r="L24" s="318"/>
      <c r="M24" s="328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N24" s="328"/>
      <c r="O24" s="328"/>
      <c r="P24" s="328"/>
      <c r="Q24" s="328"/>
      <c r="R24" s="328"/>
      <c r="S24" s="328"/>
      <c r="T24" s="316" t="s">
        <v>2841</v>
      </c>
      <c r="U24" s="318"/>
      <c r="V24" s="328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W24" s="328"/>
      <c r="X24" s="328"/>
      <c r="Y24" s="328"/>
      <c r="Z24" s="328"/>
      <c r="AA24" s="328"/>
      <c r="AB24" s="328"/>
      <c r="AC24" s="37"/>
      <c r="AD24" s="316" t="s">
        <v>2841</v>
      </c>
      <c r="AE24" s="318"/>
      <c r="AF24" s="328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AG24" s="328"/>
      <c r="AH24" s="328"/>
      <c r="AI24" s="328"/>
      <c r="AJ24" s="328"/>
      <c r="AK24" s="328"/>
      <c r="AL24" s="328"/>
    </row>
    <row r="25" spans="1:38" ht="26.25" customHeight="1" x14ac:dyDescent="0.3">
      <c r="A25" s="316" t="s">
        <v>2842</v>
      </c>
      <c r="B25" s="318"/>
      <c r="C25" s="324">
        <f ca="1">IF(OFFSET(OFFSET(모듈!$A$1,0,MATCH("화찰정보가져오기기준셀",모듈!$1:$1,0)-1),7,15)="","",OFFSET(OFFSET(모듈!$A$1,0,MATCH("화찰정보가져오기기준셀",모듈!$1:$1,0)-1),7,15))</f>
        <v>21600</v>
      </c>
      <c r="D25" s="324"/>
      <c r="E25" s="40" t="s">
        <v>2843</v>
      </c>
      <c r="F25" s="316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G25" s="317"/>
      <c r="H25" s="317"/>
      <c r="I25" s="318"/>
      <c r="J25" s="37"/>
      <c r="K25" s="316" t="s">
        <v>2842</v>
      </c>
      <c r="L25" s="318"/>
      <c r="M25" s="324">
        <f ca="1">IF(OFFSET(OFFSET(모듈!$A$1,0,MATCH("화찰정보가져오기기준셀",모듈!$1:$1,0)-1),8,15)="","",OFFSET(OFFSET(모듈!$A$1,0,MATCH("화찰정보가져오기기준셀",모듈!$1:$1,0)-1),8,15))</f>
        <v>21600</v>
      </c>
      <c r="N25" s="324"/>
      <c r="O25" s="40" t="s">
        <v>2843</v>
      </c>
      <c r="P25" s="316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Q25" s="317"/>
      <c r="R25" s="317"/>
      <c r="S25" s="318"/>
      <c r="T25" s="316" t="s">
        <v>2842</v>
      </c>
      <c r="U25" s="318"/>
      <c r="V25" s="324">
        <f ca="1">IF(OFFSET(OFFSET(모듈!$A$1,0,MATCH("화찰정보가져오기기준셀",모듈!$1:$1,0)-1),7,15)="","",OFFSET(OFFSET(모듈!$A$1,0,MATCH("화찰정보가져오기기준셀",모듈!$1:$1,0)-1),7,15))</f>
        <v>21600</v>
      </c>
      <c r="W25" s="324"/>
      <c r="X25" s="40" t="s">
        <v>2843</v>
      </c>
      <c r="Y25" s="316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Z25" s="317"/>
      <c r="AA25" s="317"/>
      <c r="AB25" s="318"/>
      <c r="AC25" s="37"/>
      <c r="AD25" s="316" t="s">
        <v>2842</v>
      </c>
      <c r="AE25" s="318"/>
      <c r="AF25" s="324">
        <f ca="1">IF(OFFSET(OFFSET(모듈!$A$1,0,MATCH("화찰정보가져오기기준셀",모듈!$1:$1,0)-1),8,15)="","",OFFSET(OFFSET(모듈!$A$1,0,MATCH("화찰정보가져오기기준셀",모듈!$1:$1,0)-1),8,15))</f>
        <v>21600</v>
      </c>
      <c r="AG25" s="324"/>
      <c r="AH25" s="40" t="s">
        <v>2843</v>
      </c>
      <c r="AI25" s="316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AJ25" s="317"/>
      <c r="AK25" s="317"/>
      <c r="AL25" s="318"/>
    </row>
  </sheetData>
  <mergeCells count="184"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</mergeCells>
  <phoneticPr fontId="1" type="noConversion"/>
  <pageMargins left="0.17" right="0.17" top="0.19" bottom="0.22" header="0.17" footer="0.18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83047-EBC5-4A61-9AEE-C265D62A221B}">
  <sheetPr codeName="Sheet28"/>
  <dimension ref="A1:P38"/>
  <sheetViews>
    <sheetView topLeftCell="A13" zoomScale="85" zoomScaleNormal="85" workbookViewId="0">
      <selection activeCell="N14" sqref="N14"/>
    </sheetView>
  </sheetViews>
  <sheetFormatPr defaultColWidth="9" defaultRowHeight="16.5" x14ac:dyDescent="0.3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 x14ac:dyDescent="0.3">
      <c r="A1" s="319"/>
      <c r="B1" s="319"/>
      <c r="C1" s="319"/>
      <c r="D1" s="319"/>
      <c r="E1" s="319"/>
      <c r="F1" s="52"/>
      <c r="G1" s="319"/>
      <c r="H1" s="319"/>
      <c r="I1" s="319"/>
      <c r="J1" s="319"/>
      <c r="K1" s="319"/>
      <c r="L1" s="53"/>
    </row>
    <row r="2" spans="1:14" ht="75" customHeight="1" x14ac:dyDescent="0.3">
      <c r="A2" s="319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" s="319"/>
      <c r="C2" s="319"/>
      <c r="D2" s="319"/>
      <c r="E2" s="319"/>
      <c r="F2" s="33"/>
      <c r="G2" s="34"/>
      <c r="H2" s="319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" s="319"/>
      <c r="J2" s="319"/>
      <c r="K2" s="319"/>
      <c r="L2" s="319"/>
    </row>
    <row r="3" spans="1:14" ht="75" customHeight="1" x14ac:dyDescent="0.3">
      <c r="A3" s="320" t="str">
        <f ca="1">IF(OFFSET(OFFSET(모듈!$A$1,0,MATCH("화찰정보가져오기기준셀",모듈!$1:$1,0)-1),5,4)="","",OFFSET(OFFSET(모듈!$A$1,0,MATCH("화찰정보가져오기기준셀",모듈!$1:$1,0)-1),5,4))</f>
        <v>날치알</v>
      </c>
      <c r="B3" s="320"/>
      <c r="C3" s="320"/>
      <c r="D3" s="320"/>
      <c r="E3" s="320"/>
      <c r="F3" s="33"/>
      <c r="G3" s="34"/>
      <c r="H3" s="320" t="str">
        <f ca="1">IF(OFFSET(OFFSET(모듈!$A$1,0,MATCH("화찰정보가져오기기준셀",모듈!$1:$1,0)-1),6,4)="","",OFFSET(OFFSET(모듈!$A$1,0,MATCH("화찰정보가져오기기준셀",모듈!$1:$1,0)-1),6,4))</f>
        <v>날치알</v>
      </c>
      <c r="I3" s="320"/>
      <c r="J3" s="320"/>
      <c r="K3" s="320"/>
      <c r="L3" s="320"/>
    </row>
    <row r="4" spans="1:14" ht="65.25" customHeight="1" x14ac:dyDescent="0.3">
      <c r="A4" s="315"/>
      <c r="B4" s="315"/>
      <c r="C4" s="315"/>
      <c r="D4" s="315"/>
      <c r="E4" s="315"/>
      <c r="F4" s="36"/>
      <c r="G4" s="37"/>
      <c r="H4" s="315"/>
      <c r="I4" s="315"/>
      <c r="J4" s="315"/>
      <c r="K4" s="315"/>
      <c r="L4" s="315"/>
    </row>
    <row r="5" spans="1:14" ht="65.25" customHeight="1" x14ac:dyDescent="0.3">
      <c r="A5" s="315"/>
      <c r="B5" s="315"/>
      <c r="C5" s="315"/>
      <c r="D5" s="315"/>
      <c r="E5" s="315"/>
      <c r="F5" s="36"/>
      <c r="G5" s="37"/>
      <c r="H5" s="315"/>
      <c r="I5" s="315"/>
      <c r="J5" s="315"/>
      <c r="K5" s="315"/>
      <c r="L5" s="315"/>
    </row>
    <row r="6" spans="1:14" ht="94.5" customHeight="1" x14ac:dyDescent="0.3">
      <c r="A6" s="438">
        <f ca="1">IF(OFFSET(OFFSET(모듈!$A$1,0,MATCH("화찰정보가져오기기준셀",모듈!$1:$1,0)-1),5,1)="","",OFFSET(OFFSET(모듈!$A$1,0,MATCH("화찰정보가져오기기준셀",모듈!$1:$1,0)-1),5,1))</f>
        <v>46013</v>
      </c>
      <c r="B6" s="438"/>
      <c r="C6" s="439" t="str">
        <f ca="1">IF(OFFSET(OFFSET(모듈!$A$1,0,MATCH("화찰정보가져오기기준셀",모듈!$1:$1,0)-1),5,3)="","",OFFSET(OFFSET(모듈!$A$1,0,MATCH("화찰정보가져오기기준셀",모듈!$1:$1,0)-1),5,3))</f>
        <v>B-1</v>
      </c>
      <c r="D6" s="439"/>
      <c r="E6" s="439"/>
      <c r="F6" s="43"/>
      <c r="G6" s="44"/>
      <c r="H6" s="438">
        <f ca="1">IF(OFFSET(OFFSET(모듈!$A$1,0,MATCH("화찰정보가져오기기준셀",모듈!$1:$1,0)-1),6,1)="","",OFFSET(OFFSET(모듈!$A$1,0,MATCH("화찰정보가져오기기준셀",모듈!$1:$1,0)-1),6,1))</f>
        <v>46013</v>
      </c>
      <c r="I6" s="438"/>
      <c r="J6" s="439" t="str">
        <f ca="1">IF(OFFSET(OFFSET(모듈!$A$1,0,MATCH("화찰정보가져오기기준셀",모듈!$1:$1,0)-1),6,3)="","",OFFSET(OFFSET(모듈!$A$1,0,MATCH("화찰정보가져오기기준셀",모듈!$1:$1,0)-1),6,3))</f>
        <v>B-1</v>
      </c>
      <c r="K6" s="439"/>
      <c r="L6" s="439"/>
    </row>
    <row r="7" spans="1:14" ht="30" customHeight="1" x14ac:dyDescent="0.3">
      <c r="A7" s="37"/>
      <c r="B7" s="37"/>
      <c r="C7" s="37"/>
      <c r="D7" s="37"/>
      <c r="E7" s="37"/>
      <c r="F7" s="36"/>
      <c r="G7" s="37"/>
      <c r="H7" s="37"/>
      <c r="I7" s="37"/>
      <c r="J7" s="37"/>
      <c r="K7" s="37"/>
      <c r="L7" s="37"/>
    </row>
    <row r="8" spans="1:14" ht="69.75" customHeight="1" x14ac:dyDescent="0.3">
      <c r="A8" s="319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8" s="319"/>
      <c r="C8" s="319"/>
      <c r="D8" s="319"/>
      <c r="E8" s="319"/>
      <c r="F8" s="33"/>
      <c r="G8" s="34"/>
      <c r="H8" s="319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8" s="319"/>
      <c r="J8" s="319"/>
      <c r="K8" s="319"/>
      <c r="L8" s="319"/>
    </row>
    <row r="9" spans="1:14" ht="62.25" customHeight="1" x14ac:dyDescent="0.3">
      <c r="A9" s="320" t="str">
        <f ca="1">IF(OFFSET(OFFSET(모듈!$A$1,0,MATCH("화찰정보가져오기기준셀",모듈!$1:$1,0)-1),7,4)="","",OFFSET(OFFSET(모듈!$A$1,0,MATCH("화찰정보가져오기기준셀",모듈!$1:$1,0)-1),7,4))</f>
        <v>날치알</v>
      </c>
      <c r="B9" s="320"/>
      <c r="C9" s="320"/>
      <c r="D9" s="320"/>
      <c r="E9" s="320"/>
      <c r="F9" s="33"/>
      <c r="G9" s="34"/>
      <c r="H9" s="320" t="str">
        <f ca="1">IF(OFFSET(OFFSET(모듈!$A$1,0,MATCH("화찰정보가져오기기준셀",모듈!$1:$1,0)-1),8,4)="","",OFFSET(OFFSET(모듈!$A$1,0,MATCH("화찰정보가져오기기준셀",모듈!$1:$1,0)-1),8,4))</f>
        <v>날치알</v>
      </c>
      <c r="I9" s="320"/>
      <c r="J9" s="320"/>
      <c r="K9" s="320"/>
      <c r="L9" s="320"/>
    </row>
    <row r="10" spans="1:14" ht="65.25" customHeight="1" x14ac:dyDescent="0.3">
      <c r="A10" s="315"/>
      <c r="B10" s="315"/>
      <c r="C10" s="315"/>
      <c r="D10" s="315"/>
      <c r="E10" s="315"/>
      <c r="F10" s="36"/>
      <c r="G10" s="37"/>
      <c r="H10" s="315"/>
      <c r="I10" s="315"/>
      <c r="J10" s="315"/>
      <c r="K10" s="315"/>
      <c r="L10" s="315"/>
    </row>
    <row r="11" spans="1:14" ht="65.25" customHeight="1" x14ac:dyDescent="0.3">
      <c r="A11" s="315"/>
      <c r="B11" s="315"/>
      <c r="C11" s="315"/>
      <c r="D11" s="315"/>
      <c r="E11" s="315"/>
      <c r="F11" s="36"/>
      <c r="G11" s="37"/>
      <c r="H11" s="315"/>
      <c r="I11" s="315"/>
      <c r="J11" s="315"/>
      <c r="K11" s="315"/>
      <c r="L11" s="315"/>
    </row>
    <row r="12" spans="1:14" ht="103.5" customHeight="1" x14ac:dyDescent="0.3">
      <c r="A12" s="435">
        <f ca="1">IF(OFFSET(OFFSET(모듈!$A$1,0,MATCH("화찰정보가져오기기준셀",모듈!$1:$1,0)-1),7,1)="","",OFFSET(OFFSET(모듈!$A$1,0,MATCH("화찰정보가져오기기준셀",모듈!$1:$1,0)-1),7,1))</f>
        <v>46013</v>
      </c>
      <c r="B12" s="435"/>
      <c r="C12" s="436" t="str">
        <f ca="1">IF(OFFSET(OFFSET(모듈!$A$1,0,MATCH("화찰정보가져오기기준셀",모듈!$1:$1,0)-1),7,3)="","",OFFSET(OFFSET(모듈!$A$1,0,MATCH("화찰정보가져오기기준셀",모듈!$1:$1,0)-1),7,3))</f>
        <v>B-1</v>
      </c>
      <c r="D12" s="436"/>
      <c r="E12" s="436"/>
      <c r="F12" s="36"/>
      <c r="G12" s="37"/>
      <c r="H12" s="435">
        <f ca="1">IF(OFFSET(OFFSET(모듈!$A$1,0,MATCH("화찰정보가져오기기준셀",모듈!$1:$1,0)-1),8,1)="","",OFFSET(OFFSET(모듈!$A$1,0,MATCH("화찰정보가져오기기준셀",모듈!$1:$1,0)-1),8,1))</f>
        <v>46013</v>
      </c>
      <c r="I12" s="435"/>
      <c r="J12" s="436" t="str">
        <f ca="1">IF(OFFSET(OFFSET(모듈!$A$1,0,MATCH("화찰정보가져오기기준셀",모듈!$1:$1,0)-1),8,3)="","",OFFSET(OFFSET(모듈!$A$1,0,MATCH("화찰정보가져오기기준셀",모듈!$1:$1,0)-1),8,3))</f>
        <v>B-1</v>
      </c>
      <c r="K12" s="436"/>
      <c r="L12" s="436"/>
    </row>
    <row r="13" spans="1:14" ht="24" customHeight="1" x14ac:dyDescent="0.3">
      <c r="A13" s="319"/>
      <c r="B13" s="319"/>
      <c r="C13" s="319"/>
      <c r="D13" s="319"/>
      <c r="E13" s="319"/>
      <c r="F13" s="33"/>
      <c r="G13" s="34"/>
      <c r="H13" s="319"/>
      <c r="I13" s="319"/>
      <c r="J13" s="319"/>
      <c r="K13" s="319"/>
      <c r="L13" s="319"/>
    </row>
    <row r="14" spans="1:14" ht="65.25" customHeight="1" x14ac:dyDescent="0.3">
      <c r="A14" s="319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14" s="319"/>
      <c r="C14" s="319"/>
      <c r="D14" s="319"/>
      <c r="E14" s="319"/>
      <c r="F14" s="33"/>
      <c r="G14" s="34"/>
      <c r="H14" s="319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14" s="319"/>
      <c r="J14" s="319"/>
      <c r="K14" s="319"/>
      <c r="L14" s="319"/>
      <c r="N14" t="s">
        <v>2844</v>
      </c>
    </row>
    <row r="15" spans="1:14" ht="48" customHeight="1" x14ac:dyDescent="0.3">
      <c r="A15" s="320" t="str">
        <f ca="1">IF(OFFSET(OFFSET(모듈!$A$1,0,MATCH("화찰정보가져오기기준셀",모듈!$1:$1,0)-1),5,4)="","",OFFSET(OFFSET(모듈!$A$1,0,MATCH("화찰정보가져오기기준셀",모듈!$1:$1,0)-1),5,4))</f>
        <v>날치알</v>
      </c>
      <c r="B15" s="320"/>
      <c r="C15" s="320"/>
      <c r="D15" s="320"/>
      <c r="E15" s="320"/>
      <c r="F15" s="33"/>
      <c r="G15" s="34"/>
      <c r="H15" s="320" t="str">
        <f ca="1">IF(OFFSET(OFFSET(모듈!$A$1,0,MATCH("화찰정보가져오기기준셀",모듈!$1:$1,0)-1),6,4)="","",OFFSET(OFFSET(모듈!$A$1,0,MATCH("화찰정보가져오기기준셀",모듈!$1:$1,0)-1),6,4))</f>
        <v>날치알</v>
      </c>
      <c r="I15" s="320"/>
      <c r="J15" s="320"/>
      <c r="K15" s="320"/>
      <c r="L15" s="320"/>
    </row>
    <row r="16" spans="1:14" ht="49.5" customHeight="1" x14ac:dyDescent="0.3">
      <c r="A16" s="320" t="str">
        <f ca="1">IF(OFFSET(OFFSET(모듈!$A$1,0,MATCH("화찰정보가져오기기준셀",모듈!$1:$1,0)-1),5,5)="","",OFFSET(OFFSET(모듈!$A$1,0,MATCH("화찰정보가져오기기준셀",모듈!$1:$1,0)-1),5,5))</f>
        <v>10KG</v>
      </c>
      <c r="B16" s="320"/>
      <c r="C16" s="320"/>
      <c r="D16" s="320"/>
      <c r="E16" s="320"/>
      <c r="F16" s="33"/>
      <c r="G16" s="34"/>
      <c r="H16" s="320" t="str">
        <f ca="1">IF(OFFSET(OFFSET(모듈!$A$1,0,MATCH("화찰정보가져오기기준셀",모듈!$1:$1,0)-1),6,5)="","",OFFSET(OFFSET(모듈!$A$1,0,MATCH("화찰정보가져오기기준셀",모듈!$1:$1,0)-1),6,5))</f>
        <v>10KG</v>
      </c>
      <c r="I16" s="320"/>
      <c r="J16" s="320"/>
      <c r="K16" s="320"/>
      <c r="L16" s="320"/>
    </row>
    <row r="17" spans="1:16" ht="65.25" customHeight="1" x14ac:dyDescent="0.3">
      <c r="A17" s="315" t="str">
        <f ca="1">IF(OFFSET(OFFSET(모듈!$A$1,0,MATCH("화찰정보가져오기기준셀",모듈!$1:$1,0)-1),5,2)="","",OFFSET(OFFSET(모듈!$A$1,0,MATCH("화찰정보가져오기기준셀",모듈!$1:$1,0)-1),5,2))</f>
        <v>A</v>
      </c>
      <c r="B17" s="315"/>
      <c r="C17" s="315"/>
      <c r="D17" s="315"/>
      <c r="E17" s="315"/>
      <c r="F17" s="36"/>
      <c r="G17" s="37"/>
      <c r="H17" s="315"/>
      <c r="I17" s="315"/>
      <c r="J17" s="315"/>
      <c r="K17" s="315"/>
      <c r="L17" s="315"/>
    </row>
    <row r="18" spans="1:16" ht="65.25" customHeight="1" x14ac:dyDescent="0.3">
      <c r="A18" s="315"/>
      <c r="B18" s="315"/>
      <c r="C18" s="315"/>
      <c r="D18" s="315"/>
      <c r="E18" s="315"/>
      <c r="F18" s="36"/>
      <c r="G18" s="37"/>
      <c r="H18" s="315"/>
      <c r="I18" s="315"/>
      <c r="J18" s="315"/>
      <c r="K18" s="315"/>
      <c r="L18" s="315"/>
    </row>
    <row r="19" spans="1:16" ht="91.5" customHeight="1" x14ac:dyDescent="0.3">
      <c r="A19" s="438">
        <f ca="1">IF(OFFSET(OFFSET(모듈!$A$1,0,MATCH("화찰정보가져오기기준셀",모듈!$1:$1,0)-1),5,1)="","",OFFSET(OFFSET(모듈!$A$1,0,MATCH("화찰정보가져오기기준셀",모듈!$1:$1,0)-1),5,1))</f>
        <v>46013</v>
      </c>
      <c r="B19" s="438"/>
      <c r="C19" s="439" t="str">
        <f ca="1">IF(OFFSET(OFFSET(모듈!$A$1,0,MATCH("화찰정보가져오기기준셀",모듈!$1:$1,0)-1),5,3)="","",OFFSET(OFFSET(모듈!$A$1,0,MATCH("화찰정보가져오기기준셀",모듈!$1:$1,0)-1),5,3))</f>
        <v>B-1</v>
      </c>
      <c r="D19" s="439"/>
      <c r="E19" s="439"/>
      <c r="F19" s="43"/>
      <c r="G19" s="44"/>
      <c r="H19" s="438">
        <f ca="1">IF(OFFSET(OFFSET(모듈!$A$1,0,MATCH("화찰정보가져오기기준셀",모듈!$1:$1,0)-1),6,1)="","",OFFSET(OFFSET(모듈!$A$1,0,MATCH("화찰정보가져오기기준셀",모듈!$1:$1,0)-1),6,1))</f>
        <v>46013</v>
      </c>
      <c r="I19" s="438"/>
      <c r="J19" s="439" t="str">
        <f ca="1">IF(OFFSET(OFFSET(모듈!$A$1,0,MATCH("화찰정보가져오기기준셀",모듈!$1:$1,0)-1),6,3)="","",OFFSET(OFFSET(모듈!$A$1,0,MATCH("화찰정보가져오기기준셀",모듈!$1:$1,0)-1),6,3))</f>
        <v>B-1</v>
      </c>
      <c r="K19" s="439"/>
      <c r="L19" s="439"/>
    </row>
    <row r="20" spans="1:16" ht="36.75" customHeight="1" x14ac:dyDescent="0.3">
      <c r="A20" s="319"/>
      <c r="B20" s="319"/>
      <c r="C20" s="319"/>
      <c r="D20" s="319"/>
      <c r="E20" s="319"/>
      <c r="F20" s="33"/>
      <c r="G20" s="34"/>
      <c r="H20" s="319"/>
      <c r="I20" s="319"/>
      <c r="J20" s="319"/>
      <c r="K20" s="319"/>
      <c r="L20" s="319"/>
    </row>
    <row r="21" spans="1:16" ht="60" customHeight="1" x14ac:dyDescent="0.3">
      <c r="A21" s="319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21" s="319"/>
      <c r="C21" s="319"/>
      <c r="D21" s="319"/>
      <c r="E21" s="319"/>
      <c r="F21" s="33"/>
      <c r="G21" s="34"/>
      <c r="H21" s="319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21" s="319"/>
      <c r="J21" s="319"/>
      <c r="K21" s="319"/>
      <c r="L21" s="319"/>
    </row>
    <row r="22" spans="1:16" ht="48.75" customHeight="1" x14ac:dyDescent="0.3">
      <c r="A22" s="320" t="str">
        <f ca="1">IF(OFFSET(OFFSET(모듈!$A$1,0,MATCH("화찰정보가져오기기준셀",모듈!$1:$1,0)-1),7,4)="","",OFFSET(OFFSET(모듈!$A$1,0,MATCH("화찰정보가져오기기준셀",모듈!$1:$1,0)-1),7,4))</f>
        <v>날치알</v>
      </c>
      <c r="B22" s="320"/>
      <c r="C22" s="320"/>
      <c r="D22" s="320"/>
      <c r="E22" s="320"/>
      <c r="F22" s="33"/>
      <c r="G22" s="34"/>
      <c r="H22" s="320" t="str">
        <f ca="1">IF(OFFSET(OFFSET(모듈!$A$1,0,MATCH("화찰정보가져오기기준셀",모듈!$1:$1,0)-1),8,4)="","",OFFSET(OFFSET(모듈!$A$1,0,MATCH("화찰정보가져오기기준셀",모듈!$1:$1,0)-1),8,4))</f>
        <v>날치알</v>
      </c>
      <c r="I22" s="320"/>
      <c r="J22" s="320"/>
      <c r="K22" s="320"/>
      <c r="L22" s="320"/>
    </row>
    <row r="23" spans="1:16" ht="49.5" customHeight="1" x14ac:dyDescent="0.3">
      <c r="A23" s="320" t="str">
        <f ca="1">IF(OFFSET(OFFSET(모듈!$A$1,0,MATCH("화찰정보가져오기기준셀",모듈!$1:$1,0)-1),7,5)="","",OFFSET(OFFSET(모듈!$A$1,0,MATCH("화찰정보가져오기기준셀",모듈!$1:$1,0)-1),7,5))</f>
        <v>10KG</v>
      </c>
      <c r="B23" s="320"/>
      <c r="C23" s="320"/>
      <c r="D23" s="320"/>
      <c r="E23" s="320"/>
      <c r="F23" s="33"/>
      <c r="G23" s="34"/>
      <c r="H23" s="320" t="str">
        <f ca="1">IF(OFFSET(OFFSET(모듈!$A$1,0,MATCH("화찰정보가져오기기준셀",모듈!$1:$1,0)-1),8,5)="","",OFFSET(OFFSET(모듈!$A$1,0,MATCH("화찰정보가져오기기준셀",모듈!$1:$1,0)-1),8,5))</f>
        <v>10KG</v>
      </c>
      <c r="I23" s="320"/>
      <c r="J23" s="320"/>
      <c r="K23" s="320"/>
      <c r="L23" s="320"/>
    </row>
    <row r="24" spans="1:16" ht="65.25" customHeight="1" x14ac:dyDescent="0.3">
      <c r="A24" s="315"/>
      <c r="B24" s="315"/>
      <c r="C24" s="315"/>
      <c r="D24" s="315"/>
      <c r="E24" s="315"/>
      <c r="F24" s="36"/>
      <c r="G24" s="37"/>
      <c r="H24" s="315"/>
      <c r="I24" s="315"/>
      <c r="J24" s="315"/>
      <c r="K24" s="315"/>
      <c r="L24" s="315"/>
    </row>
    <row r="25" spans="1:16" ht="65.25" customHeight="1" x14ac:dyDescent="0.3">
      <c r="A25" s="315"/>
      <c r="B25" s="315"/>
      <c r="C25" s="315"/>
      <c r="D25" s="315"/>
      <c r="E25" s="315"/>
      <c r="F25" s="36"/>
      <c r="G25" s="37"/>
      <c r="H25" s="315"/>
      <c r="I25" s="315"/>
      <c r="J25" s="315"/>
      <c r="K25" s="315"/>
      <c r="L25" s="315"/>
    </row>
    <row r="26" spans="1:16" ht="69" customHeight="1" x14ac:dyDescent="0.3">
      <c r="A26" s="435">
        <f ca="1">IF(OFFSET(OFFSET(모듈!$A$1,0,MATCH("화찰정보가져오기기준셀",모듈!$1:$1,0)-1),7,1)="","",OFFSET(OFFSET(모듈!$A$1,0,MATCH("화찰정보가져오기기준셀",모듈!$1:$1,0)-1),7,1))</f>
        <v>46013</v>
      </c>
      <c r="B26" s="435"/>
      <c r="C26" s="436" t="str">
        <f ca="1">IF(OFFSET(OFFSET(모듈!$A$1,0,MATCH("화찰정보가져오기기준셀",모듈!$1:$1,0)-1),7,3)="","",OFFSET(OFFSET(모듈!$A$1,0,MATCH("화찰정보가져오기기준셀",모듈!$1:$1,0)-1),7,3))</f>
        <v>B-1</v>
      </c>
      <c r="D26" s="436"/>
      <c r="E26" s="436"/>
      <c r="F26" s="36"/>
      <c r="G26" s="37"/>
      <c r="H26" s="435">
        <f ca="1">IF(OFFSET(OFFSET(모듈!$A$1,0,MATCH("화찰정보가져오기기준셀",모듈!$1:$1,0)-1),8,1)="","",OFFSET(OFFSET(모듈!$A$1,0,MATCH("화찰정보가져오기기준셀",모듈!$1:$1,0)-1),8,1))</f>
        <v>46013</v>
      </c>
      <c r="I26" s="435"/>
      <c r="J26" s="436" t="str">
        <f ca="1">IF(OFFSET(OFFSET(모듈!$A$1,0,MATCH("화찰정보가져오기기준셀",모듈!$1:$1,0)-1),8,3)="","",OFFSET(OFFSET(모듈!$A$1,0,MATCH("화찰정보가져오기기준셀",모듈!$1:$1,0)-1),8,3))</f>
        <v>B-1</v>
      </c>
      <c r="K26" s="436"/>
      <c r="L26" s="436"/>
    </row>
    <row r="27" spans="1:16" ht="96.75" customHeight="1" x14ac:dyDescent="0.3">
      <c r="A27" s="319"/>
      <c r="B27" s="319"/>
      <c r="C27" s="319"/>
      <c r="D27" s="319"/>
      <c r="E27" s="319"/>
      <c r="F27" s="33"/>
      <c r="G27" s="34"/>
      <c r="H27" s="319"/>
      <c r="I27" s="319"/>
      <c r="J27" s="319"/>
      <c r="K27" s="319"/>
      <c r="L27" s="319"/>
      <c r="N27" t="s">
        <v>2845</v>
      </c>
    </row>
    <row r="28" spans="1:16" ht="54" customHeight="1" x14ac:dyDescent="0.3">
      <c r="A28" s="319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8" s="319"/>
      <c r="C28" s="319"/>
      <c r="D28" s="319"/>
      <c r="E28" s="319"/>
      <c r="F28" s="33"/>
      <c r="G28" s="34"/>
      <c r="H28" s="319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8" s="319"/>
      <c r="J28" s="319"/>
      <c r="K28" s="319"/>
      <c r="L28" s="319"/>
    </row>
    <row r="29" spans="1:16" ht="47.25" customHeight="1" x14ac:dyDescent="0.3">
      <c r="A29" s="437" t="str">
        <f ca="1">IF(OFFSET(OFFSET(모듈!$A$1,0,MATCH("화찰정보가져오기기준셀",모듈!$1:$1,0)-1),5,4)="","",OFFSET(OFFSET(모듈!$A$1,0,MATCH("화찰정보가져오기기준셀",모듈!$1:$1,0)-1),5,4))</f>
        <v>날치알</v>
      </c>
      <c r="B29" s="437"/>
      <c r="C29" s="437"/>
      <c r="D29" s="437"/>
      <c r="E29" s="437"/>
      <c r="F29" s="33"/>
      <c r="G29" s="34"/>
      <c r="H29" s="437" t="str">
        <f ca="1">IF(OFFSET(OFFSET(모듈!$A$1,0,MATCH("화찰정보가져오기기준셀",모듈!$1:$1,0)-1),6,4)="","",OFFSET(OFFSET(모듈!$A$1,0,MATCH("화찰정보가져오기기준셀",모듈!$1:$1,0)-1),6,4))</f>
        <v>날치알</v>
      </c>
      <c r="I29" s="437"/>
      <c r="J29" s="437"/>
      <c r="K29" s="437"/>
      <c r="L29" s="437"/>
    </row>
    <row r="30" spans="1:16" ht="65.25" customHeight="1" x14ac:dyDescent="0.3">
      <c r="A30" s="434"/>
      <c r="B30" s="434"/>
      <c r="C30" s="434"/>
      <c r="D30" s="434"/>
      <c r="E30" s="434"/>
      <c r="F30" s="36"/>
      <c r="G30" s="37"/>
      <c r="H30" s="434"/>
      <c r="I30" s="434"/>
      <c r="J30" s="434"/>
      <c r="K30" s="434"/>
      <c r="L30" s="434"/>
    </row>
    <row r="31" spans="1:16" ht="65.25" customHeight="1" x14ac:dyDescent="0.3">
      <c r="A31" s="434"/>
      <c r="B31" s="434"/>
      <c r="C31" s="434"/>
      <c r="D31" s="434"/>
      <c r="E31" s="434"/>
      <c r="F31" s="36"/>
      <c r="G31" s="37"/>
      <c r="H31" s="434"/>
      <c r="I31" s="434"/>
      <c r="J31" s="434"/>
      <c r="K31" s="434"/>
      <c r="L31" s="434"/>
      <c r="P31" s="54"/>
    </row>
    <row r="32" spans="1:16" ht="82.5" customHeight="1" x14ac:dyDescent="0.3">
      <c r="A32" s="438">
        <f ca="1">IF(OFFSET(OFFSET(모듈!$A$1,0,MATCH("화찰정보가져오기기준셀",모듈!$1:$1,0)-1),5,1)="","",OFFSET(OFFSET(모듈!$A$1,0,MATCH("화찰정보가져오기기준셀",모듈!$1:$1,0)-1),5,1))</f>
        <v>46013</v>
      </c>
      <c r="B32" s="438"/>
      <c r="C32" s="439" t="str">
        <f ca="1">IF(OFFSET(OFFSET(모듈!$A$1,0,MATCH("화찰정보가져오기기준셀",모듈!$1:$1,0)-1),5,3)="","",OFFSET(OFFSET(모듈!$A$1,0,MATCH("화찰정보가져오기기준셀",모듈!$1:$1,0)-1),5,3))</f>
        <v>B-1</v>
      </c>
      <c r="D32" s="439"/>
      <c r="E32" s="439"/>
      <c r="F32" s="43"/>
      <c r="G32" s="44"/>
      <c r="H32" s="438">
        <f ca="1">IF(OFFSET(OFFSET(모듈!$A$1,0,MATCH("화찰정보가져오기기준셀",모듈!$1:$1,0)-1),6,1)="","",OFFSET(OFFSET(모듈!$A$1,0,MATCH("화찰정보가져오기기준셀",모듈!$1:$1,0)-1),6,1))</f>
        <v>46013</v>
      </c>
      <c r="I32" s="438"/>
      <c r="J32" s="439" t="str">
        <f ca="1">IF(OFFSET(OFFSET(모듈!$A$1,0,MATCH("화찰정보가져오기기준셀",모듈!$1:$1,0)-1),6,3)="","",OFFSET(OFFSET(모듈!$A$1,0,MATCH("화찰정보가져오기기준셀",모듈!$1:$1,0)-1),6,3))</f>
        <v>B-1</v>
      </c>
      <c r="K32" s="439"/>
      <c r="L32" s="439"/>
    </row>
    <row r="33" spans="1:12" ht="89.25" customHeight="1" x14ac:dyDescent="0.3">
      <c r="A33" s="319"/>
      <c r="B33" s="319"/>
      <c r="C33" s="319"/>
      <c r="D33" s="319"/>
      <c r="E33" s="319"/>
      <c r="F33" s="33"/>
      <c r="G33" s="34"/>
      <c r="H33" s="319"/>
      <c r="I33" s="319"/>
      <c r="J33" s="319"/>
      <c r="K33" s="319"/>
      <c r="L33" s="319"/>
    </row>
    <row r="34" spans="1:12" ht="46.5" customHeight="1" x14ac:dyDescent="0.3">
      <c r="A34" s="319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34" s="319"/>
      <c r="C34" s="319"/>
      <c r="D34" s="319"/>
      <c r="E34" s="319"/>
      <c r="F34" s="33"/>
      <c r="G34" s="34"/>
      <c r="H34" s="319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34" s="319"/>
      <c r="J34" s="319"/>
      <c r="K34" s="319"/>
      <c r="L34" s="319"/>
    </row>
    <row r="35" spans="1:12" ht="46.5" customHeight="1" x14ac:dyDescent="0.3">
      <c r="A35" s="437" t="str">
        <f ca="1">IF(OFFSET(OFFSET(모듈!$A$1,0,MATCH("화찰정보가져오기기준셀",모듈!$1:$1,0)-1),7,4)="","",OFFSET(OFFSET(모듈!$A$1,0,MATCH("화찰정보가져오기기준셀",모듈!$1:$1,0)-1),7,4))</f>
        <v>날치알</v>
      </c>
      <c r="B35" s="437"/>
      <c r="C35" s="437"/>
      <c r="D35" s="437"/>
      <c r="E35" s="437"/>
      <c r="F35" s="33"/>
      <c r="G35" s="34"/>
      <c r="H35" s="437" t="str">
        <f ca="1">IF(OFFSET(OFFSET(모듈!$A$1,0,MATCH("화찰정보가져오기기준셀",모듈!$1:$1,0)-1),8,4)="","",OFFSET(OFFSET(모듈!$A$1,0,MATCH("화찰정보가져오기기준셀",모듈!$1:$1,0)-1),8,4))</f>
        <v>날치알</v>
      </c>
      <c r="I35" s="437"/>
      <c r="J35" s="437"/>
      <c r="K35" s="437"/>
      <c r="L35" s="437"/>
    </row>
    <row r="36" spans="1:12" ht="65.25" customHeight="1" x14ac:dyDescent="0.3">
      <c r="A36" s="434"/>
      <c r="B36" s="434"/>
      <c r="C36" s="434"/>
      <c r="D36" s="434"/>
      <c r="E36" s="434"/>
      <c r="F36" s="36"/>
      <c r="G36" s="37"/>
      <c r="H36" s="434"/>
      <c r="I36" s="434"/>
      <c r="J36" s="434"/>
      <c r="K36" s="434"/>
      <c r="L36" s="434"/>
    </row>
    <row r="37" spans="1:12" ht="65.25" customHeight="1" x14ac:dyDescent="0.3">
      <c r="A37" s="434"/>
      <c r="B37" s="434"/>
      <c r="C37" s="434"/>
      <c r="D37" s="434"/>
      <c r="E37" s="434"/>
      <c r="F37" s="36"/>
      <c r="G37" s="37"/>
      <c r="H37" s="434"/>
      <c r="I37" s="434"/>
      <c r="J37" s="434"/>
      <c r="K37" s="434"/>
      <c r="L37" s="434"/>
    </row>
    <row r="38" spans="1:12" ht="82.5" customHeight="1" x14ac:dyDescent="0.3">
      <c r="A38" s="435">
        <f ca="1">IF(OFFSET(OFFSET(모듈!$A$1,0,MATCH("화찰정보가져오기기준셀",모듈!$1:$1,0)-1),7,1)="","",OFFSET(OFFSET(모듈!$A$1,0,MATCH("화찰정보가져오기기준셀",모듈!$1:$1,0)-1),7,1))</f>
        <v>46013</v>
      </c>
      <c r="B38" s="435"/>
      <c r="C38" s="436" t="str">
        <f ca="1">IF(OFFSET(OFFSET(모듈!$A$1,0,MATCH("화찰정보가져오기기준셀",모듈!$1:$1,0)-1),7,3)="","",OFFSET(OFFSET(모듈!$A$1,0,MATCH("화찰정보가져오기기준셀",모듈!$1:$1,0)-1),7,3))</f>
        <v>B-1</v>
      </c>
      <c r="D38" s="436"/>
      <c r="E38" s="436"/>
      <c r="F38" s="36"/>
      <c r="G38" s="37"/>
      <c r="H38" s="435">
        <f ca="1">IF(OFFSET(OFFSET(모듈!$A$1,0,MATCH("화찰정보가져오기기준셀",모듈!$1:$1,0)-1),8,1)="","",OFFSET(OFFSET(모듈!$A$1,0,MATCH("화찰정보가져오기기준셀",모듈!$1:$1,0)-1),8,1))</f>
        <v>46013</v>
      </c>
      <c r="I38" s="435"/>
      <c r="J38" s="436" t="str">
        <f ca="1">IF(OFFSET(OFFSET(모듈!$A$1,0,MATCH("화찰정보가져오기기준셀",모듈!$1:$1,0)-1),8,3)="","",OFFSET(OFFSET(모듈!$A$1,0,MATCH("화찰정보가져오기기준셀",모듈!$1:$1,0)-1),8,3))</f>
        <v>B-1</v>
      </c>
      <c r="K38" s="436"/>
      <c r="L38" s="436"/>
    </row>
  </sheetData>
  <mergeCells count="74">
    <mergeCell ref="A1:E1"/>
    <mergeCell ref="G1:K1"/>
    <mergeCell ref="A2:E2"/>
    <mergeCell ref="H2:L2"/>
    <mergeCell ref="A3:E3"/>
    <mergeCell ref="H3:L3"/>
    <mergeCell ref="A4:E5"/>
    <mergeCell ref="H4:L5"/>
    <mergeCell ref="A6:B6"/>
    <mergeCell ref="C6:E6"/>
    <mergeCell ref="H6:I6"/>
    <mergeCell ref="J6:L6"/>
    <mergeCell ref="A8:E8"/>
    <mergeCell ref="H8:L8"/>
    <mergeCell ref="A9:E9"/>
    <mergeCell ref="H9:L9"/>
    <mergeCell ref="A10:E11"/>
    <mergeCell ref="H10:L11"/>
    <mergeCell ref="A12:B12"/>
    <mergeCell ref="C12:E12"/>
    <mergeCell ref="H12:I12"/>
    <mergeCell ref="J12:L12"/>
    <mergeCell ref="A13:E13"/>
    <mergeCell ref="H13:L13"/>
    <mergeCell ref="A14:E14"/>
    <mergeCell ref="H14:L14"/>
    <mergeCell ref="A15:E15"/>
    <mergeCell ref="H15:L15"/>
    <mergeCell ref="A16:E16"/>
    <mergeCell ref="H16:L16"/>
    <mergeCell ref="A17:E18"/>
    <mergeCell ref="H17:L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3"/>
    <mergeCell ref="H23:L23"/>
    <mergeCell ref="A24:E25"/>
    <mergeCell ref="H24:L25"/>
    <mergeCell ref="A26:B26"/>
    <mergeCell ref="C26:E26"/>
    <mergeCell ref="H26:I26"/>
    <mergeCell ref="J26:L26"/>
    <mergeCell ref="A27:E27"/>
    <mergeCell ref="H27:L27"/>
    <mergeCell ref="A28:E28"/>
    <mergeCell ref="H28:L28"/>
    <mergeCell ref="A29:E29"/>
    <mergeCell ref="H29:L29"/>
    <mergeCell ref="A30:E31"/>
    <mergeCell ref="H30:L31"/>
    <mergeCell ref="A32:B32"/>
    <mergeCell ref="C32:E32"/>
    <mergeCell ref="H32:I32"/>
    <mergeCell ref="J32:L32"/>
    <mergeCell ref="A33:E33"/>
    <mergeCell ref="H33:L33"/>
    <mergeCell ref="A34:E34"/>
    <mergeCell ref="H34:L34"/>
    <mergeCell ref="A35:E35"/>
    <mergeCell ref="H35:L35"/>
    <mergeCell ref="A36:E37"/>
    <mergeCell ref="H36:L37"/>
    <mergeCell ref="A38:B38"/>
    <mergeCell ref="C38:E38"/>
    <mergeCell ref="H38:I38"/>
    <mergeCell ref="J38:L38"/>
  </mergeCells>
  <phoneticPr fontId="1" type="noConversion"/>
  <pageMargins left="0.17" right="0.17" top="0.17" bottom="0.17" header="0.17" footer="0.17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3</vt:i4>
      </vt:variant>
    </vt:vector>
  </HeadingPairs>
  <TitlesOfParts>
    <vt:vector size="9" baseType="lpstr">
      <vt:lpstr>화찰폼</vt:lpstr>
      <vt:lpstr>리스트</vt:lpstr>
      <vt:lpstr>모듈</vt:lpstr>
      <vt:lpstr>수산화찰</vt:lpstr>
      <vt:lpstr>축산화찰</vt:lpstr>
      <vt:lpstr>일반화찰</vt:lpstr>
      <vt:lpstr>모듈!Criteria</vt:lpstr>
      <vt:lpstr>모듈!Extract</vt:lpstr>
      <vt:lpstr>화찰연결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dcterms:created xsi:type="dcterms:W3CDTF">2025-12-09T23:49:28Z</dcterms:created>
  <dcterms:modified xsi:type="dcterms:W3CDTF">2025-12-16T01:34:14Z</dcterms:modified>
</cp:coreProperties>
</file>